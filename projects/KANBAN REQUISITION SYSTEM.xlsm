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semcoelectric-my.sharepoint.com/personal/snaskar_sigma-engineered_com/Documents/Documents/Shuvadip Naskar/Personal/My docs/2025-Update/Projects (snaskar)/"/>
    </mc:Choice>
  </mc:AlternateContent>
  <xr:revisionPtr revIDLastSave="17" documentId="8_{4B5AF40A-05BC-4B37-BF28-15330AF1D13F}" xr6:coauthVersionLast="47" xr6:coauthVersionMax="47" xr10:uidLastSave="{6C2C1F1D-207C-4F06-9E98-F3C8B60AB3CB}"/>
  <bookViews>
    <workbookView xWindow="-120" yWindow="-120" windowWidth="29040" windowHeight="15720" firstSheet="1" activeTab="1" xr2:uid="{C7A69259-7A98-480F-8B1F-6F76599CF4E4}"/>
  </bookViews>
  <sheets>
    <sheet name="Master Sheet" sheetId="2" state="hidden" r:id="rId1"/>
    <sheet name="BOOK ENTRY" sheetId="4" r:id="rId2"/>
    <sheet name="KCS" sheetId="5" r:id="rId3"/>
  </sheets>
  <definedNames>
    <definedName name="_xlnm._FilterDatabase" localSheetId="1" hidden="1">'BOOK ENTRY'!$A$1:$C$251</definedName>
    <definedName name="_xlnm._FilterDatabase" localSheetId="2" hidden="1">KCS!$B$1:$E$148</definedName>
    <definedName name="_xlnm._FilterDatabase" localSheetId="0" hidden="1">'Master Sheet'!$A$2:$S$1855</definedName>
    <definedName name="pass_tr">'Master Sheet'!$D$205</definedName>
    <definedName name="_xlnm.Print_Area" localSheetId="0">'Master Sheet'!$C$2:$O$1293</definedName>
    <definedName name="_xlnm.Print_Titles" localSheetId="0">'Master Sheet'!$2:$2</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3" i="4" l="1"/>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2" i="4"/>
  <c r="U2" i="5" l="1"/>
  <c r="A2" i="5" s="1"/>
  <c r="B2" i="5" s="1"/>
  <c r="U3" i="5"/>
  <c r="A3" i="5" s="1"/>
  <c r="B3" i="5" s="1"/>
  <c r="U4" i="5"/>
  <c r="A4" i="5" s="1"/>
  <c r="B4" i="5" s="1"/>
  <c r="U5" i="5"/>
  <c r="A5" i="5" s="1"/>
  <c r="B5" i="5" s="1"/>
  <c r="U6" i="5"/>
  <c r="A6" i="5" s="1"/>
  <c r="B6" i="5" s="1"/>
  <c r="U7" i="5"/>
  <c r="A7" i="5" s="1"/>
  <c r="B7" i="5" s="1"/>
  <c r="U8" i="5"/>
  <c r="A8" i="5" s="1"/>
  <c r="B8" i="5" s="1"/>
  <c r="U9" i="5"/>
  <c r="A9" i="5" s="1"/>
  <c r="B9" i="5" s="1"/>
  <c r="U10" i="5"/>
  <c r="A10" i="5" s="1"/>
  <c r="B10" i="5" s="1"/>
  <c r="U11" i="5"/>
  <c r="A11" i="5" s="1"/>
  <c r="B11" i="5" s="1"/>
  <c r="U12" i="5"/>
  <c r="A12" i="5" s="1"/>
  <c r="B12" i="5" s="1"/>
  <c r="U13" i="5"/>
  <c r="A13" i="5" s="1"/>
  <c r="B13" i="5" s="1"/>
  <c r="U14" i="5"/>
  <c r="A14" i="5" s="1"/>
  <c r="B14" i="5" s="1"/>
  <c r="U15" i="5"/>
  <c r="A15" i="5" s="1"/>
  <c r="B15" i="5" s="1"/>
  <c r="U16" i="5"/>
  <c r="A16" i="5" s="1"/>
  <c r="B16" i="5" s="1"/>
  <c r="U17" i="5"/>
  <c r="A17" i="5" s="1"/>
  <c r="B17" i="5" s="1"/>
  <c r="U18" i="5"/>
  <c r="A18" i="5" s="1"/>
  <c r="B18" i="5" s="1"/>
  <c r="U19" i="5"/>
  <c r="A19" i="5" s="1"/>
  <c r="B19" i="5" s="1"/>
  <c r="U20" i="5"/>
  <c r="A20" i="5" s="1"/>
  <c r="B20" i="5" s="1"/>
  <c r="U21" i="5"/>
  <c r="A21" i="5" s="1"/>
  <c r="B21" i="5" s="1"/>
  <c r="U22" i="5"/>
  <c r="A22" i="5" s="1"/>
  <c r="B22" i="5" s="1"/>
  <c r="U23" i="5"/>
  <c r="A23" i="5" s="1"/>
  <c r="B23" i="5" s="1"/>
  <c r="U24" i="5"/>
  <c r="A24" i="5" s="1"/>
  <c r="B24" i="5" s="1"/>
  <c r="U25" i="5"/>
  <c r="A25" i="5" s="1"/>
  <c r="B25" i="5" s="1"/>
  <c r="U26" i="5"/>
  <c r="A26" i="5" s="1"/>
  <c r="B26" i="5" s="1"/>
  <c r="U27" i="5"/>
  <c r="A27" i="5" s="1"/>
  <c r="B27" i="5" s="1"/>
  <c r="U28" i="5"/>
  <c r="A28" i="5" s="1"/>
  <c r="B28" i="5" s="1"/>
  <c r="U29" i="5"/>
  <c r="A29" i="5" s="1"/>
  <c r="B29" i="5" s="1"/>
  <c r="U30" i="5"/>
  <c r="A30" i="5" s="1"/>
  <c r="B30" i="5" s="1"/>
  <c r="U31" i="5"/>
  <c r="A31" i="5" s="1"/>
  <c r="B31" i="5" s="1"/>
  <c r="U32" i="5"/>
  <c r="A32" i="5" s="1"/>
  <c r="B32" i="5" s="1"/>
  <c r="U33" i="5"/>
  <c r="A33" i="5" s="1"/>
  <c r="B33" i="5" s="1"/>
  <c r="U34" i="5"/>
  <c r="A34" i="5" s="1"/>
  <c r="B34" i="5" s="1"/>
  <c r="U35" i="5"/>
  <c r="A35" i="5" s="1"/>
  <c r="B35" i="5" s="1"/>
  <c r="U36" i="5"/>
  <c r="A36" i="5" s="1"/>
  <c r="B36" i="5" s="1"/>
  <c r="U37" i="5"/>
  <c r="A37" i="5" s="1"/>
  <c r="B37" i="5" s="1"/>
  <c r="U38" i="5"/>
  <c r="A38" i="5" s="1"/>
  <c r="B38" i="5" s="1"/>
  <c r="U39" i="5"/>
  <c r="A39" i="5" s="1"/>
  <c r="B39" i="5" s="1"/>
  <c r="U40" i="5"/>
  <c r="A40" i="5" s="1"/>
  <c r="B40" i="5" s="1"/>
  <c r="U41" i="5"/>
  <c r="A41" i="5" s="1"/>
  <c r="B41" i="5" s="1"/>
  <c r="U42" i="5"/>
  <c r="A42" i="5" s="1"/>
  <c r="B42" i="5" s="1"/>
  <c r="U43" i="5"/>
  <c r="A43" i="5" s="1"/>
  <c r="B43" i="5" s="1"/>
  <c r="U44" i="5"/>
  <c r="A44" i="5" s="1"/>
  <c r="B44" i="5" s="1"/>
  <c r="U45" i="5"/>
  <c r="A45" i="5" s="1"/>
  <c r="B45" i="5" s="1"/>
  <c r="U46" i="5"/>
  <c r="A46" i="5" s="1"/>
  <c r="B46" i="5" s="1"/>
  <c r="U47" i="5"/>
  <c r="A47" i="5" s="1"/>
  <c r="B47" i="5" s="1"/>
  <c r="U48" i="5"/>
  <c r="A48" i="5" s="1"/>
  <c r="B48" i="5" s="1"/>
  <c r="U49" i="5"/>
  <c r="A49" i="5" s="1"/>
  <c r="B49" i="5" s="1"/>
  <c r="U50" i="5"/>
  <c r="A50" i="5" s="1"/>
  <c r="B50" i="5" s="1"/>
  <c r="U51" i="5"/>
  <c r="A51" i="5" s="1"/>
  <c r="B51" i="5" s="1"/>
  <c r="U52" i="5"/>
  <c r="A52" i="5" s="1"/>
  <c r="B52" i="5" s="1"/>
  <c r="E52" i="5" s="1"/>
  <c r="U53" i="5"/>
  <c r="A53" i="5" s="1"/>
  <c r="B53" i="5" s="1"/>
  <c r="E53" i="5" s="1"/>
  <c r="U54" i="5"/>
  <c r="A54" i="5" s="1"/>
  <c r="B54" i="5" s="1"/>
  <c r="E54" i="5" s="1"/>
  <c r="U55" i="5"/>
  <c r="A55" i="5" s="1"/>
  <c r="B55" i="5" s="1"/>
  <c r="E55" i="5" s="1"/>
  <c r="U56" i="5"/>
  <c r="A56" i="5" s="1"/>
  <c r="B56" i="5" s="1"/>
  <c r="E56" i="5" s="1"/>
  <c r="U57" i="5"/>
  <c r="A57" i="5" s="1"/>
  <c r="B57" i="5" s="1"/>
  <c r="E57" i="5" s="1"/>
  <c r="U58" i="5"/>
  <c r="A58" i="5" s="1"/>
  <c r="B58" i="5" s="1"/>
  <c r="E58" i="5" s="1"/>
  <c r="U59" i="5"/>
  <c r="A59" i="5" s="1"/>
  <c r="B59" i="5" s="1"/>
  <c r="E59" i="5" s="1"/>
  <c r="U60" i="5"/>
  <c r="A60" i="5" s="1"/>
  <c r="B60" i="5" s="1"/>
  <c r="E60" i="5" s="1"/>
  <c r="U61" i="5"/>
  <c r="A61" i="5" s="1"/>
  <c r="B61" i="5" s="1"/>
  <c r="E61" i="5" s="1"/>
  <c r="U62" i="5"/>
  <c r="A62" i="5" s="1"/>
  <c r="B62" i="5" s="1"/>
  <c r="E62" i="5" s="1"/>
  <c r="U63" i="5"/>
  <c r="A63" i="5" s="1"/>
  <c r="B63" i="5" s="1"/>
  <c r="E63" i="5" s="1"/>
  <c r="U64" i="5"/>
  <c r="A64" i="5" s="1"/>
  <c r="B64" i="5" s="1"/>
  <c r="E64" i="5" s="1"/>
  <c r="U65" i="5"/>
  <c r="A65" i="5" s="1"/>
  <c r="B65" i="5" s="1"/>
  <c r="E65" i="5" s="1"/>
  <c r="U66" i="5"/>
  <c r="A66" i="5" s="1"/>
  <c r="B66" i="5" s="1"/>
  <c r="E66" i="5" s="1"/>
  <c r="U67" i="5"/>
  <c r="A67" i="5" s="1"/>
  <c r="B67" i="5" s="1"/>
  <c r="E67" i="5" s="1"/>
  <c r="U68" i="5"/>
  <c r="A68" i="5" s="1"/>
  <c r="B68" i="5" s="1"/>
  <c r="E68" i="5" s="1"/>
  <c r="U69" i="5"/>
  <c r="A69" i="5" s="1"/>
  <c r="B69" i="5" s="1"/>
  <c r="E69" i="5" s="1"/>
  <c r="U70" i="5"/>
  <c r="A70" i="5" s="1"/>
  <c r="B70" i="5" s="1"/>
  <c r="E70" i="5" s="1"/>
  <c r="U71" i="5"/>
  <c r="A71" i="5" s="1"/>
  <c r="B71" i="5" s="1"/>
  <c r="E71" i="5" s="1"/>
  <c r="U72" i="5"/>
  <c r="A72" i="5" s="1"/>
  <c r="B72" i="5" s="1"/>
  <c r="E72" i="5" s="1"/>
  <c r="U73" i="5"/>
  <c r="A73" i="5" s="1"/>
  <c r="B73" i="5" s="1"/>
  <c r="E73" i="5" s="1"/>
  <c r="U74" i="5"/>
  <c r="A74" i="5" s="1"/>
  <c r="B74" i="5" s="1"/>
  <c r="E74" i="5" s="1"/>
  <c r="U75" i="5"/>
  <c r="A75" i="5" s="1"/>
  <c r="B75" i="5" s="1"/>
  <c r="E75" i="5" s="1"/>
  <c r="U76" i="5"/>
  <c r="A76" i="5" s="1"/>
  <c r="B76" i="5" s="1"/>
  <c r="E76" i="5" s="1"/>
  <c r="U77" i="5"/>
  <c r="A77" i="5" s="1"/>
  <c r="B77" i="5" s="1"/>
  <c r="E77" i="5" s="1"/>
  <c r="U78" i="5"/>
  <c r="A78" i="5" s="1"/>
  <c r="B78" i="5" s="1"/>
  <c r="E78" i="5" s="1"/>
  <c r="U79" i="5"/>
  <c r="A79" i="5" s="1"/>
  <c r="B79" i="5" s="1"/>
  <c r="E79" i="5" s="1"/>
  <c r="U80" i="5"/>
  <c r="A80" i="5" s="1"/>
  <c r="B80" i="5" s="1"/>
  <c r="U81" i="5"/>
  <c r="A81" i="5" s="1"/>
  <c r="B81" i="5" s="1"/>
  <c r="E81" i="5" s="1"/>
  <c r="U82" i="5"/>
  <c r="A82" i="5" s="1"/>
  <c r="B82" i="5" s="1"/>
  <c r="E82" i="5" s="1"/>
  <c r="U83" i="5"/>
  <c r="A83" i="5" s="1"/>
  <c r="B83" i="5" s="1"/>
  <c r="E83" i="5" s="1"/>
  <c r="U84" i="5"/>
  <c r="A84" i="5" s="1"/>
  <c r="B84" i="5" s="1"/>
  <c r="U85" i="5"/>
  <c r="A85" i="5" s="1"/>
  <c r="B85" i="5" s="1"/>
  <c r="E85" i="5" s="1"/>
  <c r="U86" i="5"/>
  <c r="A86" i="5" s="1"/>
  <c r="B86" i="5" s="1"/>
  <c r="E86" i="5" s="1"/>
  <c r="U87" i="5"/>
  <c r="A87" i="5" s="1"/>
  <c r="B87" i="5" s="1"/>
  <c r="E87" i="5" s="1"/>
  <c r="U88" i="5"/>
  <c r="A88" i="5" s="1"/>
  <c r="B88" i="5" s="1"/>
  <c r="E88" i="5" s="1"/>
  <c r="U89" i="5"/>
  <c r="A89" i="5" s="1"/>
  <c r="B89" i="5" s="1"/>
  <c r="E89" i="5" s="1"/>
  <c r="U90" i="5"/>
  <c r="A90" i="5" s="1"/>
  <c r="B90" i="5" s="1"/>
  <c r="E90" i="5" s="1"/>
  <c r="U91" i="5"/>
  <c r="A91" i="5" s="1"/>
  <c r="B91" i="5" s="1"/>
  <c r="E91" i="5" s="1"/>
  <c r="U92" i="5"/>
  <c r="A92" i="5" s="1"/>
  <c r="B92" i="5" s="1"/>
  <c r="E92" i="5" s="1"/>
  <c r="U93" i="5"/>
  <c r="A93" i="5" s="1"/>
  <c r="B93" i="5" s="1"/>
  <c r="U94" i="5"/>
  <c r="A94" i="5" s="1"/>
  <c r="B94" i="5" s="1"/>
  <c r="E94" i="5" s="1"/>
  <c r="U95" i="5"/>
  <c r="A95" i="5" s="1"/>
  <c r="B95" i="5" s="1"/>
  <c r="E95" i="5" s="1"/>
  <c r="U96" i="5"/>
  <c r="A96" i="5" s="1"/>
  <c r="B96" i="5" s="1"/>
  <c r="U97" i="5"/>
  <c r="A97" i="5" s="1"/>
  <c r="B97" i="5" s="1"/>
  <c r="E97" i="5" s="1"/>
  <c r="U98" i="5"/>
  <c r="A98" i="5" s="1"/>
  <c r="B98" i="5" s="1"/>
  <c r="U99" i="5"/>
  <c r="A99" i="5" s="1"/>
  <c r="B99" i="5" s="1"/>
  <c r="E99" i="5" s="1"/>
  <c r="U100" i="5"/>
  <c r="A100" i="5" s="1"/>
  <c r="B100" i="5" s="1"/>
  <c r="U101" i="5"/>
  <c r="A101" i="5" s="1"/>
  <c r="B101" i="5" s="1"/>
  <c r="E101" i="5" s="1"/>
  <c r="U102" i="5"/>
  <c r="A102" i="5" s="1"/>
  <c r="B102" i="5" s="1"/>
  <c r="U103" i="5"/>
  <c r="A103" i="5" s="1"/>
  <c r="B103" i="5" s="1"/>
  <c r="E103" i="5" s="1"/>
  <c r="U104" i="5"/>
  <c r="A104" i="5" s="1"/>
  <c r="B104" i="5" s="1"/>
  <c r="E104" i="5" s="1"/>
  <c r="U105" i="5"/>
  <c r="A105" i="5" s="1"/>
  <c r="B105" i="5" s="1"/>
  <c r="U106" i="5"/>
  <c r="A106" i="5" s="1"/>
  <c r="B106" i="5" s="1"/>
  <c r="E106" i="5" s="1"/>
  <c r="U107" i="5"/>
  <c r="A107" i="5" s="1"/>
  <c r="B107" i="5" s="1"/>
  <c r="E107" i="5" s="1"/>
  <c r="U108" i="5"/>
  <c r="A108" i="5" s="1"/>
  <c r="B108" i="5" s="1"/>
  <c r="U109" i="5"/>
  <c r="A109" i="5" s="1"/>
  <c r="B109" i="5" s="1"/>
  <c r="E109" i="5" s="1"/>
  <c r="U110" i="5"/>
  <c r="A110" i="5" s="1"/>
  <c r="B110" i="5" s="1"/>
  <c r="E110" i="5" s="1"/>
  <c r="U111" i="5"/>
  <c r="A111" i="5" s="1"/>
  <c r="B111" i="5" s="1"/>
  <c r="E111" i="5" s="1"/>
  <c r="U112" i="5"/>
  <c r="A112" i="5" s="1"/>
  <c r="B112" i="5" s="1"/>
  <c r="U113" i="5"/>
  <c r="A113" i="5" s="1"/>
  <c r="B113" i="5" s="1"/>
  <c r="E113" i="5" s="1"/>
  <c r="U114" i="5"/>
  <c r="A114" i="5" s="1"/>
  <c r="B114" i="5" s="1"/>
  <c r="U115" i="5"/>
  <c r="A115" i="5" s="1"/>
  <c r="B115" i="5" s="1"/>
  <c r="E115" i="5" s="1"/>
  <c r="U116" i="5"/>
  <c r="A116" i="5" s="1"/>
  <c r="B116" i="5" s="1"/>
  <c r="U117" i="5"/>
  <c r="A117" i="5" s="1"/>
  <c r="B117" i="5" s="1"/>
  <c r="U118" i="5"/>
  <c r="A118" i="5" s="1"/>
  <c r="B118" i="5" s="1"/>
  <c r="U119" i="5"/>
  <c r="A119" i="5" s="1"/>
  <c r="B119" i="5" s="1"/>
  <c r="E119" i="5" s="1"/>
  <c r="U120" i="5"/>
  <c r="A120" i="5" s="1"/>
  <c r="B120" i="5" s="1"/>
  <c r="U121" i="5"/>
  <c r="A121" i="5" s="1"/>
  <c r="B121" i="5" s="1"/>
  <c r="U122" i="5"/>
  <c r="A122" i="5" s="1"/>
  <c r="B122" i="5" s="1"/>
  <c r="E122" i="5" s="1"/>
  <c r="U123" i="5"/>
  <c r="A123" i="5" s="1"/>
  <c r="B123" i="5" s="1"/>
  <c r="E123" i="5" s="1"/>
  <c r="U124" i="5"/>
  <c r="A124" i="5" s="1"/>
  <c r="B124" i="5" s="1"/>
  <c r="U125" i="5"/>
  <c r="A125" i="5" s="1"/>
  <c r="B125" i="5" s="1"/>
  <c r="E125" i="5" s="1"/>
  <c r="U126" i="5"/>
  <c r="A126" i="5" s="1"/>
  <c r="B126" i="5" s="1"/>
  <c r="E126" i="5" s="1"/>
  <c r="U127" i="5"/>
  <c r="A127" i="5" s="1"/>
  <c r="B127" i="5" s="1"/>
  <c r="E127" i="5" s="1"/>
  <c r="U128" i="5"/>
  <c r="A128" i="5" s="1"/>
  <c r="B128" i="5" s="1"/>
  <c r="U129" i="5"/>
  <c r="A129" i="5" s="1"/>
  <c r="B129" i="5" s="1"/>
  <c r="E129" i="5" s="1"/>
  <c r="U130" i="5"/>
  <c r="A130" i="5" s="1"/>
  <c r="B130" i="5" s="1"/>
  <c r="U131" i="5"/>
  <c r="A131" i="5" s="1"/>
  <c r="B131" i="5" s="1"/>
  <c r="E131" i="5" s="1"/>
  <c r="U132" i="5"/>
  <c r="A132" i="5" s="1"/>
  <c r="B132" i="5" s="1"/>
  <c r="U133" i="5"/>
  <c r="A133" i="5" s="1"/>
  <c r="B133" i="5" s="1"/>
  <c r="E133" i="5" s="1"/>
  <c r="U134" i="5"/>
  <c r="A134" i="5" s="1"/>
  <c r="B134" i="5" s="1"/>
  <c r="E134" i="5" s="1"/>
  <c r="U135" i="5"/>
  <c r="A135" i="5" s="1"/>
  <c r="B135" i="5" s="1"/>
  <c r="E135" i="5" s="1"/>
  <c r="U136" i="5"/>
  <c r="A136" i="5" s="1"/>
  <c r="B136" i="5" s="1"/>
  <c r="E136" i="5" s="1"/>
  <c r="U137" i="5"/>
  <c r="A137" i="5" s="1"/>
  <c r="B137" i="5" s="1"/>
  <c r="U138" i="5"/>
  <c r="A138" i="5" s="1"/>
  <c r="B138" i="5" s="1"/>
  <c r="E138" i="5" s="1"/>
  <c r="U139" i="5"/>
  <c r="A139" i="5" s="1"/>
  <c r="B139" i="5" s="1"/>
  <c r="E139" i="5" s="1"/>
  <c r="U140" i="5"/>
  <c r="A140" i="5" s="1"/>
  <c r="B140" i="5" s="1"/>
  <c r="U141" i="5"/>
  <c r="A141" i="5" s="1"/>
  <c r="B141" i="5" s="1"/>
  <c r="E141" i="5" s="1"/>
  <c r="U142" i="5"/>
  <c r="A142" i="5" s="1"/>
  <c r="B142" i="5" s="1"/>
  <c r="E142" i="5" s="1"/>
  <c r="U143" i="5"/>
  <c r="A143" i="5" s="1"/>
  <c r="B143" i="5" s="1"/>
  <c r="E143" i="5" s="1"/>
  <c r="U144" i="5"/>
  <c r="A144" i="5" s="1"/>
  <c r="B144" i="5" s="1"/>
  <c r="U145" i="5"/>
  <c r="A145" i="5" s="1"/>
  <c r="B145" i="5" s="1"/>
  <c r="E145" i="5" s="1"/>
  <c r="U146" i="5"/>
  <c r="A146" i="5" s="1"/>
  <c r="B146" i="5" s="1"/>
  <c r="E146" i="5" s="1"/>
  <c r="U147" i="5"/>
  <c r="A147" i="5" s="1"/>
  <c r="B147" i="5" s="1"/>
  <c r="E147" i="5" s="1"/>
  <c r="U148" i="5"/>
  <c r="A148" i="5" s="1"/>
  <c r="B148" i="5" s="1"/>
  <c r="E148" i="5" s="1"/>
  <c r="U149" i="5"/>
  <c r="A149" i="5" s="1"/>
  <c r="U150" i="5"/>
  <c r="A150" i="5" s="1"/>
  <c r="U151" i="5"/>
  <c r="A151" i="5" s="1"/>
  <c r="U152" i="5"/>
  <c r="A152" i="5" s="1"/>
  <c r="U153" i="5"/>
  <c r="A153" i="5" s="1"/>
  <c r="U154" i="5"/>
  <c r="A154" i="5" s="1"/>
  <c r="U155" i="5"/>
  <c r="A155" i="5" s="1"/>
  <c r="U156" i="5"/>
  <c r="A156" i="5" s="1"/>
  <c r="U157" i="5"/>
  <c r="A157" i="5" s="1"/>
  <c r="U158" i="5"/>
  <c r="A158" i="5" s="1"/>
  <c r="U159" i="5"/>
  <c r="A159" i="5" s="1"/>
  <c r="U160" i="5"/>
  <c r="A160" i="5" s="1"/>
  <c r="U161" i="5"/>
  <c r="A161" i="5" s="1"/>
  <c r="U162" i="5"/>
  <c r="A162" i="5" s="1"/>
  <c r="U163" i="5"/>
  <c r="A163" i="5" s="1"/>
  <c r="U164" i="5"/>
  <c r="A164" i="5" s="1"/>
  <c r="U165" i="5"/>
  <c r="A165" i="5" s="1"/>
  <c r="U166" i="5"/>
  <c r="A166" i="5" s="1"/>
  <c r="U167" i="5"/>
  <c r="A167" i="5" s="1"/>
  <c r="U168" i="5"/>
  <c r="A168" i="5" s="1"/>
  <c r="U169" i="5"/>
  <c r="A169" i="5" s="1"/>
  <c r="U170" i="5"/>
  <c r="A170" i="5" s="1"/>
  <c r="U171" i="5"/>
  <c r="A171" i="5" s="1"/>
  <c r="U172" i="5"/>
  <c r="A172" i="5" s="1"/>
  <c r="U173" i="5"/>
  <c r="A173" i="5" s="1"/>
  <c r="U174" i="5"/>
  <c r="A174" i="5" s="1"/>
  <c r="U175" i="5"/>
  <c r="A175" i="5" s="1"/>
  <c r="U176" i="5"/>
  <c r="A176" i="5" s="1"/>
  <c r="U177" i="5"/>
  <c r="A177" i="5" s="1"/>
  <c r="U178" i="5"/>
  <c r="A178" i="5" s="1"/>
  <c r="U179" i="5"/>
  <c r="A179" i="5" s="1"/>
  <c r="U180" i="5"/>
  <c r="A180" i="5" s="1"/>
  <c r="U181" i="5"/>
  <c r="A181" i="5" s="1"/>
  <c r="U182" i="5"/>
  <c r="A182" i="5" s="1"/>
  <c r="U183" i="5"/>
  <c r="A183" i="5" s="1"/>
  <c r="U184" i="5"/>
  <c r="A184" i="5" s="1"/>
  <c r="U185" i="5"/>
  <c r="A185" i="5" s="1"/>
  <c r="U186" i="5"/>
  <c r="A186" i="5" s="1"/>
  <c r="U187" i="5"/>
  <c r="A187" i="5" s="1"/>
  <c r="U188" i="5"/>
  <c r="A188" i="5" s="1"/>
  <c r="U189" i="5"/>
  <c r="A189" i="5" s="1"/>
  <c r="U190" i="5"/>
  <c r="A190" i="5" s="1"/>
  <c r="U191" i="5"/>
  <c r="A191" i="5" s="1"/>
  <c r="U192" i="5"/>
  <c r="A192" i="5" s="1"/>
  <c r="U193" i="5"/>
  <c r="A193" i="5" s="1"/>
  <c r="U194" i="5"/>
  <c r="A194" i="5" s="1"/>
  <c r="U195" i="5"/>
  <c r="A195" i="5" s="1"/>
  <c r="U196" i="5"/>
  <c r="A196" i="5" s="1"/>
  <c r="V1855" i="2"/>
  <c r="U1855" i="2"/>
  <c r="W1855" i="2" a="1"/>
  <c r="W1855" i="2" s="1"/>
  <c r="W1854" i="2" a="1"/>
  <c r="W1854" i="2" s="1"/>
  <c r="V1854" i="2"/>
  <c r="U1854" i="2"/>
  <c r="V1853" i="2"/>
  <c r="U1853" i="2"/>
  <c r="W1853" i="2" a="1"/>
  <c r="W1853" i="2" s="1"/>
  <c r="V1852" i="2"/>
  <c r="U1852" i="2"/>
  <c r="W1852" i="2" a="1"/>
  <c r="W1852" i="2" s="1"/>
  <c r="W1851" i="2"/>
  <c r="V1851" i="2"/>
  <c r="U1851" i="2"/>
  <c r="W1851" i="2" a="1"/>
  <c r="W1850" i="2" a="1"/>
  <c r="W1850" i="2" s="1"/>
  <c r="V1850" i="2"/>
  <c r="U1850" i="2"/>
  <c r="V1849" i="2"/>
  <c r="U1849" i="2"/>
  <c r="W1849" i="2" a="1"/>
  <c r="W1849" i="2" s="1"/>
  <c r="V1848" i="2"/>
  <c r="U1848" i="2"/>
  <c r="W1848" i="2" a="1"/>
  <c r="W1848" i="2" s="1"/>
  <c r="W1847" i="2"/>
  <c r="V1847" i="2"/>
  <c r="U1847" i="2"/>
  <c r="W1847" i="2" a="1"/>
  <c r="W1846" i="2" a="1"/>
  <c r="W1846" i="2" s="1"/>
  <c r="V1846" i="2"/>
  <c r="U1846" i="2"/>
  <c r="W1845" i="2" a="1"/>
  <c r="W1845" i="2" s="1"/>
  <c r="V1845" i="2"/>
  <c r="U1845" i="2"/>
  <c r="V1844" i="2"/>
  <c r="U1844" i="2"/>
  <c r="W1844" i="2" a="1"/>
  <c r="W1844" i="2" s="1"/>
  <c r="V1843" i="2"/>
  <c r="U1843" i="2"/>
  <c r="W1843" i="2" a="1"/>
  <c r="W1843" i="2" s="1"/>
  <c r="W1842" i="2" a="1"/>
  <c r="W1842" i="2" s="1"/>
  <c r="V1842" i="2"/>
  <c r="U1842" i="2"/>
  <c r="W1841" i="2" a="1"/>
  <c r="W1841" i="2" s="1"/>
  <c r="V1841" i="2"/>
  <c r="U1841" i="2"/>
  <c r="V1840" i="2"/>
  <c r="U1840" i="2"/>
  <c r="W1840" i="2" a="1"/>
  <c r="W1840" i="2" s="1"/>
  <c r="V1839" i="2"/>
  <c r="U1839" i="2"/>
  <c r="W1839" i="2" a="1"/>
  <c r="W1839" i="2" s="1"/>
  <c r="W1838" i="2" a="1"/>
  <c r="W1838" i="2" s="1"/>
  <c r="V1838" i="2"/>
  <c r="U1838" i="2"/>
  <c r="W1837" i="2" a="1"/>
  <c r="W1837" i="2" s="1"/>
  <c r="V1837" i="2"/>
  <c r="U1837" i="2"/>
  <c r="V1836" i="2"/>
  <c r="U1836" i="2"/>
  <c r="W1836" i="2" a="1"/>
  <c r="W1836" i="2" s="1"/>
  <c r="W1835" i="2"/>
  <c r="V1835" i="2"/>
  <c r="U1835" i="2"/>
  <c r="W1835" i="2" a="1"/>
  <c r="W1834" i="2" a="1"/>
  <c r="W1834" i="2" s="1"/>
  <c r="V1834" i="2"/>
  <c r="U1834" i="2"/>
  <c r="W1833" i="2" a="1"/>
  <c r="W1833" i="2" s="1"/>
  <c r="V1833" i="2"/>
  <c r="U1833" i="2"/>
  <c r="V1832" i="2"/>
  <c r="U1832" i="2"/>
  <c r="W1832" i="2" a="1"/>
  <c r="W1832" i="2" s="1"/>
  <c r="V1831" i="2"/>
  <c r="U1831" i="2"/>
  <c r="W1831" i="2" a="1"/>
  <c r="W1831" i="2" s="1"/>
  <c r="W1830" i="2" a="1"/>
  <c r="W1830" i="2" s="1"/>
  <c r="V1830" i="2"/>
  <c r="U1830" i="2"/>
  <c r="W1829" i="2" a="1"/>
  <c r="W1829" i="2" s="1"/>
  <c r="V1829" i="2"/>
  <c r="U1829" i="2"/>
  <c r="V1828" i="2"/>
  <c r="U1828" i="2"/>
  <c r="W1828" i="2" a="1"/>
  <c r="W1828" i="2" s="1"/>
  <c r="V1827" i="2"/>
  <c r="U1827" i="2"/>
  <c r="W1827" i="2" a="1"/>
  <c r="W1827" i="2" s="1"/>
  <c r="W1826" i="2" a="1"/>
  <c r="W1826" i="2" s="1"/>
  <c r="V1826" i="2"/>
  <c r="U1826" i="2"/>
  <c r="W1825" i="2" a="1"/>
  <c r="W1825" i="2" s="1"/>
  <c r="V1825" i="2"/>
  <c r="U1825" i="2"/>
  <c r="V1824" i="2"/>
  <c r="U1824" i="2"/>
  <c r="W1824" i="2" a="1"/>
  <c r="W1824" i="2" s="1"/>
  <c r="V1823" i="2"/>
  <c r="U1823" i="2"/>
  <c r="W1823" i="2" a="1"/>
  <c r="W1823" i="2" s="1"/>
  <c r="W1822" i="2" a="1"/>
  <c r="W1822" i="2" s="1"/>
  <c r="V1822" i="2"/>
  <c r="U1822" i="2"/>
  <c r="W1821" i="2" a="1"/>
  <c r="W1821" i="2" s="1"/>
  <c r="V1821" i="2"/>
  <c r="U1821" i="2"/>
  <c r="V1820" i="2"/>
  <c r="U1820" i="2"/>
  <c r="W1820" i="2" a="1"/>
  <c r="W1820" i="2" s="1"/>
  <c r="W1819" i="2"/>
  <c r="V1819" i="2"/>
  <c r="U1819" i="2"/>
  <c r="W1819" i="2" a="1"/>
  <c r="W1818" i="2" a="1"/>
  <c r="W1818" i="2" s="1"/>
  <c r="V1818" i="2"/>
  <c r="U1818" i="2"/>
  <c r="W1817" i="2" a="1"/>
  <c r="W1817" i="2" s="1"/>
  <c r="V1817" i="2"/>
  <c r="U1817" i="2"/>
  <c r="V1816" i="2"/>
  <c r="U1816" i="2"/>
  <c r="W1816" i="2" a="1"/>
  <c r="W1816" i="2" s="1"/>
  <c r="W1815" i="2"/>
  <c r="V1815" i="2"/>
  <c r="U1815" i="2"/>
  <c r="W1815" i="2" a="1"/>
  <c r="W1814" i="2" a="1"/>
  <c r="W1814" i="2" s="1"/>
  <c r="V1814" i="2"/>
  <c r="U1814" i="2"/>
  <c r="W1813" i="2" a="1"/>
  <c r="W1813" i="2" s="1"/>
  <c r="V1813" i="2"/>
  <c r="U1813" i="2"/>
  <c r="V1812" i="2"/>
  <c r="U1812" i="2"/>
  <c r="W1812" i="2" a="1"/>
  <c r="W1812" i="2" s="1"/>
  <c r="V1811" i="2"/>
  <c r="U1811" i="2"/>
  <c r="W1811" i="2" a="1"/>
  <c r="W1811" i="2" s="1"/>
  <c r="W1810" i="2" a="1"/>
  <c r="W1810" i="2" s="1"/>
  <c r="V1810" i="2"/>
  <c r="U1810" i="2"/>
  <c r="W1809" i="2" a="1"/>
  <c r="W1809" i="2" s="1"/>
  <c r="V1809" i="2"/>
  <c r="U1809" i="2"/>
  <c r="V1808" i="2"/>
  <c r="U1808" i="2"/>
  <c r="W1808" i="2" a="1"/>
  <c r="W1808" i="2" s="1"/>
  <c r="V1807" i="2"/>
  <c r="U1807" i="2"/>
  <c r="W1807" i="2" a="1"/>
  <c r="W1807" i="2" s="1"/>
  <c r="W1806" i="2" a="1"/>
  <c r="W1806" i="2" s="1"/>
  <c r="V1806" i="2"/>
  <c r="U1806" i="2"/>
  <c r="W1805" i="2" a="1"/>
  <c r="W1805" i="2" s="1"/>
  <c r="V1805" i="2"/>
  <c r="U1805" i="2"/>
  <c r="V1804" i="2"/>
  <c r="U1804" i="2"/>
  <c r="W1804" i="2" a="1"/>
  <c r="W1804" i="2" s="1"/>
  <c r="W1803" i="2"/>
  <c r="V1803" i="2"/>
  <c r="U1803" i="2"/>
  <c r="W1803" i="2" a="1"/>
  <c r="W1802" i="2" a="1"/>
  <c r="W1802" i="2" s="1"/>
  <c r="V1802" i="2"/>
  <c r="U1802" i="2"/>
  <c r="W1801" i="2" a="1"/>
  <c r="W1801" i="2" s="1"/>
  <c r="V1801" i="2"/>
  <c r="U1801" i="2"/>
  <c r="V1800" i="2"/>
  <c r="U1800" i="2"/>
  <c r="W1800" i="2" a="1"/>
  <c r="W1800" i="2" s="1"/>
  <c r="V1799" i="2"/>
  <c r="U1799" i="2"/>
  <c r="W1799" i="2" a="1"/>
  <c r="W1799" i="2" s="1"/>
  <c r="W1798" i="2" a="1"/>
  <c r="W1798" i="2" s="1"/>
  <c r="V1798" i="2"/>
  <c r="U1798" i="2"/>
  <c r="W1797" i="2" a="1"/>
  <c r="W1797" i="2" s="1"/>
  <c r="V1797" i="2"/>
  <c r="U1797" i="2"/>
  <c r="V1796" i="2"/>
  <c r="U1796" i="2"/>
  <c r="W1796" i="2" a="1"/>
  <c r="W1796" i="2" s="1"/>
  <c r="V1795" i="2"/>
  <c r="U1795" i="2"/>
  <c r="W1795" i="2" a="1"/>
  <c r="W1795" i="2" s="1"/>
  <c r="W1794" i="2" a="1"/>
  <c r="W1794" i="2" s="1"/>
  <c r="V1794" i="2"/>
  <c r="U1794" i="2"/>
  <c r="W1793" i="2" a="1"/>
  <c r="W1793" i="2" s="1"/>
  <c r="V1793" i="2"/>
  <c r="U1793" i="2"/>
  <c r="V1792" i="2"/>
  <c r="U1792" i="2"/>
  <c r="W1792" i="2" a="1"/>
  <c r="W1792" i="2" s="1"/>
  <c r="V1791" i="2"/>
  <c r="U1791" i="2"/>
  <c r="W1791" i="2" a="1"/>
  <c r="W1791" i="2" s="1"/>
  <c r="W1790" i="2" a="1"/>
  <c r="W1790" i="2" s="1"/>
  <c r="V1790" i="2"/>
  <c r="U1790" i="2"/>
  <c r="W1789" i="2" a="1"/>
  <c r="W1789" i="2" s="1"/>
  <c r="V1789" i="2"/>
  <c r="U1789" i="2"/>
  <c r="V1788" i="2"/>
  <c r="U1788" i="2"/>
  <c r="W1788" i="2" a="1"/>
  <c r="W1788" i="2" s="1"/>
  <c r="W1787" i="2"/>
  <c r="V1787" i="2"/>
  <c r="U1787" i="2"/>
  <c r="W1787" i="2" a="1"/>
  <c r="W1786" i="2" a="1"/>
  <c r="W1786" i="2" s="1"/>
  <c r="V1786" i="2"/>
  <c r="U1786" i="2"/>
  <c r="W1785" i="2" a="1"/>
  <c r="W1785" i="2" s="1"/>
  <c r="V1785" i="2"/>
  <c r="U1785" i="2"/>
  <c r="V1784" i="2"/>
  <c r="U1784" i="2"/>
  <c r="W1784" i="2" a="1"/>
  <c r="W1784" i="2" s="1"/>
  <c r="W1783" i="2"/>
  <c r="V1783" i="2"/>
  <c r="U1783" i="2"/>
  <c r="W1783" i="2" a="1"/>
  <c r="W1782" i="2" a="1"/>
  <c r="W1782" i="2" s="1"/>
  <c r="V1782" i="2"/>
  <c r="U1782" i="2"/>
  <c r="W1781" i="2" a="1"/>
  <c r="W1781" i="2" s="1"/>
  <c r="V1781" i="2"/>
  <c r="U1781" i="2"/>
  <c r="V1780" i="2"/>
  <c r="U1780" i="2"/>
  <c r="W1780" i="2" a="1"/>
  <c r="W1780" i="2" s="1"/>
  <c r="V1779" i="2"/>
  <c r="U1779" i="2"/>
  <c r="W1779" i="2" a="1"/>
  <c r="W1779" i="2" s="1"/>
  <c r="W1778" i="2" a="1"/>
  <c r="W1778" i="2" s="1"/>
  <c r="V1778" i="2"/>
  <c r="U1778" i="2"/>
  <c r="W1777" i="2" a="1"/>
  <c r="W1777" i="2" s="1"/>
  <c r="V1777" i="2"/>
  <c r="U1777" i="2"/>
  <c r="V1776" i="2"/>
  <c r="U1776" i="2"/>
  <c r="W1776" i="2" a="1"/>
  <c r="W1776" i="2" s="1"/>
  <c r="V1775" i="2"/>
  <c r="U1775" i="2"/>
  <c r="W1775" i="2" a="1"/>
  <c r="W1775" i="2" s="1"/>
  <c r="W1774" i="2" a="1"/>
  <c r="W1774" i="2" s="1"/>
  <c r="V1774" i="2"/>
  <c r="U1774" i="2"/>
  <c r="W1773" i="2" a="1"/>
  <c r="W1773" i="2" s="1"/>
  <c r="V1773" i="2"/>
  <c r="U1773" i="2"/>
  <c r="V1772" i="2"/>
  <c r="U1772" i="2"/>
  <c r="W1772" i="2" a="1"/>
  <c r="W1772" i="2" s="1"/>
  <c r="W1771" i="2"/>
  <c r="V1771" i="2"/>
  <c r="U1771" i="2"/>
  <c r="W1771" i="2" a="1"/>
  <c r="W1770" i="2" a="1"/>
  <c r="W1770" i="2" s="1"/>
  <c r="V1770" i="2"/>
  <c r="U1770" i="2"/>
  <c r="W1769" i="2" a="1"/>
  <c r="W1769" i="2" s="1"/>
  <c r="V1769" i="2"/>
  <c r="U1769" i="2"/>
  <c r="V1768" i="2"/>
  <c r="U1768" i="2"/>
  <c r="W1768" i="2" a="1"/>
  <c r="W1768" i="2" s="1"/>
  <c r="V1767" i="2"/>
  <c r="U1767" i="2"/>
  <c r="W1767" i="2" a="1"/>
  <c r="W1767" i="2" s="1"/>
  <c r="W1766" i="2" a="1"/>
  <c r="W1766" i="2" s="1"/>
  <c r="V1766" i="2"/>
  <c r="U1766" i="2"/>
  <c r="W1765" i="2" a="1"/>
  <c r="W1765" i="2" s="1"/>
  <c r="V1765" i="2"/>
  <c r="U1765" i="2"/>
  <c r="V1764" i="2"/>
  <c r="U1764" i="2"/>
  <c r="W1764" i="2" a="1"/>
  <c r="W1764" i="2" s="1"/>
  <c r="V1763" i="2"/>
  <c r="U1763" i="2"/>
  <c r="W1763" i="2" a="1"/>
  <c r="W1763" i="2" s="1"/>
  <c r="W1762" i="2" a="1"/>
  <c r="W1762" i="2" s="1"/>
  <c r="V1762" i="2"/>
  <c r="U1762" i="2"/>
  <c r="W1761" i="2" a="1"/>
  <c r="W1761" i="2" s="1"/>
  <c r="V1761" i="2"/>
  <c r="U1761" i="2"/>
  <c r="V1760" i="2"/>
  <c r="U1760" i="2"/>
  <c r="W1760" i="2" a="1"/>
  <c r="W1760" i="2" s="1"/>
  <c r="V1759" i="2"/>
  <c r="U1759" i="2"/>
  <c r="W1759" i="2" a="1"/>
  <c r="W1759" i="2" s="1"/>
  <c r="W1758" i="2" a="1"/>
  <c r="W1758" i="2" s="1"/>
  <c r="V1758" i="2"/>
  <c r="U1758" i="2"/>
  <c r="W1757" i="2" a="1"/>
  <c r="W1757" i="2" s="1"/>
  <c r="V1757" i="2"/>
  <c r="U1757" i="2"/>
  <c r="V1756" i="2"/>
  <c r="U1756" i="2"/>
  <c r="W1756" i="2" a="1"/>
  <c r="W1756" i="2" s="1"/>
  <c r="W1755" i="2"/>
  <c r="V1755" i="2"/>
  <c r="U1755" i="2"/>
  <c r="W1755" i="2" a="1"/>
  <c r="W1754" i="2" a="1"/>
  <c r="W1754" i="2" s="1"/>
  <c r="V1754" i="2"/>
  <c r="U1754" i="2"/>
  <c r="W1753" i="2" a="1"/>
  <c r="W1753" i="2" s="1"/>
  <c r="V1753" i="2"/>
  <c r="U1753" i="2"/>
  <c r="V1752" i="2"/>
  <c r="U1752" i="2"/>
  <c r="W1752" i="2" a="1"/>
  <c r="W1752" i="2" s="1"/>
  <c r="W1751" i="2"/>
  <c r="V1751" i="2"/>
  <c r="U1751" i="2"/>
  <c r="W1751" i="2" a="1"/>
  <c r="W1750" i="2" a="1"/>
  <c r="W1750" i="2" s="1"/>
  <c r="V1750" i="2"/>
  <c r="U1750" i="2"/>
  <c r="W1749" i="2" a="1"/>
  <c r="W1749" i="2" s="1"/>
  <c r="V1749" i="2"/>
  <c r="U1749" i="2"/>
  <c r="V1748" i="2"/>
  <c r="U1748" i="2"/>
  <c r="W1748" i="2" a="1"/>
  <c r="W1748" i="2" s="1"/>
  <c r="V1747" i="2"/>
  <c r="U1747" i="2"/>
  <c r="W1747" i="2" a="1"/>
  <c r="W1747" i="2" s="1"/>
  <c r="V1746" i="2"/>
  <c r="U1746" i="2"/>
  <c r="W1746" i="2" a="1"/>
  <c r="W1746" i="2" s="1"/>
  <c r="V1745" i="2"/>
  <c r="U1745" i="2"/>
  <c r="W1745" i="2" a="1"/>
  <c r="W1745" i="2" s="1"/>
  <c r="V1744" i="2"/>
  <c r="U1744" i="2"/>
  <c r="W1744" i="2" a="1"/>
  <c r="W1744" i="2" s="1"/>
  <c r="W1743" i="2"/>
  <c r="V1743" i="2"/>
  <c r="U1743" i="2"/>
  <c r="W1743" i="2" a="1"/>
  <c r="W1742" i="2"/>
  <c r="V1742" i="2"/>
  <c r="U1742" i="2"/>
  <c r="W1742" i="2" a="1"/>
  <c r="V1741" i="2"/>
  <c r="U1741" i="2"/>
  <c r="W1741" i="2" a="1"/>
  <c r="W1741" i="2" s="1"/>
  <c r="W1740" i="2" a="1"/>
  <c r="W1740" i="2" s="1"/>
  <c r="V1740" i="2"/>
  <c r="U1740" i="2"/>
  <c r="W1739" i="2" a="1"/>
  <c r="W1739" i="2" s="1"/>
  <c r="V1739" i="2"/>
  <c r="U1739" i="2"/>
  <c r="V1738" i="2"/>
  <c r="U1738" i="2"/>
  <c r="W1738" i="2" a="1"/>
  <c r="W1738" i="2" s="1"/>
  <c r="V1737" i="2"/>
  <c r="U1737" i="2"/>
  <c r="W1737" i="2" a="1"/>
  <c r="W1737" i="2" s="1"/>
  <c r="V1736" i="2"/>
  <c r="U1736" i="2"/>
  <c r="W1736" i="2" a="1"/>
  <c r="W1736" i="2" s="1"/>
  <c r="W1735" i="2"/>
  <c r="V1735" i="2"/>
  <c r="U1735" i="2"/>
  <c r="W1735" i="2" a="1"/>
  <c r="V1734" i="2"/>
  <c r="U1734" i="2"/>
  <c r="W1734" i="2" a="1"/>
  <c r="W1734" i="2" s="1"/>
  <c r="W1733" i="2" a="1"/>
  <c r="W1733" i="2" s="1"/>
  <c r="V1733" i="2"/>
  <c r="U1733" i="2"/>
  <c r="W1732" i="2" a="1"/>
  <c r="W1732" i="2" s="1"/>
  <c r="V1732" i="2"/>
  <c r="U1732" i="2"/>
  <c r="W1731" i="2" a="1"/>
  <c r="W1731" i="2" s="1"/>
  <c r="V1731" i="2"/>
  <c r="U1731" i="2"/>
  <c r="W1730" i="2" a="1"/>
  <c r="W1730" i="2" s="1"/>
  <c r="V1730" i="2"/>
  <c r="U1730" i="2"/>
  <c r="W1729" i="2" a="1"/>
  <c r="W1729" i="2" s="1"/>
  <c r="V1729" i="2"/>
  <c r="U1729" i="2"/>
  <c r="W1728" i="2" a="1"/>
  <c r="W1728" i="2" s="1"/>
  <c r="V1728" i="2"/>
  <c r="U1728" i="2"/>
  <c r="W1727" i="2" a="1"/>
  <c r="W1727" i="2" s="1"/>
  <c r="V1727" i="2"/>
  <c r="U1727" i="2"/>
  <c r="W1726" i="2" a="1"/>
  <c r="W1726" i="2" s="1"/>
  <c r="V1726" i="2"/>
  <c r="U1726" i="2"/>
  <c r="W1725" i="2" a="1"/>
  <c r="W1725" i="2" s="1"/>
  <c r="V1725" i="2"/>
  <c r="U1725" i="2"/>
  <c r="W1724" i="2" a="1"/>
  <c r="W1724" i="2" s="1"/>
  <c r="V1724" i="2"/>
  <c r="U1724" i="2"/>
  <c r="W1723" i="2" a="1"/>
  <c r="W1723" i="2" s="1"/>
  <c r="V1723" i="2"/>
  <c r="U1723" i="2"/>
  <c r="V1722" i="2"/>
  <c r="U1722" i="2"/>
  <c r="W1722" i="2" a="1"/>
  <c r="W1722" i="2" s="1"/>
  <c r="V1721" i="2"/>
  <c r="U1721" i="2"/>
  <c r="W1721" i="2" a="1"/>
  <c r="W1721" i="2" s="1"/>
  <c r="V1720" i="2"/>
  <c r="U1720" i="2"/>
  <c r="W1720" i="2" a="1"/>
  <c r="W1720" i="2" s="1"/>
  <c r="V1719" i="2"/>
  <c r="U1719" i="2"/>
  <c r="W1719" i="2" a="1"/>
  <c r="W1719" i="2" s="1"/>
  <c r="W1718" i="2"/>
  <c r="V1718" i="2"/>
  <c r="U1718" i="2"/>
  <c r="W1718" i="2" a="1"/>
  <c r="W1717" i="2"/>
  <c r="V1717" i="2"/>
  <c r="U1717" i="2"/>
  <c r="W1717" i="2" a="1"/>
  <c r="W1716" i="2"/>
  <c r="W1716" i="2" a="1"/>
  <c r="V1716" i="2"/>
  <c r="U1716" i="2"/>
  <c r="W1715" i="2"/>
  <c r="W1715" i="2" a="1"/>
  <c r="V1715" i="2"/>
  <c r="U1715" i="2"/>
  <c r="W1714" i="2"/>
  <c r="W1714" i="2" a="1"/>
  <c r="V1714" i="2"/>
  <c r="U1714" i="2"/>
  <c r="W1713" i="2"/>
  <c r="W1713" i="2" a="1"/>
  <c r="V1713" i="2"/>
  <c r="U1713" i="2"/>
  <c r="W1712" i="2"/>
  <c r="W1712" i="2" a="1"/>
  <c r="V1712" i="2"/>
  <c r="U1712" i="2"/>
  <c r="W1711" i="2"/>
  <c r="W1711" i="2" a="1"/>
  <c r="V1711" i="2"/>
  <c r="U1711" i="2"/>
  <c r="W1710" i="2"/>
  <c r="W1710" i="2" a="1"/>
  <c r="V1710" i="2"/>
  <c r="U1710" i="2"/>
  <c r="W1709" i="2"/>
  <c r="W1709" i="2" a="1"/>
  <c r="V1709" i="2"/>
  <c r="U1709" i="2"/>
  <c r="W1708" i="2"/>
  <c r="W1708" i="2" a="1"/>
  <c r="V1708" i="2"/>
  <c r="U1708" i="2"/>
  <c r="W1707" i="2"/>
  <c r="W1707" i="2" a="1"/>
  <c r="V1707" i="2"/>
  <c r="U1707" i="2"/>
  <c r="W1706" i="2"/>
  <c r="W1706" i="2" a="1"/>
  <c r="V1706" i="2"/>
  <c r="U1706" i="2"/>
  <c r="W1705" i="2" a="1"/>
  <c r="W1705" i="2" s="1"/>
  <c r="V1705" i="2"/>
  <c r="U1705" i="2"/>
  <c r="W1704" i="2" a="1"/>
  <c r="W1704" i="2" s="1"/>
  <c r="V1704" i="2"/>
  <c r="U1704" i="2"/>
  <c r="V1703" i="2"/>
  <c r="U1703" i="2"/>
  <c r="W1703" i="2" a="1"/>
  <c r="W1703" i="2" s="1"/>
  <c r="V1702" i="2"/>
  <c r="U1702" i="2"/>
  <c r="W1702" i="2" a="1"/>
  <c r="W1702" i="2" s="1"/>
  <c r="W1701" i="2" a="1"/>
  <c r="W1701" i="2" s="1"/>
  <c r="V1701" i="2"/>
  <c r="U1701" i="2"/>
  <c r="W1700" i="2" a="1"/>
  <c r="W1700" i="2" s="1"/>
  <c r="V1700" i="2"/>
  <c r="U1700" i="2"/>
  <c r="V1699" i="2"/>
  <c r="U1699" i="2"/>
  <c r="W1699" i="2" a="1"/>
  <c r="W1699" i="2" s="1"/>
  <c r="V1698" i="2"/>
  <c r="U1698" i="2"/>
  <c r="W1698" i="2" a="1"/>
  <c r="W1698" i="2" s="1"/>
  <c r="W1697" i="2" a="1"/>
  <c r="W1697" i="2" s="1"/>
  <c r="V1697" i="2"/>
  <c r="U1697" i="2"/>
  <c r="W1696" i="2" a="1"/>
  <c r="W1696" i="2" s="1"/>
  <c r="V1696" i="2"/>
  <c r="U1696" i="2"/>
  <c r="V1695" i="2"/>
  <c r="U1695" i="2"/>
  <c r="W1695" i="2" a="1"/>
  <c r="W1695" i="2" s="1"/>
  <c r="V1694" i="2"/>
  <c r="U1694" i="2"/>
  <c r="W1694" i="2" a="1"/>
  <c r="W1694" i="2" s="1"/>
  <c r="W1693" i="2" a="1"/>
  <c r="W1693" i="2" s="1"/>
  <c r="V1693" i="2"/>
  <c r="U1693" i="2"/>
  <c r="V1692" i="2"/>
  <c r="U1692" i="2"/>
  <c r="W1692" i="2" a="1"/>
  <c r="W1692" i="2" s="1"/>
  <c r="V1691" i="2"/>
  <c r="U1691" i="2"/>
  <c r="W1691" i="2" a="1"/>
  <c r="W1691" i="2" s="1"/>
  <c r="V1690" i="2"/>
  <c r="U1690" i="2"/>
  <c r="W1690" i="2" a="1"/>
  <c r="W1690" i="2" s="1"/>
  <c r="V1689" i="2"/>
  <c r="U1689" i="2"/>
  <c r="W1689" i="2" a="1"/>
  <c r="W1689" i="2" s="1"/>
  <c r="W1688" i="2" a="1"/>
  <c r="W1688" i="2" s="1"/>
  <c r="V1688" i="2"/>
  <c r="U1688" i="2"/>
  <c r="W1687" i="2" a="1"/>
  <c r="W1687" i="2" s="1"/>
  <c r="V1687" i="2"/>
  <c r="U1687" i="2"/>
  <c r="W1686" i="2" a="1"/>
  <c r="W1686" i="2" s="1"/>
  <c r="V1686" i="2"/>
  <c r="U1686" i="2"/>
  <c r="W1685" i="2" a="1"/>
  <c r="W1685" i="2" s="1"/>
  <c r="V1685" i="2"/>
  <c r="U1685" i="2"/>
  <c r="W1684" i="2" a="1"/>
  <c r="W1684" i="2" s="1"/>
  <c r="V1684" i="2"/>
  <c r="U1684" i="2"/>
  <c r="W1683" i="2" a="1"/>
  <c r="W1683" i="2" s="1"/>
  <c r="V1683" i="2"/>
  <c r="U1683" i="2"/>
  <c r="W1682" i="2" a="1"/>
  <c r="W1682" i="2" s="1"/>
  <c r="V1682" i="2"/>
  <c r="U1682" i="2"/>
  <c r="W1681" i="2" a="1"/>
  <c r="W1681" i="2" s="1"/>
  <c r="V1681" i="2"/>
  <c r="U1681" i="2"/>
  <c r="W1680" i="2" a="1"/>
  <c r="W1680" i="2" s="1"/>
  <c r="V1680" i="2"/>
  <c r="U1680" i="2"/>
  <c r="W1679" i="2" a="1"/>
  <c r="W1679" i="2" s="1"/>
  <c r="V1679" i="2"/>
  <c r="U1679" i="2"/>
  <c r="W1678" i="2" a="1"/>
  <c r="W1678" i="2" s="1"/>
  <c r="V1678" i="2"/>
  <c r="U1678" i="2"/>
  <c r="W1677" i="2" a="1"/>
  <c r="W1677" i="2" s="1"/>
  <c r="V1677" i="2"/>
  <c r="U1677" i="2"/>
  <c r="W1676" i="2" a="1"/>
  <c r="W1676" i="2" s="1"/>
  <c r="V1676" i="2"/>
  <c r="U1676" i="2"/>
  <c r="W1675" i="2" a="1"/>
  <c r="W1675" i="2" s="1"/>
  <c r="V1675" i="2"/>
  <c r="U1675" i="2"/>
  <c r="W1674" i="2" a="1"/>
  <c r="W1674" i="2" s="1"/>
  <c r="V1674" i="2"/>
  <c r="U1674" i="2"/>
  <c r="W1673" i="2" a="1"/>
  <c r="W1673" i="2" s="1"/>
  <c r="V1673" i="2"/>
  <c r="U1673" i="2"/>
  <c r="W1672" i="2" a="1"/>
  <c r="W1672" i="2" s="1"/>
  <c r="V1672" i="2"/>
  <c r="U1672" i="2"/>
  <c r="W1671" i="2" a="1"/>
  <c r="W1671" i="2" s="1"/>
  <c r="V1671" i="2"/>
  <c r="U1671" i="2"/>
  <c r="W1670" i="2" a="1"/>
  <c r="W1670" i="2" s="1"/>
  <c r="V1670" i="2"/>
  <c r="U1670" i="2"/>
  <c r="W1669" i="2" a="1"/>
  <c r="W1669" i="2" s="1"/>
  <c r="V1669" i="2"/>
  <c r="U1669" i="2"/>
  <c r="W1668" i="2" a="1"/>
  <c r="W1668" i="2" s="1"/>
  <c r="V1668" i="2"/>
  <c r="U1668" i="2"/>
  <c r="W1667" i="2" a="1"/>
  <c r="W1667" i="2" s="1"/>
  <c r="V1667" i="2"/>
  <c r="U1667" i="2"/>
  <c r="W1666" i="2" a="1"/>
  <c r="W1666" i="2" s="1"/>
  <c r="V1666" i="2"/>
  <c r="U1666" i="2"/>
  <c r="W1665" i="2" a="1"/>
  <c r="W1665" i="2" s="1"/>
  <c r="V1665" i="2"/>
  <c r="U1665" i="2"/>
  <c r="V1664" i="2"/>
  <c r="U1664" i="2"/>
  <c r="W1664" i="2" a="1"/>
  <c r="W1664" i="2" s="1"/>
  <c r="V1663" i="2"/>
  <c r="U1663" i="2"/>
  <c r="W1663" i="2" a="1"/>
  <c r="W1663" i="2" s="1"/>
  <c r="W1662" i="2" a="1"/>
  <c r="W1662" i="2" s="1"/>
  <c r="V1662" i="2"/>
  <c r="U1662" i="2"/>
  <c r="W1661" i="2" a="1"/>
  <c r="W1661" i="2" s="1"/>
  <c r="V1661" i="2"/>
  <c r="U1661" i="2"/>
  <c r="V1660" i="2"/>
  <c r="U1660" i="2"/>
  <c r="W1660" i="2" a="1"/>
  <c r="W1660" i="2" s="1"/>
  <c r="V1659" i="2"/>
  <c r="U1659" i="2"/>
  <c r="W1659" i="2" a="1"/>
  <c r="W1659" i="2" s="1"/>
  <c r="W1658" i="2" a="1"/>
  <c r="W1658" i="2" s="1"/>
  <c r="V1658" i="2"/>
  <c r="U1658" i="2"/>
  <c r="W1657" i="2" a="1"/>
  <c r="W1657" i="2" s="1"/>
  <c r="V1657" i="2"/>
  <c r="U1657" i="2"/>
  <c r="V1656" i="2"/>
  <c r="U1656" i="2"/>
  <c r="W1656" i="2" a="1"/>
  <c r="W1656" i="2" s="1"/>
  <c r="V1655" i="2"/>
  <c r="U1655" i="2"/>
  <c r="W1655" i="2" a="1"/>
  <c r="W1655" i="2" s="1"/>
  <c r="W1654" i="2" a="1"/>
  <c r="W1654" i="2" s="1"/>
  <c r="V1654" i="2"/>
  <c r="U1654" i="2"/>
  <c r="W1653" i="2" a="1"/>
  <c r="W1653" i="2" s="1"/>
  <c r="V1653" i="2"/>
  <c r="U1653" i="2"/>
  <c r="V1652" i="2"/>
  <c r="U1652" i="2"/>
  <c r="W1652" i="2" a="1"/>
  <c r="W1652" i="2" s="1"/>
  <c r="V1651" i="2"/>
  <c r="U1651" i="2"/>
  <c r="W1651" i="2" a="1"/>
  <c r="W1651" i="2" s="1"/>
  <c r="W1650" i="2" a="1"/>
  <c r="W1650" i="2" s="1"/>
  <c r="V1650" i="2"/>
  <c r="U1650" i="2"/>
  <c r="W1649" i="2" a="1"/>
  <c r="W1649" i="2" s="1"/>
  <c r="V1649" i="2"/>
  <c r="U1649" i="2"/>
  <c r="V1648" i="2"/>
  <c r="U1648" i="2"/>
  <c r="W1648" i="2" a="1"/>
  <c r="W1648" i="2" s="1"/>
  <c r="V1647" i="2"/>
  <c r="U1647" i="2"/>
  <c r="W1647" i="2" a="1"/>
  <c r="W1647" i="2" s="1"/>
  <c r="W1646" i="2" a="1"/>
  <c r="W1646" i="2" s="1"/>
  <c r="V1646" i="2"/>
  <c r="U1646" i="2"/>
  <c r="W1645" i="2" a="1"/>
  <c r="W1645" i="2" s="1"/>
  <c r="V1645" i="2"/>
  <c r="U1645" i="2"/>
  <c r="V1644" i="2"/>
  <c r="U1644" i="2"/>
  <c r="W1644" i="2" a="1"/>
  <c r="W1644" i="2" s="1"/>
  <c r="V1643" i="2"/>
  <c r="U1643" i="2"/>
  <c r="W1643" i="2" a="1"/>
  <c r="W1643" i="2" s="1"/>
  <c r="W1642" i="2" a="1"/>
  <c r="W1642" i="2" s="1"/>
  <c r="V1642" i="2"/>
  <c r="U1642" i="2"/>
  <c r="W1641" i="2" a="1"/>
  <c r="W1641" i="2" s="1"/>
  <c r="V1641" i="2"/>
  <c r="U1641" i="2"/>
  <c r="V1640" i="2"/>
  <c r="U1640" i="2"/>
  <c r="W1640" i="2" a="1"/>
  <c r="W1640" i="2" s="1"/>
  <c r="V1639" i="2"/>
  <c r="U1639" i="2"/>
  <c r="W1639" i="2" a="1"/>
  <c r="W1639" i="2" s="1"/>
  <c r="W1638" i="2" a="1"/>
  <c r="W1638" i="2" s="1"/>
  <c r="V1638" i="2"/>
  <c r="U1638" i="2"/>
  <c r="W1637" i="2" a="1"/>
  <c r="W1637" i="2" s="1"/>
  <c r="V1637" i="2"/>
  <c r="U1637" i="2"/>
  <c r="V1636" i="2"/>
  <c r="U1636" i="2"/>
  <c r="W1636" i="2" a="1"/>
  <c r="W1636" i="2" s="1"/>
  <c r="V1635" i="2"/>
  <c r="U1635" i="2"/>
  <c r="W1635" i="2" a="1"/>
  <c r="W1635" i="2" s="1"/>
  <c r="W1634" i="2" a="1"/>
  <c r="W1634" i="2" s="1"/>
  <c r="V1634" i="2"/>
  <c r="U1634" i="2"/>
  <c r="W1633" i="2" a="1"/>
  <c r="W1633" i="2" s="1"/>
  <c r="V1633" i="2"/>
  <c r="U1633" i="2"/>
  <c r="V1632" i="2"/>
  <c r="U1632" i="2"/>
  <c r="W1632" i="2" a="1"/>
  <c r="W1632" i="2" s="1"/>
  <c r="V1631" i="2"/>
  <c r="U1631" i="2"/>
  <c r="W1631" i="2" a="1"/>
  <c r="W1631" i="2" s="1"/>
  <c r="W1630" i="2" a="1"/>
  <c r="W1630" i="2" s="1"/>
  <c r="V1630" i="2"/>
  <c r="U1630" i="2"/>
  <c r="W1629" i="2" a="1"/>
  <c r="W1629" i="2" s="1"/>
  <c r="V1629" i="2"/>
  <c r="U1629" i="2"/>
  <c r="V1628" i="2"/>
  <c r="U1628" i="2"/>
  <c r="W1628" i="2" a="1"/>
  <c r="W1628" i="2" s="1"/>
  <c r="V1627" i="2"/>
  <c r="U1627" i="2"/>
  <c r="W1627" i="2" a="1"/>
  <c r="W1627" i="2" s="1"/>
  <c r="W1626" i="2" a="1"/>
  <c r="W1626" i="2" s="1"/>
  <c r="V1626" i="2"/>
  <c r="U1626" i="2"/>
  <c r="W1625" i="2" a="1"/>
  <c r="W1625" i="2" s="1"/>
  <c r="V1625" i="2"/>
  <c r="U1625" i="2"/>
  <c r="V1624" i="2"/>
  <c r="U1624" i="2"/>
  <c r="W1624" i="2" a="1"/>
  <c r="W1624" i="2" s="1"/>
  <c r="V1623" i="2"/>
  <c r="U1623" i="2"/>
  <c r="W1623" i="2" a="1"/>
  <c r="W1623" i="2" s="1"/>
  <c r="W1622" i="2" a="1"/>
  <c r="W1622" i="2" s="1"/>
  <c r="V1622" i="2"/>
  <c r="U1622" i="2"/>
  <c r="W1621" i="2" a="1"/>
  <c r="W1621" i="2" s="1"/>
  <c r="V1621" i="2"/>
  <c r="U1621" i="2"/>
  <c r="V1620" i="2"/>
  <c r="U1620" i="2"/>
  <c r="W1620" i="2" a="1"/>
  <c r="W1620" i="2" s="1"/>
  <c r="V1619" i="2"/>
  <c r="U1619" i="2"/>
  <c r="W1619" i="2" a="1"/>
  <c r="W1619" i="2" s="1"/>
  <c r="W1618" i="2" a="1"/>
  <c r="W1618" i="2" s="1"/>
  <c r="V1618" i="2"/>
  <c r="U1618" i="2"/>
  <c r="W1617" i="2" a="1"/>
  <c r="W1617" i="2" s="1"/>
  <c r="V1617" i="2"/>
  <c r="U1617" i="2"/>
  <c r="V1616" i="2"/>
  <c r="U1616" i="2"/>
  <c r="W1616" i="2" a="1"/>
  <c r="W1616" i="2" s="1"/>
  <c r="W1615" i="2"/>
  <c r="W1615" i="2" a="1"/>
  <c r="V1615" i="2"/>
  <c r="U1615" i="2"/>
  <c r="V1614" i="2"/>
  <c r="U1614" i="2"/>
  <c r="W1614" i="2" a="1"/>
  <c r="W1614" i="2" s="1"/>
  <c r="V1613" i="2"/>
  <c r="U1613" i="2"/>
  <c r="W1613" i="2" a="1"/>
  <c r="W1613" i="2" s="1"/>
  <c r="V1612" i="2"/>
  <c r="U1612" i="2"/>
  <c r="W1612" i="2" a="1"/>
  <c r="W1612" i="2" s="1"/>
  <c r="W1611" i="2" a="1"/>
  <c r="W1611" i="2" s="1"/>
  <c r="V1611" i="2"/>
  <c r="U1611" i="2"/>
  <c r="V1610" i="2"/>
  <c r="U1610" i="2"/>
  <c r="W1610" i="2" a="1"/>
  <c r="W1610" i="2" s="1"/>
  <c r="W1609" i="2" a="1"/>
  <c r="W1609" i="2" s="1"/>
  <c r="V1609" i="2"/>
  <c r="U1609" i="2"/>
  <c r="V1608" i="2"/>
  <c r="U1608" i="2"/>
  <c r="W1608" i="2" a="1"/>
  <c r="W1608" i="2" s="1"/>
  <c r="V1607" i="2"/>
  <c r="U1607" i="2"/>
  <c r="W1607" i="2" a="1"/>
  <c r="W1607" i="2" s="1"/>
  <c r="W1606" i="2" a="1"/>
  <c r="W1606" i="2" s="1"/>
  <c r="V1606" i="2"/>
  <c r="U1606" i="2"/>
  <c r="V1605" i="2"/>
  <c r="U1605" i="2"/>
  <c r="W1605" i="2" a="1"/>
  <c r="W1605" i="2" s="1"/>
  <c r="W1604" i="2" a="1"/>
  <c r="W1604" i="2" s="1"/>
  <c r="V1604" i="2"/>
  <c r="U1604" i="2"/>
  <c r="V1603" i="2"/>
  <c r="U1603" i="2"/>
  <c r="W1603" i="2" a="1"/>
  <c r="W1603" i="2" s="1"/>
  <c r="U1602" i="2"/>
  <c r="V1602" i="2"/>
  <c r="W1602" i="2" a="1"/>
  <c r="W1602" i="2" s="1"/>
  <c r="U1601" i="2"/>
  <c r="V1601" i="2"/>
  <c r="W1601" i="2" a="1"/>
  <c r="W1601" i="2" s="1"/>
  <c r="W1600" i="2" a="1"/>
  <c r="W1600" i="2" s="1"/>
  <c r="U1600" i="2"/>
  <c r="V1600" i="2"/>
  <c r="V1599" i="2"/>
  <c r="U1599" i="2"/>
  <c r="W1599" i="2" a="1"/>
  <c r="W1599" i="2" s="1"/>
  <c r="U1598" i="2"/>
  <c r="V1598" i="2"/>
  <c r="W1598" i="2" a="1"/>
  <c r="W1598" i="2" s="1"/>
  <c r="U1597" i="2"/>
  <c r="V1597" i="2"/>
  <c r="W1597" i="2" a="1"/>
  <c r="W1597" i="2" s="1"/>
  <c r="W1596" i="2" a="1"/>
  <c r="W1596" i="2" s="1"/>
  <c r="U1596" i="2"/>
  <c r="V1596" i="2"/>
  <c r="V1595" i="2"/>
  <c r="U1595" i="2"/>
  <c r="W1595" i="2" a="1"/>
  <c r="W1595" i="2" s="1"/>
  <c r="U1594" i="2"/>
  <c r="V1594" i="2"/>
  <c r="W1594" i="2" a="1"/>
  <c r="W1594" i="2" s="1"/>
  <c r="W1593" i="2"/>
  <c r="U1593" i="2"/>
  <c r="V1593" i="2"/>
  <c r="W1593" i="2" a="1"/>
  <c r="V1592" i="2"/>
  <c r="U1592" i="2"/>
  <c r="W1592" i="2" a="1"/>
  <c r="W1592" i="2" s="1"/>
  <c r="V1591" i="2"/>
  <c r="U1591" i="2"/>
  <c r="W1591" i="2" a="1"/>
  <c r="W1591" i="2" s="1"/>
  <c r="V1590" i="2"/>
  <c r="U1590" i="2"/>
  <c r="W1590" i="2" a="1"/>
  <c r="W1590" i="2" s="1"/>
  <c r="U1589" i="2"/>
  <c r="V1589" i="2"/>
  <c r="W1589" i="2" a="1"/>
  <c r="W1589" i="2" s="1"/>
  <c r="U1588" i="2"/>
  <c r="V1588" i="2"/>
  <c r="W1588" i="2" a="1"/>
  <c r="W1588" i="2" s="1"/>
  <c r="W1587" i="2" a="1"/>
  <c r="W1587" i="2" s="1"/>
  <c r="U1587" i="2"/>
  <c r="V1587" i="2"/>
  <c r="W1586" i="2" a="1"/>
  <c r="W1586" i="2" s="1"/>
  <c r="U1586" i="2"/>
  <c r="V1586" i="2"/>
  <c r="V1585" i="2"/>
  <c r="U1585" i="2"/>
  <c r="W1585" i="2" a="1"/>
  <c r="W1585" i="2" s="1"/>
  <c r="V1584" i="2"/>
  <c r="U1584" i="2"/>
  <c r="W1584" i="2" a="1"/>
  <c r="W1584" i="2" s="1"/>
  <c r="V1583" i="2"/>
  <c r="U1583" i="2"/>
  <c r="W1583" i="2" a="1"/>
  <c r="W1583" i="2" s="1"/>
  <c r="W1582" i="2"/>
  <c r="U1582" i="2"/>
  <c r="V1582" i="2"/>
  <c r="W1582" i="2" a="1"/>
  <c r="W1581" i="2" a="1"/>
  <c r="W1581" i="2" s="1"/>
  <c r="U1581" i="2"/>
  <c r="V1581" i="2"/>
  <c r="W1580" i="2" a="1"/>
  <c r="W1580" i="2" s="1"/>
  <c r="U1580" i="2"/>
  <c r="V1580" i="2"/>
  <c r="W1579" i="2" a="1"/>
  <c r="W1579" i="2" s="1"/>
  <c r="U1579" i="2"/>
  <c r="V1579" i="2"/>
  <c r="W1578" i="2"/>
  <c r="U1578" i="2"/>
  <c r="V1578" i="2"/>
  <c r="W1578" i="2" a="1"/>
  <c r="V1577" i="2"/>
  <c r="U1577" i="2"/>
  <c r="W1577" i="2" a="1"/>
  <c r="W1577" i="2" s="1"/>
  <c r="W1576" i="2"/>
  <c r="U1576" i="2"/>
  <c r="V1576" i="2"/>
  <c r="W1576" i="2" a="1"/>
  <c r="U1575" i="2"/>
  <c r="V1575" i="2"/>
  <c r="W1575" i="2" a="1"/>
  <c r="W1575" i="2" s="1"/>
  <c r="W1574" i="2" a="1"/>
  <c r="W1574" i="2" s="1"/>
  <c r="U1574" i="2"/>
  <c r="V1574" i="2"/>
  <c r="W1573" i="2"/>
  <c r="U1573" i="2"/>
  <c r="V1573" i="2"/>
  <c r="W1573" i="2" a="1"/>
  <c r="U1572" i="2"/>
  <c r="V1572" i="2"/>
  <c r="W1572" i="2" a="1"/>
  <c r="W1572" i="2" s="1"/>
  <c r="U1571" i="2"/>
  <c r="V1571" i="2"/>
  <c r="W1571" i="2" a="1"/>
  <c r="W1571" i="2" s="1"/>
  <c r="U1570" i="2"/>
  <c r="V1570" i="2"/>
  <c r="W1570" i="2" a="1"/>
  <c r="W1570" i="2" s="1"/>
  <c r="W1569" i="2" a="1"/>
  <c r="W1569" i="2" s="1"/>
  <c r="U1569" i="2"/>
  <c r="V1569" i="2"/>
  <c r="W1568" i="2" a="1"/>
  <c r="W1568" i="2" s="1"/>
  <c r="U1568" i="2"/>
  <c r="V1568" i="2"/>
  <c r="W1567" i="2" a="1"/>
  <c r="W1567" i="2" s="1"/>
  <c r="U1567" i="2"/>
  <c r="V1567" i="2"/>
  <c r="U1566" i="2"/>
  <c r="V1566" i="2"/>
  <c r="W1566" i="2" a="1"/>
  <c r="W1566" i="2" s="1"/>
  <c r="U1565" i="2"/>
  <c r="V1565" i="2"/>
  <c r="W1565" i="2" a="1"/>
  <c r="W1565" i="2" s="1"/>
  <c r="W1564" i="2" a="1"/>
  <c r="W1564" i="2" s="1"/>
  <c r="U1564" i="2"/>
  <c r="V1564" i="2"/>
  <c r="V1563" i="2"/>
  <c r="U1563" i="2"/>
  <c r="W1563" i="2" a="1"/>
  <c r="W1563" i="2" s="1"/>
  <c r="W1562" i="2"/>
  <c r="U1562" i="2"/>
  <c r="V1562" i="2"/>
  <c r="W1562" i="2" a="1"/>
  <c r="W1561" i="2" a="1"/>
  <c r="W1561" i="2" s="1"/>
  <c r="U1561" i="2"/>
  <c r="V1561" i="2"/>
  <c r="W1560" i="2" a="1"/>
  <c r="W1560" i="2" s="1"/>
  <c r="U1560" i="2"/>
  <c r="V1560" i="2"/>
  <c r="W1559" i="2"/>
  <c r="W1559" i="2" a="1"/>
  <c r="U1559" i="2"/>
  <c r="V1559" i="2"/>
  <c r="W1558" i="2"/>
  <c r="U1558" i="2"/>
  <c r="V1558" i="2"/>
  <c r="W1558" i="2" a="1"/>
  <c r="W1557" i="2" a="1"/>
  <c r="W1557" i="2" s="1"/>
  <c r="U1557" i="2"/>
  <c r="V1557" i="2"/>
  <c r="U1556" i="2"/>
  <c r="V1556" i="2"/>
  <c r="W1556" i="2" a="1"/>
  <c r="W1556" i="2" s="1"/>
  <c r="W1555" i="2"/>
  <c r="U1555" i="2"/>
  <c r="V1555" i="2"/>
  <c r="W1555" i="2" a="1"/>
  <c r="W1554" i="2"/>
  <c r="U1554" i="2"/>
  <c r="V1554" i="2"/>
  <c r="W1554" i="2" a="1"/>
  <c r="W1553" i="2" a="1"/>
  <c r="W1553" i="2" s="1"/>
  <c r="U1553" i="2"/>
  <c r="V1553" i="2"/>
  <c r="U1552" i="2"/>
  <c r="V1552" i="2"/>
  <c r="W1552" i="2" a="1"/>
  <c r="W1552" i="2" s="1"/>
  <c r="U1551" i="2"/>
  <c r="V1551" i="2"/>
  <c r="W1551" i="2" a="1"/>
  <c r="W1551" i="2" s="1"/>
  <c r="U1550" i="2"/>
  <c r="V1550" i="2"/>
  <c r="W1550" i="2" a="1"/>
  <c r="W1550" i="2" s="1"/>
  <c r="W1549" i="2" a="1"/>
  <c r="W1549" i="2" s="1"/>
  <c r="U1549" i="2"/>
  <c r="V1549" i="2"/>
  <c r="W1548" i="2" a="1"/>
  <c r="W1548" i="2" s="1"/>
  <c r="U1548" i="2"/>
  <c r="V1548" i="2"/>
  <c r="W1547" i="2" a="1"/>
  <c r="W1547" i="2" s="1"/>
  <c r="U1547" i="2"/>
  <c r="V1547" i="2"/>
  <c r="W1546" i="2"/>
  <c r="U1546" i="2"/>
  <c r="V1546" i="2"/>
  <c r="W1546" i="2" a="1"/>
  <c r="W1545" i="2" a="1"/>
  <c r="W1545" i="2" s="1"/>
  <c r="U1545" i="2"/>
  <c r="V1545" i="2"/>
  <c r="V1544" i="2"/>
  <c r="U1544" i="2"/>
  <c r="W1544" i="2" a="1"/>
  <c r="W1544" i="2" s="1"/>
  <c r="U1543" i="2"/>
  <c r="V1543" i="2"/>
  <c r="W1543" i="2" a="1"/>
  <c r="W1543" i="2" s="1"/>
  <c r="W1542" i="2" a="1"/>
  <c r="W1542" i="2" s="1"/>
  <c r="U1542" i="2"/>
  <c r="V1542" i="2"/>
  <c r="W1541" i="2" a="1"/>
  <c r="W1541" i="2" s="1"/>
  <c r="U1541" i="2"/>
  <c r="V1541" i="2"/>
  <c r="V1540" i="2"/>
  <c r="U1540" i="2"/>
  <c r="W1540" i="2" a="1"/>
  <c r="W1540" i="2" s="1"/>
  <c r="U1539" i="2"/>
  <c r="V1539" i="2"/>
  <c r="W1539" i="2" a="1"/>
  <c r="W1539" i="2" s="1"/>
  <c r="U1538" i="2"/>
  <c r="V1538" i="2"/>
  <c r="W1538" i="2" a="1"/>
  <c r="W1538" i="2" s="1"/>
  <c r="V1537" i="2"/>
  <c r="U1537" i="2"/>
  <c r="W1537" i="2" a="1"/>
  <c r="W1537" i="2" s="1"/>
  <c r="W1536" i="2" a="1"/>
  <c r="W1536" i="2" s="1"/>
  <c r="U1536" i="2"/>
  <c r="V1536" i="2"/>
  <c r="W1535" i="2" a="1"/>
  <c r="W1535" i="2" s="1"/>
  <c r="U1535" i="2"/>
  <c r="V1535" i="2"/>
  <c r="W1534" i="2" a="1"/>
  <c r="W1534" i="2" s="1"/>
  <c r="V1534" i="2"/>
  <c r="U1534" i="2"/>
  <c r="V1533" i="2"/>
  <c r="U1533" i="2"/>
  <c r="W1533" i="2" a="1"/>
  <c r="W1533" i="2" s="1"/>
  <c r="V1532" i="2"/>
  <c r="U1532" i="2"/>
  <c r="W1532" i="2" a="1"/>
  <c r="W1532" i="2" s="1"/>
  <c r="V1531" i="2"/>
  <c r="U1531" i="2"/>
  <c r="W1531" i="2" a="1"/>
  <c r="W1531" i="2" s="1"/>
  <c r="W1530" i="2"/>
  <c r="V1530" i="2"/>
  <c r="U1530" i="2"/>
  <c r="W1530" i="2" a="1"/>
  <c r="W1529" i="2" a="1"/>
  <c r="W1529" i="2" s="1"/>
  <c r="U1529" i="2"/>
  <c r="V1529" i="2"/>
  <c r="V1528" i="2"/>
  <c r="U1528" i="2"/>
  <c r="W1528" i="2" a="1"/>
  <c r="W1528" i="2" s="1"/>
  <c r="U1527" i="2"/>
  <c r="V1527" i="2"/>
  <c r="W1527" i="2" a="1"/>
  <c r="W1527" i="2" s="1"/>
  <c r="U1526" i="2"/>
  <c r="V1526" i="2"/>
  <c r="W1526" i="2" a="1"/>
  <c r="W1526" i="2" s="1"/>
  <c r="W1525" i="2" a="1"/>
  <c r="W1525" i="2" s="1"/>
  <c r="U1525" i="2"/>
  <c r="V1525" i="2"/>
  <c r="V1524" i="2"/>
  <c r="U1524" i="2"/>
  <c r="W1524" i="2" a="1"/>
  <c r="W1524" i="2" s="1"/>
  <c r="W1523" i="2"/>
  <c r="U1523" i="2"/>
  <c r="V1523" i="2"/>
  <c r="W1523" i="2" a="1"/>
  <c r="U1522" i="2"/>
  <c r="V1522" i="2"/>
  <c r="W1522" i="2" a="1"/>
  <c r="W1522" i="2" s="1"/>
  <c r="W1521" i="2" a="1"/>
  <c r="W1521" i="2" s="1"/>
  <c r="U1521" i="2"/>
  <c r="V1521" i="2"/>
  <c r="V1520" i="2"/>
  <c r="U1520" i="2"/>
  <c r="W1520" i="2" a="1"/>
  <c r="W1520" i="2" s="1"/>
  <c r="W1519" i="2"/>
  <c r="U1519" i="2"/>
  <c r="V1519" i="2"/>
  <c r="W1519" i="2" a="1"/>
  <c r="U1518" i="2"/>
  <c r="V1518" i="2"/>
  <c r="W1518" i="2" a="1"/>
  <c r="W1518" i="2" s="1"/>
  <c r="W1517" i="2" a="1"/>
  <c r="W1517" i="2" s="1"/>
  <c r="U1517" i="2"/>
  <c r="V1517" i="2"/>
  <c r="V1516" i="2"/>
  <c r="U1516" i="2"/>
  <c r="W1516" i="2" a="1"/>
  <c r="W1516" i="2" s="1"/>
  <c r="W1515" i="2"/>
  <c r="U1515" i="2"/>
  <c r="V1515" i="2"/>
  <c r="W1515" i="2" a="1"/>
  <c r="U1514" i="2"/>
  <c r="V1514" i="2"/>
  <c r="W1514" i="2" a="1"/>
  <c r="W1514" i="2" s="1"/>
  <c r="W1513" i="2" a="1"/>
  <c r="W1513" i="2" s="1"/>
  <c r="U1513" i="2"/>
  <c r="V1513" i="2"/>
  <c r="V1512" i="2"/>
  <c r="U1512" i="2"/>
  <c r="W1512" i="2" a="1"/>
  <c r="W1512" i="2" s="1"/>
  <c r="W1511" i="2" a="1"/>
  <c r="W1511" i="2" s="1"/>
  <c r="V1511" i="2"/>
  <c r="U1511" i="2"/>
  <c r="W1510" i="2" a="1"/>
  <c r="W1510" i="2" s="1"/>
  <c r="V1510" i="2"/>
  <c r="U1510" i="2"/>
  <c r="U1509" i="2"/>
  <c r="V1509" i="2"/>
  <c r="W1509" i="2" a="1"/>
  <c r="W1509" i="2" s="1"/>
  <c r="W1508" i="2" a="1"/>
  <c r="W1508" i="2" s="1"/>
  <c r="U1508" i="2"/>
  <c r="V1508" i="2"/>
  <c r="V1507" i="2"/>
  <c r="U1507" i="2"/>
  <c r="W1507" i="2" a="1"/>
  <c r="W1507" i="2" s="1"/>
  <c r="U1506" i="2"/>
  <c r="V1506" i="2"/>
  <c r="W1506" i="2" a="1"/>
  <c r="W1506" i="2" s="1"/>
  <c r="U1505" i="2"/>
  <c r="V1505" i="2"/>
  <c r="W1505" i="2" a="1"/>
  <c r="W1505" i="2" s="1"/>
  <c r="W1504" i="2" a="1"/>
  <c r="W1504" i="2" s="1"/>
  <c r="U1504" i="2"/>
  <c r="V1504" i="2"/>
  <c r="V1503" i="2"/>
  <c r="U1503" i="2"/>
  <c r="W1503" i="2" a="1"/>
  <c r="W1503" i="2" s="1"/>
  <c r="U1502" i="2"/>
  <c r="V1502" i="2"/>
  <c r="W1502" i="2" a="1"/>
  <c r="W1502" i="2" s="1"/>
  <c r="V1501" i="2"/>
  <c r="U1501" i="2"/>
  <c r="W1501" i="2" a="1"/>
  <c r="W1501" i="2" s="1"/>
  <c r="V1500" i="2"/>
  <c r="U1500" i="2"/>
  <c r="W1500" i="2" a="1"/>
  <c r="W1500" i="2" s="1"/>
  <c r="U1499" i="2"/>
  <c r="V1499" i="2"/>
  <c r="W1499" i="2" a="1"/>
  <c r="W1499" i="2" s="1"/>
  <c r="V1498" i="2"/>
  <c r="U1498" i="2"/>
  <c r="W1498" i="2" a="1"/>
  <c r="W1498" i="2" s="1"/>
  <c r="V1497" i="2"/>
  <c r="U1497" i="2"/>
  <c r="W1497" i="2" a="1"/>
  <c r="W1497" i="2" s="1"/>
  <c r="V1496" i="2"/>
  <c r="U1496" i="2"/>
  <c r="W1496" i="2" a="1"/>
  <c r="W1496" i="2" s="1"/>
  <c r="U1495" i="2"/>
  <c r="V1495" i="2"/>
  <c r="W1495" i="2" a="1"/>
  <c r="W1495" i="2" s="1"/>
  <c r="V1494" i="2"/>
  <c r="U1494" i="2"/>
  <c r="W1494" i="2" a="1"/>
  <c r="W1494" i="2" s="1"/>
  <c r="V1493" i="2"/>
  <c r="U1493" i="2"/>
  <c r="W1493" i="2" a="1"/>
  <c r="W1493" i="2" s="1"/>
  <c r="V1492" i="2"/>
  <c r="U1492" i="2"/>
  <c r="W1492" i="2" a="1"/>
  <c r="W1492" i="2" s="1"/>
  <c r="U1491" i="2"/>
  <c r="V1491" i="2"/>
  <c r="W1491" i="2" a="1"/>
  <c r="W1491" i="2" s="1"/>
  <c r="V1490" i="2"/>
  <c r="U1490" i="2"/>
  <c r="W1490" i="2" a="1"/>
  <c r="W1490" i="2" s="1"/>
  <c r="V1489" i="2"/>
  <c r="U1489" i="2"/>
  <c r="W1489" i="2" a="1"/>
  <c r="W1489" i="2" s="1"/>
  <c r="V1488" i="2"/>
  <c r="U1488" i="2"/>
  <c r="W1488" i="2" a="1"/>
  <c r="W1488" i="2" s="1"/>
  <c r="U1487" i="2"/>
  <c r="V1487" i="2"/>
  <c r="W1487" i="2" a="1"/>
  <c r="W1487" i="2" s="1"/>
  <c r="V1486" i="2"/>
  <c r="U1486" i="2"/>
  <c r="W1486" i="2" a="1"/>
  <c r="W1486" i="2" s="1"/>
  <c r="V1485" i="2"/>
  <c r="U1485" i="2"/>
  <c r="W1485" i="2" a="1"/>
  <c r="W1485" i="2" s="1"/>
  <c r="V1484" i="2"/>
  <c r="U1484" i="2"/>
  <c r="W1484" i="2" a="1"/>
  <c r="W1484" i="2" s="1"/>
  <c r="U1483" i="2"/>
  <c r="V1483" i="2"/>
  <c r="W1483" i="2" a="1"/>
  <c r="W1483" i="2" s="1"/>
  <c r="V1482" i="2"/>
  <c r="U1482" i="2"/>
  <c r="W1482" i="2" a="1"/>
  <c r="W1482" i="2" s="1"/>
  <c r="V1481" i="2"/>
  <c r="U1481" i="2"/>
  <c r="W1481" i="2" a="1"/>
  <c r="W1481" i="2" s="1"/>
  <c r="V1480" i="2"/>
  <c r="U1480" i="2"/>
  <c r="W1480" i="2" a="1"/>
  <c r="W1480" i="2" s="1"/>
  <c r="U1479" i="2"/>
  <c r="V1479" i="2"/>
  <c r="W1479" i="2" a="1"/>
  <c r="W1479" i="2" s="1"/>
  <c r="V1478" i="2"/>
  <c r="U1478" i="2"/>
  <c r="W1478" i="2" a="1"/>
  <c r="W1478" i="2" s="1"/>
  <c r="V1477" i="2"/>
  <c r="U1477" i="2"/>
  <c r="W1477" i="2" a="1"/>
  <c r="W1477" i="2" s="1"/>
  <c r="V1476" i="2"/>
  <c r="U1476" i="2"/>
  <c r="W1476" i="2" a="1"/>
  <c r="W1476" i="2" s="1"/>
  <c r="U1475" i="2"/>
  <c r="V1475" i="2"/>
  <c r="W1475" i="2" a="1"/>
  <c r="W1475" i="2" s="1"/>
  <c r="V1474" i="2"/>
  <c r="U1474" i="2"/>
  <c r="W1474" i="2" a="1"/>
  <c r="W1474" i="2" s="1"/>
  <c r="V1473" i="2"/>
  <c r="U1473" i="2"/>
  <c r="W1473" i="2" a="1"/>
  <c r="W1473" i="2" s="1"/>
  <c r="V1472" i="2"/>
  <c r="U1472" i="2"/>
  <c r="W1472" i="2" a="1"/>
  <c r="W1472" i="2" s="1"/>
  <c r="U1471" i="2"/>
  <c r="V1471" i="2"/>
  <c r="W1471" i="2" a="1"/>
  <c r="W1471" i="2" s="1"/>
  <c r="V1470" i="2"/>
  <c r="U1470" i="2"/>
  <c r="W1470" i="2" a="1"/>
  <c r="W1470" i="2" s="1"/>
  <c r="V1469" i="2"/>
  <c r="U1469" i="2"/>
  <c r="W1469" i="2" a="1"/>
  <c r="W1469" i="2" s="1"/>
  <c r="V1468" i="2"/>
  <c r="U1468" i="2"/>
  <c r="W1468" i="2" a="1"/>
  <c r="W1468" i="2" s="1"/>
  <c r="V1467" i="2"/>
  <c r="U1467" i="2"/>
  <c r="W1467" i="2" a="1"/>
  <c r="W1467" i="2" s="1"/>
  <c r="V1466" i="2"/>
  <c r="U1466" i="2"/>
  <c r="W1466" i="2" a="1"/>
  <c r="W1466" i="2" s="1"/>
  <c r="W1465" i="2"/>
  <c r="W1465" i="2" a="1"/>
  <c r="V1465" i="2"/>
  <c r="U1465" i="2"/>
  <c r="V1464" i="2"/>
  <c r="U1464" i="2"/>
  <c r="W1464" i="2" a="1"/>
  <c r="W1464" i="2" s="1"/>
  <c r="U1463" i="2"/>
  <c r="V1463" i="2"/>
  <c r="W1463" i="2" a="1"/>
  <c r="W1463" i="2" s="1"/>
  <c r="V1462" i="2"/>
  <c r="U1462" i="2"/>
  <c r="W1462" i="2" a="1"/>
  <c r="W1462" i="2" s="1"/>
  <c r="U1461" i="2"/>
  <c r="V1461" i="2"/>
  <c r="W1461" i="2" a="1"/>
  <c r="W1461" i="2" s="1"/>
  <c r="V1460" i="2"/>
  <c r="U1460" i="2"/>
  <c r="W1460" i="2" a="1"/>
  <c r="W1460" i="2" s="1"/>
  <c r="W1459" i="2"/>
  <c r="U1459" i="2"/>
  <c r="V1459" i="2"/>
  <c r="W1459" i="2" a="1"/>
  <c r="U1458" i="2"/>
  <c r="V1458" i="2"/>
  <c r="W1458" i="2" a="1"/>
  <c r="W1458" i="2" s="1"/>
  <c r="W1457" i="2"/>
  <c r="U1457" i="2"/>
  <c r="V1457" i="2"/>
  <c r="W1457" i="2" a="1"/>
  <c r="U1456" i="2"/>
  <c r="V1456" i="2"/>
  <c r="W1456" i="2" a="1"/>
  <c r="W1456" i="2" s="1"/>
  <c r="V1455" i="2"/>
  <c r="U1455" i="2"/>
  <c r="W1455" i="2" a="1"/>
  <c r="W1455" i="2" s="1"/>
  <c r="W1454" i="2"/>
  <c r="U1454" i="2"/>
  <c r="V1454" i="2"/>
  <c r="W1454" i="2" a="1"/>
  <c r="V1453" i="2"/>
  <c r="U1453" i="2"/>
  <c r="W1453" i="2" a="1"/>
  <c r="W1453" i="2" s="1"/>
  <c r="W1452" i="2"/>
  <c r="U1452" i="2"/>
  <c r="V1452" i="2"/>
  <c r="W1452" i="2" a="1"/>
  <c r="V1451" i="2"/>
  <c r="U1451" i="2"/>
  <c r="W1451" i="2" a="1"/>
  <c r="W1451" i="2" s="1"/>
  <c r="U1450" i="2"/>
  <c r="V1450" i="2"/>
  <c r="W1450" i="2" a="1"/>
  <c r="W1450" i="2" s="1"/>
  <c r="U1449" i="2"/>
  <c r="V1449" i="2"/>
  <c r="W1449" i="2" a="1"/>
  <c r="W1449" i="2" s="1"/>
  <c r="U1448" i="2"/>
  <c r="V1448" i="2"/>
  <c r="W1448" i="2" a="1"/>
  <c r="W1448" i="2" s="1"/>
  <c r="U1447" i="2"/>
  <c r="V1447" i="2"/>
  <c r="W1447" i="2" a="1"/>
  <c r="W1447" i="2" s="1"/>
  <c r="U1446" i="2"/>
  <c r="V1446" i="2"/>
  <c r="W1446" i="2" a="1"/>
  <c r="W1446" i="2" s="1"/>
  <c r="V1445" i="2"/>
  <c r="U1445" i="2"/>
  <c r="W1445" i="2" a="1"/>
  <c r="W1445" i="2" s="1"/>
  <c r="U1444" i="2"/>
  <c r="V1444" i="2"/>
  <c r="W1444" i="2" a="1"/>
  <c r="W1444" i="2" s="1"/>
  <c r="V1443" i="2"/>
  <c r="U1443" i="2"/>
  <c r="W1443" i="2" a="1"/>
  <c r="W1443" i="2" s="1"/>
  <c r="W1442" i="2"/>
  <c r="U1442" i="2"/>
  <c r="V1442" i="2"/>
  <c r="W1442" i="2" a="1"/>
  <c r="V1441" i="2"/>
  <c r="U1441" i="2"/>
  <c r="W1441" i="2" a="1"/>
  <c r="W1441" i="2" s="1"/>
  <c r="W1440" i="2"/>
  <c r="U1440" i="2"/>
  <c r="V1440" i="2"/>
  <c r="W1440" i="2" a="1"/>
  <c r="V1439" i="2"/>
  <c r="U1439" i="2"/>
  <c r="W1439" i="2" a="1"/>
  <c r="W1439" i="2" s="1"/>
  <c r="U1438" i="2"/>
  <c r="V1438" i="2"/>
  <c r="W1438" i="2" a="1"/>
  <c r="W1438" i="2" s="1"/>
  <c r="W1437" i="2" a="1"/>
  <c r="W1437" i="2" s="1"/>
  <c r="U1437" i="2"/>
  <c r="V1437" i="2"/>
  <c r="W1436" i="2" a="1"/>
  <c r="W1436" i="2" s="1"/>
  <c r="U1436" i="2"/>
  <c r="V1436" i="2"/>
  <c r="W1435" i="2" a="1"/>
  <c r="W1435" i="2" s="1"/>
  <c r="U1435" i="2"/>
  <c r="V1435" i="2"/>
  <c r="V1434" i="2"/>
  <c r="U1434" i="2"/>
  <c r="W1434" i="2" a="1"/>
  <c r="W1434" i="2" s="1"/>
  <c r="U1433" i="2"/>
  <c r="V1433" i="2"/>
  <c r="W1433" i="2" a="1"/>
  <c r="W1433" i="2" s="1"/>
  <c r="V1432" i="2"/>
  <c r="U1432" i="2"/>
  <c r="W1432" i="2" a="1"/>
  <c r="W1432" i="2" s="1"/>
  <c r="W1431" i="2"/>
  <c r="V1431" i="2"/>
  <c r="U1431" i="2"/>
  <c r="W1431" i="2" a="1"/>
  <c r="W1430" i="2"/>
  <c r="V1430" i="2"/>
  <c r="U1430" i="2"/>
  <c r="W1430" i="2" a="1"/>
  <c r="U1429" i="2"/>
  <c r="V1429" i="2"/>
  <c r="W1429" i="2" a="1"/>
  <c r="W1429" i="2" s="1"/>
  <c r="W1428" i="2" a="1"/>
  <c r="W1428" i="2" s="1"/>
  <c r="V1428" i="2"/>
  <c r="U1428" i="2"/>
  <c r="V1427" i="2"/>
  <c r="U1427" i="2"/>
  <c r="W1427" i="2" a="1"/>
  <c r="W1427" i="2" s="1"/>
  <c r="U1426" i="2"/>
  <c r="V1426" i="2"/>
  <c r="W1426" i="2" a="1"/>
  <c r="W1426" i="2" s="1"/>
  <c r="W1425" i="2" a="1"/>
  <c r="W1425" i="2" s="1"/>
  <c r="U1425" i="2"/>
  <c r="V1425" i="2"/>
  <c r="W1424" i="2" a="1"/>
  <c r="W1424" i="2" s="1"/>
  <c r="V1424" i="2"/>
  <c r="U1424" i="2"/>
  <c r="W1423" i="2" a="1"/>
  <c r="W1423" i="2" s="1"/>
  <c r="V1423" i="2"/>
  <c r="U1423" i="2"/>
  <c r="W1422" i="2" a="1"/>
  <c r="W1422" i="2" s="1"/>
  <c r="V1422" i="2"/>
  <c r="U1422" i="2"/>
  <c r="W1421" i="2" a="1"/>
  <c r="W1421" i="2" s="1"/>
  <c r="V1421" i="2"/>
  <c r="U1421" i="2"/>
  <c r="V1420" i="2"/>
  <c r="U1420" i="2"/>
  <c r="W1420" i="2" a="1"/>
  <c r="W1420" i="2" s="1"/>
  <c r="V1419" i="2"/>
  <c r="U1419" i="2"/>
  <c r="W1419" i="2" a="1"/>
  <c r="W1419" i="2" s="1"/>
  <c r="W1418" i="2" a="1"/>
  <c r="W1418" i="2" s="1"/>
  <c r="V1418" i="2"/>
  <c r="U1418" i="2"/>
  <c r="V1417" i="2"/>
  <c r="U1417" i="2"/>
  <c r="W1417" i="2" a="1"/>
  <c r="W1417" i="2" s="1"/>
  <c r="W1416" i="2"/>
  <c r="V1416" i="2"/>
  <c r="U1416" i="2"/>
  <c r="W1416" i="2" a="1"/>
  <c r="W1415" i="2" a="1"/>
  <c r="W1415" i="2" s="1"/>
  <c r="V1415" i="2"/>
  <c r="U1415" i="2"/>
  <c r="W1414" i="2" a="1"/>
  <c r="W1414" i="2" s="1"/>
  <c r="V1414" i="2"/>
  <c r="U1414" i="2"/>
  <c r="V1413" i="2"/>
  <c r="U1413" i="2"/>
  <c r="W1413" i="2" a="1"/>
  <c r="W1413" i="2" s="1"/>
  <c r="V1412" i="2"/>
  <c r="U1412" i="2"/>
  <c r="W1412" i="2" a="1"/>
  <c r="W1412" i="2" s="1"/>
  <c r="V1411" i="2"/>
  <c r="U1411" i="2"/>
  <c r="W1411" i="2" a="1"/>
  <c r="W1411" i="2" s="1"/>
  <c r="V1410" i="2"/>
  <c r="U1410" i="2"/>
  <c r="W1410" i="2" a="1"/>
  <c r="W1410" i="2" s="1"/>
  <c r="V1409" i="2"/>
  <c r="U1409" i="2"/>
  <c r="W1409" i="2" a="1"/>
  <c r="W1409" i="2" s="1"/>
  <c r="V1408" i="2"/>
  <c r="U1408" i="2"/>
  <c r="W1408" i="2" a="1"/>
  <c r="W1408" i="2" s="1"/>
  <c r="V1407" i="2"/>
  <c r="U1407" i="2"/>
  <c r="W1407" i="2" a="1"/>
  <c r="W1407" i="2" s="1"/>
  <c r="V1406" i="2"/>
  <c r="U1406" i="2"/>
  <c r="W1406" i="2" a="1"/>
  <c r="W1406" i="2" s="1"/>
  <c r="V1405" i="2"/>
  <c r="U1405" i="2"/>
  <c r="W1405" i="2" a="1"/>
  <c r="W1405" i="2" s="1"/>
  <c r="V1404" i="2"/>
  <c r="U1404" i="2"/>
  <c r="W1404" i="2" a="1"/>
  <c r="W1404" i="2" s="1"/>
  <c r="V1403" i="2"/>
  <c r="U1403" i="2"/>
  <c r="W1403" i="2" a="1"/>
  <c r="W1403" i="2" s="1"/>
  <c r="V1402" i="2"/>
  <c r="U1402" i="2"/>
  <c r="W1402" i="2" a="1"/>
  <c r="W1402" i="2" s="1"/>
  <c r="W1401" i="2" a="1"/>
  <c r="W1401" i="2" s="1"/>
  <c r="V1401" i="2"/>
  <c r="U1401" i="2"/>
  <c r="W1400" i="2" a="1"/>
  <c r="W1400" i="2" s="1"/>
  <c r="V1400" i="2"/>
  <c r="U1400" i="2"/>
  <c r="W1399" i="2" a="1"/>
  <c r="W1399" i="2" s="1"/>
  <c r="V1399" i="2"/>
  <c r="U1399" i="2"/>
  <c r="V1398" i="2"/>
  <c r="U1398" i="2"/>
  <c r="W1398" i="2" a="1"/>
  <c r="W1398" i="2" s="1"/>
  <c r="W1397" i="2"/>
  <c r="W1397" i="2" a="1"/>
  <c r="V1397" i="2"/>
  <c r="U1397" i="2"/>
  <c r="W1396" i="2" a="1"/>
  <c r="W1396" i="2" s="1"/>
  <c r="V1396" i="2"/>
  <c r="U1396" i="2"/>
  <c r="V1395" i="2"/>
  <c r="U1395" i="2"/>
  <c r="W1395" i="2" a="1"/>
  <c r="W1395" i="2" s="1"/>
  <c r="V1394" i="2"/>
  <c r="U1394" i="2"/>
  <c r="W1394" i="2" a="1"/>
  <c r="W1394" i="2" s="1"/>
  <c r="W1393" i="2" a="1"/>
  <c r="W1393" i="2" s="1"/>
  <c r="V1393" i="2"/>
  <c r="U1393" i="2"/>
  <c r="W1392" i="2" a="1"/>
  <c r="W1392" i="2" s="1"/>
  <c r="V1392" i="2"/>
  <c r="U1392" i="2"/>
  <c r="V1391" i="2"/>
  <c r="U1391" i="2"/>
  <c r="W1391" i="2" a="1"/>
  <c r="W1391" i="2" s="1"/>
  <c r="V1390" i="2"/>
  <c r="U1390" i="2"/>
  <c r="W1390" i="2" a="1"/>
  <c r="W1390" i="2" s="1"/>
  <c r="W1389" i="2" a="1"/>
  <c r="W1389" i="2" s="1"/>
  <c r="V1389" i="2"/>
  <c r="U1389" i="2"/>
  <c r="W1388" i="2" a="1"/>
  <c r="W1388" i="2" s="1"/>
  <c r="V1388" i="2"/>
  <c r="U1388" i="2"/>
  <c r="V1387" i="2"/>
  <c r="U1387" i="2"/>
  <c r="W1387" i="2" a="1"/>
  <c r="W1387" i="2" s="1"/>
  <c r="V1386" i="2"/>
  <c r="U1386" i="2"/>
  <c r="W1386" i="2" a="1"/>
  <c r="W1386" i="2" s="1"/>
  <c r="W1385" i="2" a="1"/>
  <c r="W1385" i="2" s="1"/>
  <c r="V1385" i="2"/>
  <c r="U1385" i="2"/>
  <c r="W1384" i="2" a="1"/>
  <c r="W1384" i="2" s="1"/>
  <c r="V1384" i="2"/>
  <c r="U1384" i="2"/>
  <c r="W1383" i="2" a="1"/>
  <c r="W1383" i="2" s="1"/>
  <c r="V1383" i="2"/>
  <c r="U1383" i="2"/>
  <c r="W1382" i="2" a="1"/>
  <c r="W1382" i="2" s="1"/>
  <c r="V1382" i="2"/>
  <c r="U1382" i="2"/>
  <c r="V1381" i="2"/>
  <c r="U1381" i="2"/>
  <c r="W1381" i="2" a="1"/>
  <c r="W1381" i="2" s="1"/>
  <c r="V1380" i="2"/>
  <c r="U1380" i="2"/>
  <c r="W1380" i="2" a="1"/>
  <c r="W1380" i="2" s="1"/>
  <c r="V1379" i="2"/>
  <c r="U1379" i="2"/>
  <c r="W1379" i="2" a="1"/>
  <c r="W1379" i="2" s="1"/>
  <c r="W1378" i="2"/>
  <c r="W1378" i="2" a="1"/>
  <c r="V1378" i="2"/>
  <c r="U1378" i="2"/>
  <c r="W1377" i="2"/>
  <c r="W1377" i="2" a="1"/>
  <c r="V1377" i="2"/>
  <c r="U1377" i="2"/>
  <c r="W1376" i="2" a="1"/>
  <c r="W1376" i="2" s="1"/>
  <c r="V1376" i="2"/>
  <c r="U1376" i="2"/>
  <c r="W1375" i="2" a="1"/>
  <c r="W1375" i="2" s="1"/>
  <c r="V1375" i="2"/>
  <c r="U1375" i="2"/>
  <c r="W1374" i="2" a="1"/>
  <c r="W1374" i="2" s="1"/>
  <c r="V1374" i="2"/>
  <c r="U1374" i="2"/>
  <c r="W1373" i="2" a="1"/>
  <c r="W1373" i="2" s="1"/>
  <c r="V1373" i="2"/>
  <c r="U1373" i="2"/>
  <c r="V1372" i="2"/>
  <c r="U1372" i="2"/>
  <c r="W1372" i="2" a="1"/>
  <c r="W1372" i="2" s="1"/>
  <c r="V1371" i="2"/>
  <c r="U1371" i="2"/>
  <c r="W1371" i="2" a="1"/>
  <c r="W1371" i="2" s="1"/>
  <c r="V1370" i="2"/>
  <c r="U1370" i="2"/>
  <c r="W1370" i="2" a="1"/>
  <c r="W1370" i="2" s="1"/>
  <c r="W1369" i="2" a="1"/>
  <c r="W1369" i="2" s="1"/>
  <c r="V1369" i="2"/>
  <c r="U1369" i="2"/>
  <c r="W1368" i="2" a="1"/>
  <c r="W1368" i="2" s="1"/>
  <c r="V1368" i="2"/>
  <c r="U1368" i="2"/>
  <c r="V1367" i="2"/>
  <c r="U1367" i="2"/>
  <c r="W1367" i="2" a="1"/>
  <c r="W1367" i="2" s="1"/>
  <c r="V1366" i="2"/>
  <c r="U1366" i="2"/>
  <c r="W1366" i="2" a="1"/>
  <c r="W1366" i="2" s="1"/>
  <c r="W1365" i="2" a="1"/>
  <c r="W1365" i="2" s="1"/>
  <c r="V1365" i="2"/>
  <c r="U1365" i="2"/>
  <c r="W1364" i="2" a="1"/>
  <c r="W1364" i="2" s="1"/>
  <c r="V1364" i="2"/>
  <c r="U1364" i="2"/>
  <c r="V1363" i="2"/>
  <c r="U1363" i="2"/>
  <c r="W1363" i="2" a="1"/>
  <c r="W1363" i="2" s="1"/>
  <c r="V1362" i="2"/>
  <c r="U1362" i="2"/>
  <c r="W1362" i="2" a="1"/>
  <c r="W1362" i="2" s="1"/>
  <c r="W1361" i="2"/>
  <c r="W1361" i="2" a="1"/>
  <c r="V1361" i="2"/>
  <c r="U1361" i="2"/>
  <c r="W1360" i="2"/>
  <c r="W1360" i="2" a="1"/>
  <c r="V1360" i="2"/>
  <c r="U1360" i="2"/>
  <c r="W1359" i="2" a="1"/>
  <c r="W1359" i="2" s="1"/>
  <c r="V1359" i="2"/>
  <c r="U1359" i="2"/>
  <c r="V1358" i="2"/>
  <c r="U1358" i="2"/>
  <c r="W1358" i="2" a="1"/>
  <c r="W1358" i="2" s="1"/>
  <c r="W1357" i="2" a="1"/>
  <c r="W1357" i="2" s="1"/>
  <c r="V1357" i="2"/>
  <c r="U1357" i="2"/>
  <c r="W1356" i="2" a="1"/>
  <c r="W1356" i="2" s="1"/>
  <c r="V1356" i="2"/>
  <c r="U1356" i="2"/>
  <c r="W1355" i="2" a="1"/>
  <c r="W1355" i="2" s="1"/>
  <c r="V1355" i="2"/>
  <c r="U1355" i="2"/>
  <c r="V1354" i="2"/>
  <c r="U1354" i="2"/>
  <c r="W1354" i="2" a="1"/>
  <c r="W1354" i="2" s="1"/>
  <c r="W1353" i="2"/>
  <c r="V1353" i="2"/>
  <c r="U1353" i="2"/>
  <c r="W1353" i="2" a="1"/>
  <c r="W1352" i="2"/>
  <c r="V1352" i="2"/>
  <c r="U1352" i="2"/>
  <c r="W1352" i="2" a="1"/>
  <c r="W1351" i="2"/>
  <c r="W1351" i="2" a="1"/>
  <c r="V1351" i="2"/>
  <c r="U1351" i="2"/>
  <c r="W1350" i="2"/>
  <c r="W1350" i="2" a="1"/>
  <c r="V1350" i="2"/>
  <c r="U1350" i="2"/>
  <c r="W1349" i="2" a="1"/>
  <c r="W1349" i="2" s="1"/>
  <c r="V1349" i="2"/>
  <c r="U1349" i="2"/>
  <c r="W1348" i="2" a="1"/>
  <c r="W1348" i="2" s="1"/>
  <c r="V1348" i="2"/>
  <c r="U1348" i="2"/>
  <c r="V1347" i="2"/>
  <c r="U1347" i="2"/>
  <c r="W1347" i="2" a="1"/>
  <c r="W1347" i="2" s="1"/>
  <c r="W1346" i="2"/>
  <c r="W1346" i="2" a="1"/>
  <c r="V1346" i="2"/>
  <c r="U1346" i="2"/>
  <c r="W1345" i="2"/>
  <c r="W1345" i="2" a="1"/>
  <c r="V1345" i="2"/>
  <c r="U1345" i="2"/>
  <c r="W1344" i="2" a="1"/>
  <c r="W1344" i="2" s="1"/>
  <c r="V1344" i="2"/>
  <c r="U1344" i="2"/>
  <c r="V1343" i="2"/>
  <c r="U1343" i="2"/>
  <c r="W1343" i="2" a="1"/>
  <c r="W1343" i="2" s="1"/>
  <c r="W1342" i="2" a="1"/>
  <c r="W1342" i="2" s="1"/>
  <c r="V1342" i="2"/>
  <c r="U1342" i="2"/>
  <c r="W1341" i="2" a="1"/>
  <c r="W1341" i="2" s="1"/>
  <c r="V1341" i="2"/>
  <c r="U1341" i="2"/>
  <c r="W1340" i="2" a="1"/>
  <c r="W1340" i="2" s="1"/>
  <c r="V1340" i="2"/>
  <c r="U1340" i="2"/>
  <c r="V1339" i="2"/>
  <c r="U1339" i="2"/>
  <c r="W1339" i="2" a="1"/>
  <c r="W1339" i="2" s="1"/>
  <c r="W1338" i="2" a="1"/>
  <c r="W1338" i="2" s="1"/>
  <c r="V1338" i="2"/>
  <c r="U1338" i="2"/>
  <c r="W1337" i="2" a="1"/>
  <c r="W1337" i="2" s="1"/>
  <c r="V1337" i="2"/>
  <c r="U1337" i="2"/>
  <c r="V1336" i="2"/>
  <c r="U1336" i="2"/>
  <c r="W1336" i="2" a="1"/>
  <c r="W1336" i="2" s="1"/>
  <c r="U1335" i="2"/>
  <c r="V1335" i="2"/>
  <c r="W1335" i="2" a="1"/>
  <c r="W1335" i="2" s="1"/>
  <c r="V1334" i="2"/>
  <c r="U1334" i="2"/>
  <c r="W1334" i="2" a="1"/>
  <c r="W1334" i="2" s="1"/>
  <c r="U1333" i="2"/>
  <c r="V1333" i="2"/>
  <c r="W1333" i="2" a="1"/>
  <c r="W1333" i="2" s="1"/>
  <c r="U1332" i="2"/>
  <c r="V1332" i="2"/>
  <c r="W1332" i="2" a="1"/>
  <c r="W1332" i="2" s="1"/>
  <c r="U1331" i="2"/>
  <c r="V1331" i="2"/>
  <c r="W1331" i="2" a="1"/>
  <c r="W1331" i="2" s="1"/>
  <c r="U1330" i="2"/>
  <c r="V1330" i="2"/>
  <c r="W1330" i="2" a="1"/>
  <c r="W1330" i="2" s="1"/>
  <c r="U1329" i="2"/>
  <c r="V1329" i="2"/>
  <c r="W1329" i="2" a="1"/>
  <c r="W1329" i="2" s="1"/>
  <c r="U1328" i="2"/>
  <c r="V1328" i="2"/>
  <c r="W1328" i="2" a="1"/>
  <c r="W1328" i="2" s="1"/>
  <c r="U1327" i="2"/>
  <c r="V1327" i="2"/>
  <c r="W1327" i="2" a="1"/>
  <c r="W1327" i="2" s="1"/>
  <c r="W1326" i="2" a="1"/>
  <c r="W1326" i="2" s="1"/>
  <c r="U1326" i="2"/>
  <c r="V1326" i="2"/>
  <c r="V1325" i="2"/>
  <c r="U1325" i="2"/>
  <c r="W1325" i="2" a="1"/>
  <c r="W1325" i="2" s="1"/>
  <c r="U1324" i="2"/>
  <c r="V1324" i="2"/>
  <c r="W1324" i="2" a="1"/>
  <c r="W1324" i="2" s="1"/>
  <c r="U1323" i="2"/>
  <c r="V1323" i="2"/>
  <c r="W1323" i="2" a="1"/>
  <c r="W1323" i="2" s="1"/>
  <c r="W1322" i="2" a="1"/>
  <c r="W1322" i="2" s="1"/>
  <c r="U1322" i="2"/>
  <c r="V1322" i="2"/>
  <c r="V1321" i="2"/>
  <c r="U1321" i="2"/>
  <c r="W1321" i="2" a="1"/>
  <c r="W1321" i="2" s="1"/>
  <c r="U1320" i="2"/>
  <c r="V1320" i="2"/>
  <c r="W1320" i="2" a="1"/>
  <c r="W1320" i="2" s="1"/>
  <c r="U1319" i="2"/>
  <c r="V1319" i="2"/>
  <c r="W1319" i="2" a="1"/>
  <c r="W1319" i="2" s="1"/>
  <c r="W1318" i="2" a="1"/>
  <c r="W1318" i="2" s="1"/>
  <c r="U1318" i="2"/>
  <c r="V1318" i="2"/>
  <c r="V1317" i="2"/>
  <c r="U1317" i="2"/>
  <c r="W1317" i="2" a="1"/>
  <c r="W1317" i="2" s="1"/>
  <c r="U1316" i="2"/>
  <c r="V1316" i="2"/>
  <c r="W1316" i="2" a="1"/>
  <c r="W1316" i="2" s="1"/>
  <c r="U1315" i="2"/>
  <c r="V1315" i="2"/>
  <c r="W1315" i="2" a="1"/>
  <c r="W1315" i="2" s="1"/>
  <c r="W1314" i="2" a="1"/>
  <c r="W1314" i="2" s="1"/>
  <c r="U1314" i="2"/>
  <c r="V1314" i="2"/>
  <c r="V1313" i="2"/>
  <c r="U1313" i="2"/>
  <c r="W1313" i="2" a="1"/>
  <c r="W1313" i="2" s="1"/>
  <c r="U1312" i="2"/>
  <c r="V1312" i="2"/>
  <c r="W1312" i="2" a="1"/>
  <c r="W1312" i="2" s="1"/>
  <c r="U1311" i="2"/>
  <c r="V1311" i="2"/>
  <c r="W1311" i="2" a="1"/>
  <c r="W1311" i="2" s="1"/>
  <c r="W1310" i="2" a="1"/>
  <c r="W1310" i="2" s="1"/>
  <c r="U1310" i="2"/>
  <c r="V1310" i="2"/>
  <c r="V1309" i="2"/>
  <c r="U1309" i="2"/>
  <c r="W1309" i="2" a="1"/>
  <c r="W1309" i="2" s="1"/>
  <c r="U1308" i="2"/>
  <c r="V1308" i="2"/>
  <c r="W1308" i="2" a="1"/>
  <c r="W1308" i="2" s="1"/>
  <c r="U1307" i="2"/>
  <c r="V1307" i="2"/>
  <c r="W1307" i="2" a="1"/>
  <c r="W1307" i="2" s="1"/>
  <c r="W1306" i="2" a="1"/>
  <c r="W1306" i="2" s="1"/>
  <c r="U1306" i="2"/>
  <c r="V1306" i="2"/>
  <c r="V1305" i="2"/>
  <c r="U1305" i="2"/>
  <c r="W1305" i="2" a="1"/>
  <c r="W1305" i="2" s="1"/>
  <c r="U1304" i="2"/>
  <c r="V1304" i="2"/>
  <c r="W1304" i="2" a="1"/>
  <c r="W1304" i="2" s="1"/>
  <c r="U1303" i="2"/>
  <c r="V1303" i="2"/>
  <c r="W1303" i="2" a="1"/>
  <c r="W1303" i="2" s="1"/>
  <c r="W1302" i="2" a="1"/>
  <c r="W1302" i="2" s="1"/>
  <c r="U1302" i="2"/>
  <c r="V1302" i="2"/>
  <c r="V1301" i="2"/>
  <c r="U1301" i="2"/>
  <c r="W1301" i="2" a="1"/>
  <c r="W1301" i="2" s="1"/>
  <c r="U1300" i="2"/>
  <c r="V1300" i="2"/>
  <c r="W1300" i="2" a="1"/>
  <c r="W1300" i="2" s="1"/>
  <c r="U1299" i="2"/>
  <c r="V1299" i="2"/>
  <c r="W1299" i="2" a="1"/>
  <c r="W1299" i="2" s="1"/>
  <c r="W1298" i="2" a="1"/>
  <c r="W1298" i="2" s="1"/>
  <c r="U1298" i="2"/>
  <c r="V1298" i="2"/>
  <c r="V1297" i="2"/>
  <c r="U1297" i="2"/>
  <c r="W1297" i="2" a="1"/>
  <c r="W1297" i="2" s="1"/>
  <c r="U1296" i="2"/>
  <c r="V1296" i="2"/>
  <c r="W1296" i="2" a="1"/>
  <c r="W1296" i="2" s="1"/>
  <c r="U1295" i="2"/>
  <c r="V1295" i="2"/>
  <c r="W1295" i="2" a="1"/>
  <c r="W1295" i="2" s="1"/>
  <c r="W1294" i="2" a="1"/>
  <c r="W1294" i="2" s="1"/>
  <c r="U1294" i="2"/>
  <c r="V1294" i="2"/>
  <c r="V1293" i="2"/>
  <c r="U1293" i="2"/>
  <c r="W1293" i="2" a="1"/>
  <c r="W1293" i="2" s="1"/>
  <c r="V1292" i="2"/>
  <c r="U1292" i="2"/>
  <c r="W1292" i="2" a="1"/>
  <c r="W1292" i="2" s="1"/>
  <c r="W1291" i="2" a="1"/>
  <c r="W1291" i="2" s="1"/>
  <c r="U1291" i="2"/>
  <c r="V1291" i="2"/>
  <c r="V1290" i="2"/>
  <c r="U1290" i="2"/>
  <c r="W1290" i="2" a="1"/>
  <c r="W1290" i="2" s="1"/>
  <c r="V1289" i="2"/>
  <c r="U1289" i="2"/>
  <c r="W1289" i="2" a="1"/>
  <c r="W1289" i="2" s="1"/>
  <c r="W1288" i="2"/>
  <c r="U1288" i="2"/>
  <c r="V1288" i="2"/>
  <c r="W1288" i="2" a="1"/>
  <c r="W1287" i="2" a="1"/>
  <c r="W1287" i="2" s="1"/>
  <c r="U1287" i="2"/>
  <c r="V1287" i="2"/>
  <c r="V1286" i="2"/>
  <c r="U1286" i="2"/>
  <c r="W1286" i="2" a="1"/>
  <c r="W1286" i="2" s="1"/>
  <c r="W1285" i="2" a="1"/>
  <c r="W1285" i="2" s="1"/>
  <c r="V1285" i="2"/>
  <c r="U1285" i="2"/>
  <c r="W1284" i="2" a="1"/>
  <c r="W1284" i="2" s="1"/>
  <c r="V1284" i="2"/>
  <c r="U1284" i="2"/>
  <c r="V1283" i="2"/>
  <c r="U1283" i="2"/>
  <c r="W1283" i="2" a="1"/>
  <c r="W1283" i="2" s="1"/>
  <c r="V1282" i="2"/>
  <c r="U1282" i="2"/>
  <c r="W1282" i="2" a="1"/>
  <c r="W1282" i="2" s="1"/>
  <c r="W1281" i="2" a="1"/>
  <c r="W1281" i="2" s="1"/>
  <c r="V1281" i="2"/>
  <c r="U1281" i="2"/>
  <c r="V1280" i="2"/>
  <c r="U1280" i="2"/>
  <c r="W1280" i="2" a="1"/>
  <c r="W1280" i="2" s="1"/>
  <c r="V1279" i="2"/>
  <c r="U1279" i="2"/>
  <c r="W1279" i="2" a="1"/>
  <c r="W1279" i="2" s="1"/>
  <c r="V1278" i="2"/>
  <c r="U1278" i="2"/>
  <c r="W1278" i="2" a="1"/>
  <c r="W1278" i="2" s="1"/>
  <c r="U1277" i="2"/>
  <c r="V1277" i="2"/>
  <c r="W1277" i="2" a="1"/>
  <c r="W1277" i="2" s="1"/>
  <c r="W1276" i="2" a="1"/>
  <c r="W1276" i="2" s="1"/>
  <c r="V1276" i="2"/>
  <c r="U1276" i="2"/>
  <c r="W1275" i="2"/>
  <c r="W1275" i="2" a="1"/>
  <c r="V1275" i="2"/>
  <c r="U1275" i="2"/>
  <c r="V1274" i="2"/>
  <c r="U1274" i="2"/>
  <c r="W1274" i="2" a="1"/>
  <c r="W1274" i="2" s="1"/>
  <c r="W1273" i="2"/>
  <c r="U1273" i="2"/>
  <c r="V1273" i="2"/>
  <c r="W1273" i="2" a="1"/>
  <c r="V1272" i="2"/>
  <c r="U1272" i="2"/>
  <c r="W1272" i="2" a="1"/>
  <c r="W1272" i="2" s="1"/>
  <c r="V1271" i="2"/>
  <c r="U1271" i="2"/>
  <c r="W1271" i="2" a="1"/>
  <c r="W1271" i="2" s="1"/>
  <c r="V1270" i="2"/>
  <c r="U1270" i="2"/>
  <c r="W1270" i="2" a="1"/>
  <c r="W1270" i="2" s="1"/>
  <c r="V1269" i="2"/>
  <c r="U1269" i="2"/>
  <c r="W1269" i="2" a="1"/>
  <c r="W1269" i="2" s="1"/>
  <c r="V1268" i="2"/>
  <c r="U1268" i="2"/>
  <c r="W1268" i="2" a="1"/>
  <c r="W1268" i="2" s="1"/>
  <c r="U1267" i="2"/>
  <c r="V1267" i="2"/>
  <c r="W1267" i="2" a="1"/>
  <c r="W1267" i="2" s="1"/>
  <c r="V1266" i="2"/>
  <c r="U1266" i="2"/>
  <c r="W1266" i="2" a="1"/>
  <c r="W1266" i="2" s="1"/>
  <c r="W1265" i="2"/>
  <c r="U1265" i="2"/>
  <c r="V1265" i="2"/>
  <c r="W1265" i="2" a="1"/>
  <c r="V1264" i="2"/>
  <c r="U1264" i="2"/>
  <c r="W1264" i="2" a="1"/>
  <c r="W1264" i="2" s="1"/>
  <c r="V1263" i="2"/>
  <c r="U1263" i="2"/>
  <c r="W1263" i="2" a="1"/>
  <c r="W1263" i="2" s="1"/>
  <c r="V1262" i="2"/>
  <c r="U1262" i="2"/>
  <c r="W1262" i="2" a="1"/>
  <c r="W1262" i="2" s="1"/>
  <c r="V1261" i="2"/>
  <c r="U1261" i="2"/>
  <c r="W1261" i="2" a="1"/>
  <c r="W1261" i="2" s="1"/>
  <c r="V1260" i="2"/>
  <c r="U1260" i="2"/>
  <c r="W1260" i="2" a="1"/>
  <c r="W1260" i="2" s="1"/>
  <c r="U1259" i="2"/>
  <c r="V1259" i="2"/>
  <c r="W1259" i="2" a="1"/>
  <c r="W1259" i="2" s="1"/>
  <c r="V1258" i="2"/>
  <c r="U1258" i="2"/>
  <c r="W1258" i="2" a="1"/>
  <c r="W1258" i="2" s="1"/>
  <c r="U1257" i="2"/>
  <c r="V1257" i="2"/>
  <c r="W1257" i="2" a="1"/>
  <c r="W1257" i="2" s="1"/>
  <c r="V1256" i="2"/>
  <c r="U1256" i="2"/>
  <c r="W1256" i="2" a="1"/>
  <c r="W1256" i="2" s="1"/>
  <c r="V1255" i="2"/>
  <c r="U1255" i="2"/>
  <c r="W1255" i="2" a="1"/>
  <c r="W1255" i="2" s="1"/>
  <c r="V1254" i="2"/>
  <c r="U1254" i="2"/>
  <c r="W1254" i="2" a="1"/>
  <c r="W1254" i="2" s="1"/>
  <c r="V1253" i="2"/>
  <c r="U1253" i="2"/>
  <c r="W1253" i="2" a="1"/>
  <c r="W1253" i="2" s="1"/>
  <c r="V1252" i="2"/>
  <c r="U1252" i="2"/>
  <c r="W1252" i="2" a="1"/>
  <c r="W1252" i="2" s="1"/>
  <c r="U1251" i="2"/>
  <c r="V1251" i="2"/>
  <c r="W1251" i="2" a="1"/>
  <c r="W1251" i="2" s="1"/>
  <c r="V1250" i="2"/>
  <c r="U1250" i="2"/>
  <c r="W1250" i="2" a="1"/>
  <c r="W1250" i="2" s="1"/>
  <c r="U1249" i="2"/>
  <c r="V1249" i="2"/>
  <c r="W1249" i="2" a="1"/>
  <c r="W1249" i="2" s="1"/>
  <c r="V1248" i="2"/>
  <c r="U1248" i="2"/>
  <c r="W1248" i="2" a="1"/>
  <c r="W1248" i="2" s="1"/>
  <c r="W1247" i="2" a="1"/>
  <c r="W1247" i="2" s="1"/>
  <c r="U1247" i="2"/>
  <c r="V1247" i="2"/>
  <c r="U1246" i="2"/>
  <c r="V1246" i="2"/>
  <c r="W1246" i="2" a="1"/>
  <c r="W1246" i="2" s="1"/>
  <c r="W1245" i="2" a="1"/>
  <c r="W1245" i="2" s="1"/>
  <c r="U1245" i="2"/>
  <c r="V1245" i="2"/>
  <c r="U1244" i="2"/>
  <c r="V1244" i="2"/>
  <c r="W1244" i="2" a="1"/>
  <c r="W1244" i="2" s="1"/>
  <c r="W1243" i="2" a="1"/>
  <c r="W1243" i="2" s="1"/>
  <c r="U1243" i="2"/>
  <c r="V1243" i="2"/>
  <c r="W1242" i="2" a="1"/>
  <c r="W1242" i="2" s="1"/>
  <c r="U1242" i="2"/>
  <c r="V1242" i="2"/>
  <c r="W1241" i="2" a="1"/>
  <c r="W1241" i="2" s="1"/>
  <c r="U1241" i="2"/>
  <c r="V1241" i="2"/>
  <c r="V1240" i="2"/>
  <c r="U1240" i="2"/>
  <c r="W1240" i="2" a="1"/>
  <c r="W1240" i="2" s="1"/>
  <c r="U1239" i="2"/>
  <c r="V1239" i="2"/>
  <c r="W1239" i="2" a="1"/>
  <c r="W1239" i="2" s="1"/>
  <c r="U1238" i="2"/>
  <c r="V1238" i="2"/>
  <c r="W1238" i="2" a="1"/>
  <c r="W1238" i="2" s="1"/>
  <c r="W1237" i="2" a="1"/>
  <c r="W1237" i="2" s="1"/>
  <c r="U1237" i="2"/>
  <c r="V1237" i="2"/>
  <c r="U1236" i="2"/>
  <c r="V1236" i="2"/>
  <c r="W1236" i="2" a="1"/>
  <c r="W1236" i="2" s="1"/>
  <c r="W1235" i="2" a="1"/>
  <c r="W1235" i="2" s="1"/>
  <c r="U1235" i="2"/>
  <c r="V1235" i="2"/>
  <c r="W1234" i="2" a="1"/>
  <c r="W1234" i="2" s="1"/>
  <c r="U1234" i="2"/>
  <c r="V1234" i="2"/>
  <c r="W1233" i="2" a="1"/>
  <c r="W1233" i="2" s="1"/>
  <c r="U1233" i="2"/>
  <c r="V1233" i="2"/>
  <c r="U1232" i="2"/>
  <c r="V1232" i="2"/>
  <c r="W1232" i="2" a="1"/>
  <c r="W1232" i="2" s="1"/>
  <c r="U1231" i="2"/>
  <c r="V1231" i="2"/>
  <c r="W1231" i="2" a="1"/>
  <c r="W1231" i="2" s="1"/>
  <c r="W1230" i="2" a="1"/>
  <c r="W1230" i="2" s="1"/>
  <c r="U1230" i="2"/>
  <c r="V1230" i="2"/>
  <c r="W1229" i="2" a="1"/>
  <c r="W1229" i="2" s="1"/>
  <c r="U1229" i="2"/>
  <c r="V1229" i="2"/>
  <c r="U1228" i="2"/>
  <c r="V1228" i="2"/>
  <c r="W1228" i="2" a="1"/>
  <c r="W1228" i="2" s="1"/>
  <c r="W1227" i="2"/>
  <c r="W1227" i="2" a="1"/>
  <c r="U1227" i="2"/>
  <c r="V1227" i="2"/>
  <c r="U1226" i="2"/>
  <c r="V1226" i="2"/>
  <c r="W1226" i="2" a="1"/>
  <c r="W1226" i="2" s="1"/>
  <c r="U1225" i="2"/>
  <c r="V1225" i="2"/>
  <c r="W1225" i="2" a="1"/>
  <c r="W1225" i="2" s="1"/>
  <c r="U1224" i="2"/>
  <c r="V1224" i="2"/>
  <c r="W1224" i="2" a="1"/>
  <c r="W1224" i="2" s="1"/>
  <c r="W1223" i="2" a="1"/>
  <c r="W1223" i="2" s="1"/>
  <c r="U1223" i="2"/>
  <c r="V1223" i="2"/>
  <c r="W1222" i="2" a="1"/>
  <c r="W1222" i="2" s="1"/>
  <c r="U1222" i="2"/>
  <c r="V1222" i="2"/>
  <c r="U1221" i="2"/>
  <c r="V1221" i="2"/>
  <c r="W1221" i="2" a="1"/>
  <c r="W1221" i="2" s="1"/>
  <c r="U1220" i="2"/>
  <c r="V1220" i="2"/>
  <c r="W1220" i="2" a="1"/>
  <c r="W1220" i="2" s="1"/>
  <c r="V1219" i="2"/>
  <c r="U1219" i="2"/>
  <c r="W1219" i="2" a="1"/>
  <c r="W1219" i="2" s="1"/>
  <c r="W1218" i="2"/>
  <c r="U1218" i="2"/>
  <c r="V1218" i="2"/>
  <c r="W1218" i="2" a="1"/>
  <c r="W1217" i="2" a="1"/>
  <c r="W1217" i="2" s="1"/>
  <c r="U1217" i="2"/>
  <c r="V1217" i="2"/>
  <c r="V1216" i="2"/>
  <c r="U1216" i="2"/>
  <c r="W1216" i="2" a="1"/>
  <c r="W1216" i="2" s="1"/>
  <c r="W1215" i="2" a="1"/>
  <c r="W1215" i="2" s="1"/>
  <c r="U1215" i="2"/>
  <c r="V1215" i="2"/>
  <c r="W1214" i="2" a="1"/>
  <c r="W1214" i="2" s="1"/>
  <c r="U1214" i="2"/>
  <c r="V1214" i="2"/>
  <c r="V1213" i="2"/>
  <c r="U1213" i="2"/>
  <c r="W1213" i="2" a="1"/>
  <c r="W1213" i="2" s="1"/>
  <c r="U1212" i="2"/>
  <c r="V1212" i="2"/>
  <c r="W1212" i="2" a="1"/>
  <c r="W1212" i="2" s="1"/>
  <c r="W1211" i="2" a="1"/>
  <c r="W1211" i="2" s="1"/>
  <c r="U1211" i="2"/>
  <c r="V1211" i="2"/>
  <c r="W1210" i="2" a="1"/>
  <c r="W1210" i="2" s="1"/>
  <c r="U1210" i="2"/>
  <c r="V1210" i="2"/>
  <c r="W1209" i="2" a="1"/>
  <c r="W1209" i="2" s="1"/>
  <c r="U1209" i="2"/>
  <c r="V1209" i="2"/>
  <c r="W1208" i="2"/>
  <c r="U1208" i="2"/>
  <c r="V1208" i="2"/>
  <c r="W1208" i="2" a="1"/>
  <c r="U1207" i="2"/>
  <c r="V1207" i="2"/>
  <c r="W1207" i="2" a="1"/>
  <c r="W1207" i="2" s="1"/>
  <c r="W1206" i="2" a="1"/>
  <c r="W1206" i="2" s="1"/>
  <c r="U1206" i="2"/>
  <c r="V1206" i="2"/>
  <c r="W1205" i="2" a="1"/>
  <c r="W1205" i="2" s="1"/>
  <c r="U1205" i="2"/>
  <c r="V1205" i="2"/>
  <c r="U1204" i="2"/>
  <c r="V1204" i="2"/>
  <c r="W1204" i="2" a="1"/>
  <c r="W1204" i="2" s="1"/>
  <c r="W1203" i="2" a="1"/>
  <c r="W1203" i="2" s="1"/>
  <c r="U1203" i="2"/>
  <c r="V1203" i="2"/>
  <c r="U1202" i="2"/>
  <c r="V1202" i="2"/>
  <c r="W1202" i="2" a="1"/>
  <c r="W1202" i="2" s="1"/>
  <c r="W1201" i="2" a="1"/>
  <c r="W1201" i="2" s="1"/>
  <c r="U1201" i="2"/>
  <c r="V1201" i="2"/>
  <c r="V1200" i="2"/>
  <c r="U1200" i="2"/>
  <c r="W1200" i="2" a="1"/>
  <c r="W1200" i="2" s="1"/>
  <c r="W1199" i="2" a="1"/>
  <c r="W1199" i="2" s="1"/>
  <c r="U1199" i="2"/>
  <c r="V1199" i="2"/>
  <c r="U1198" i="2"/>
  <c r="V1198" i="2"/>
  <c r="W1198" i="2" a="1"/>
  <c r="W1198" i="2" s="1"/>
  <c r="W1197" i="2" a="1"/>
  <c r="W1197" i="2" s="1"/>
  <c r="U1197" i="2"/>
  <c r="V1197" i="2"/>
  <c r="W1196" i="2" a="1"/>
  <c r="W1196" i="2" s="1"/>
  <c r="U1196" i="2"/>
  <c r="V1196" i="2"/>
  <c r="U1195" i="2"/>
  <c r="V1195" i="2"/>
  <c r="W1195" i="2" a="1"/>
  <c r="W1195" i="2" s="1"/>
  <c r="U1194" i="2"/>
  <c r="V1194" i="2"/>
  <c r="W1194" i="2" a="1"/>
  <c r="W1194" i="2" s="1"/>
  <c r="W1193" i="2" a="1"/>
  <c r="W1193" i="2" s="1"/>
  <c r="U1193" i="2"/>
  <c r="V1193" i="2"/>
  <c r="U1192" i="2"/>
  <c r="V1192" i="2"/>
  <c r="W1192" i="2" a="1"/>
  <c r="W1192" i="2" s="1"/>
  <c r="W1191" i="2"/>
  <c r="U1191" i="2"/>
  <c r="V1191" i="2"/>
  <c r="W1191" i="2" a="1"/>
  <c r="U1190" i="2"/>
  <c r="V1190" i="2"/>
  <c r="W1190" i="2" a="1"/>
  <c r="W1190" i="2" s="1"/>
  <c r="W1189" i="2" a="1"/>
  <c r="W1189" i="2" s="1"/>
  <c r="U1189" i="2"/>
  <c r="V1189" i="2"/>
  <c r="V1188" i="2"/>
  <c r="U1188" i="2"/>
  <c r="W1188" i="2" a="1"/>
  <c r="W1188" i="2" s="1"/>
  <c r="W1187" i="2" a="1"/>
  <c r="W1187" i="2" s="1"/>
  <c r="U1187" i="2"/>
  <c r="V1187" i="2"/>
  <c r="U1186" i="2"/>
  <c r="V1186" i="2"/>
  <c r="W1186" i="2" a="1"/>
  <c r="W1186" i="2" s="1"/>
  <c r="W1185" i="2" a="1"/>
  <c r="W1185" i="2" s="1"/>
  <c r="U1185" i="2"/>
  <c r="V1185" i="2"/>
  <c r="U1184" i="2"/>
  <c r="V1184" i="2"/>
  <c r="W1184" i="2" a="1"/>
  <c r="W1184" i="2" s="1"/>
  <c r="U1183" i="2"/>
  <c r="V1183" i="2"/>
  <c r="W1183" i="2" a="1"/>
  <c r="W1183" i="2" s="1"/>
  <c r="U1182" i="2"/>
  <c r="V1182" i="2"/>
  <c r="W1182" i="2" a="1"/>
  <c r="W1182" i="2" s="1"/>
  <c r="U1181" i="2"/>
  <c r="V1181" i="2"/>
  <c r="W1181" i="2" a="1"/>
  <c r="W1181" i="2" s="1"/>
  <c r="W1180" i="2"/>
  <c r="U1180" i="2"/>
  <c r="V1180" i="2"/>
  <c r="W1180" i="2" a="1"/>
  <c r="V1179" i="2"/>
  <c r="U1179" i="2"/>
  <c r="W1179" i="2" a="1"/>
  <c r="W1179" i="2" s="1"/>
  <c r="W1178" i="2" a="1"/>
  <c r="W1178" i="2" s="1"/>
  <c r="U1178" i="2"/>
  <c r="V1178" i="2"/>
  <c r="W1177" i="2" a="1"/>
  <c r="W1177" i="2" s="1"/>
  <c r="U1177" i="2"/>
  <c r="V1177" i="2"/>
  <c r="V1176" i="2"/>
  <c r="U1176" i="2"/>
  <c r="W1176" i="2" a="1"/>
  <c r="W1176" i="2" s="1"/>
  <c r="W1175" i="2"/>
  <c r="W1175" i="2" a="1"/>
  <c r="U1175" i="2"/>
  <c r="V1175" i="2"/>
  <c r="W1174" i="2" a="1"/>
  <c r="W1174" i="2" s="1"/>
  <c r="U1174" i="2"/>
  <c r="V1174" i="2"/>
  <c r="V1173" i="2"/>
  <c r="U1173" i="2"/>
  <c r="W1173" i="2" a="1"/>
  <c r="W1173" i="2" s="1"/>
  <c r="U1172" i="2"/>
  <c r="V1172" i="2"/>
  <c r="W1172" i="2" a="1"/>
  <c r="W1172" i="2" s="1"/>
  <c r="V1171" i="2"/>
  <c r="U1171" i="2"/>
  <c r="W1171" i="2" a="1"/>
  <c r="W1171" i="2" s="1"/>
  <c r="U1170" i="2"/>
  <c r="V1170" i="2"/>
  <c r="W1170" i="2" a="1"/>
  <c r="W1170" i="2" s="1"/>
  <c r="W1169" i="2" a="1"/>
  <c r="W1169" i="2" s="1"/>
  <c r="U1169" i="2"/>
  <c r="V1169" i="2"/>
  <c r="U1168" i="2"/>
  <c r="V1168" i="2"/>
  <c r="W1168" i="2" a="1"/>
  <c r="W1168" i="2" s="1"/>
  <c r="W1167" i="2" a="1"/>
  <c r="W1167" i="2" s="1"/>
  <c r="U1167" i="2"/>
  <c r="V1167" i="2"/>
  <c r="U1166" i="2"/>
  <c r="V1166" i="2"/>
  <c r="W1166" i="2" a="1"/>
  <c r="W1166" i="2" s="1"/>
  <c r="W1165" i="2" a="1"/>
  <c r="W1165" i="2" s="1"/>
  <c r="U1165" i="2"/>
  <c r="V1165" i="2"/>
  <c r="U1164" i="2"/>
  <c r="V1164" i="2"/>
  <c r="W1164" i="2" a="1"/>
  <c r="W1164" i="2" s="1"/>
  <c r="W1163" i="2" a="1"/>
  <c r="W1163" i="2" s="1"/>
  <c r="U1163" i="2"/>
  <c r="V1163" i="2"/>
  <c r="W1162" i="2" a="1"/>
  <c r="W1162" i="2" s="1"/>
  <c r="U1162" i="2"/>
  <c r="V1162" i="2"/>
  <c r="W1161" i="2" a="1"/>
  <c r="W1161" i="2" s="1"/>
  <c r="U1161" i="2"/>
  <c r="V1161" i="2"/>
  <c r="V1160" i="2"/>
  <c r="U1160" i="2"/>
  <c r="W1160" i="2" a="1"/>
  <c r="W1160" i="2" s="1"/>
  <c r="W1159" i="2" a="1"/>
  <c r="W1159" i="2" s="1"/>
  <c r="U1159" i="2"/>
  <c r="V1159" i="2"/>
  <c r="W1158" i="2" a="1"/>
  <c r="W1158" i="2" s="1"/>
  <c r="U1158" i="2"/>
  <c r="V1158" i="2"/>
  <c r="W1157" i="2" a="1"/>
  <c r="W1157" i="2" s="1"/>
  <c r="U1157" i="2"/>
  <c r="V1157" i="2"/>
  <c r="V1156" i="2"/>
  <c r="U1156" i="2"/>
  <c r="W1156" i="2" a="1"/>
  <c r="W1156" i="2" s="1"/>
  <c r="W1155" i="2"/>
  <c r="U1155" i="2"/>
  <c r="V1155" i="2"/>
  <c r="W1155" i="2" a="1"/>
  <c r="U1154" i="2"/>
  <c r="V1154" i="2"/>
  <c r="W1154" i="2" a="1"/>
  <c r="W1154" i="2" s="1"/>
  <c r="W1153" i="2" a="1"/>
  <c r="W1153" i="2" s="1"/>
  <c r="U1153" i="2"/>
  <c r="V1153" i="2"/>
  <c r="U1152" i="2"/>
  <c r="V1152" i="2"/>
  <c r="W1152" i="2" a="1"/>
  <c r="W1152" i="2" s="1"/>
  <c r="V1151" i="2"/>
  <c r="U1151" i="2"/>
  <c r="W1151" i="2" a="1"/>
  <c r="W1151" i="2" s="1"/>
  <c r="W1150" i="2"/>
  <c r="U1150" i="2"/>
  <c r="V1150" i="2"/>
  <c r="W1150" i="2" a="1"/>
  <c r="W1149" i="2" a="1"/>
  <c r="W1149" i="2" s="1"/>
  <c r="V1149" i="2"/>
  <c r="U1149" i="2"/>
  <c r="U1148" i="2"/>
  <c r="V1148" i="2"/>
  <c r="W1148" i="2" a="1"/>
  <c r="W1148" i="2" s="1"/>
  <c r="U1147" i="2"/>
  <c r="V1147" i="2"/>
  <c r="W1147" i="2" a="1"/>
  <c r="W1147" i="2" s="1"/>
  <c r="U1146" i="2"/>
  <c r="V1146" i="2"/>
  <c r="W1146" i="2" a="1"/>
  <c r="W1146" i="2" s="1"/>
  <c r="U1145" i="2"/>
  <c r="V1145" i="2"/>
  <c r="W1145" i="2" a="1"/>
  <c r="W1145" i="2" s="1"/>
  <c r="V1144" i="2"/>
  <c r="U1144" i="2"/>
  <c r="W1144" i="2" a="1"/>
  <c r="W1144" i="2" s="1"/>
  <c r="V1143" i="2"/>
  <c r="U1143" i="2"/>
  <c r="W1143" i="2" a="1"/>
  <c r="W1143" i="2" s="1"/>
  <c r="U1142" i="2"/>
  <c r="V1142" i="2"/>
  <c r="W1142" i="2" a="1"/>
  <c r="W1142" i="2" s="1"/>
  <c r="V1141" i="2"/>
  <c r="U1141" i="2"/>
  <c r="W1141" i="2" a="1"/>
  <c r="W1141" i="2" s="1"/>
  <c r="V1140" i="2"/>
  <c r="U1140" i="2"/>
  <c r="W1140" i="2" a="1"/>
  <c r="W1140" i="2" s="1"/>
  <c r="V1139" i="2"/>
  <c r="U1139" i="2"/>
  <c r="W1139" i="2" a="1"/>
  <c r="W1139" i="2" s="1"/>
  <c r="W1138" i="2"/>
  <c r="U1138" i="2"/>
  <c r="V1138" i="2"/>
  <c r="W1138" i="2" a="1"/>
  <c r="W1137" i="2" a="1"/>
  <c r="W1137" i="2" s="1"/>
  <c r="V1137" i="2"/>
  <c r="U1137" i="2"/>
  <c r="W1136" i="2"/>
  <c r="V1136" i="2"/>
  <c r="U1136" i="2"/>
  <c r="W1136" i="2" a="1"/>
  <c r="U1135" i="2"/>
  <c r="V1135" i="2"/>
  <c r="W1135" i="2" a="1"/>
  <c r="W1135" i="2" s="1"/>
  <c r="V1134" i="2"/>
  <c r="U1134" i="2"/>
  <c r="W1134" i="2" a="1"/>
  <c r="W1134" i="2" s="1"/>
  <c r="U1133" i="2"/>
  <c r="V1133" i="2"/>
  <c r="W1133" i="2" a="1"/>
  <c r="W1133" i="2" s="1"/>
  <c r="U1132" i="2"/>
  <c r="V1132" i="2"/>
  <c r="W1132" i="2" a="1"/>
  <c r="W1132" i="2" s="1"/>
  <c r="W1131" i="2" a="1"/>
  <c r="W1131" i="2" s="1"/>
  <c r="U1131" i="2"/>
  <c r="V1131" i="2"/>
  <c r="W1130" i="2" a="1"/>
  <c r="W1130" i="2" s="1"/>
  <c r="U1130" i="2"/>
  <c r="V1130" i="2"/>
  <c r="V1129" i="2"/>
  <c r="U1129" i="2"/>
  <c r="W1129" i="2" a="1"/>
  <c r="W1129" i="2" s="1"/>
  <c r="U1128" i="2"/>
  <c r="V1128" i="2"/>
  <c r="W1128" i="2" a="1"/>
  <c r="W1128" i="2" s="1"/>
  <c r="V1127" i="2"/>
  <c r="U1127" i="2"/>
  <c r="W1127" i="2" a="1"/>
  <c r="W1127" i="2" s="1"/>
  <c r="W1126" i="2"/>
  <c r="U1126" i="2"/>
  <c r="V1126" i="2"/>
  <c r="W1126" i="2" a="1"/>
  <c r="W1125" i="2" a="1"/>
  <c r="W1125" i="2" s="1"/>
  <c r="U1125" i="2"/>
  <c r="V1125" i="2"/>
  <c r="V1124" i="2"/>
  <c r="U1124" i="2"/>
  <c r="W1124" i="2" a="1"/>
  <c r="W1124" i="2" s="1"/>
  <c r="U1123" i="2"/>
  <c r="V1123" i="2"/>
  <c r="W1123" i="2" a="1"/>
  <c r="W1123" i="2" s="1"/>
  <c r="V1122" i="2"/>
  <c r="U1122" i="2"/>
  <c r="W1122" i="2" a="1"/>
  <c r="W1122" i="2" s="1"/>
  <c r="W1121" i="2" a="1"/>
  <c r="W1121" i="2" s="1"/>
  <c r="V1121" i="2"/>
  <c r="U1121" i="2"/>
  <c r="W1120" i="2" a="1"/>
  <c r="W1120" i="2" s="1"/>
  <c r="V1120" i="2"/>
  <c r="U1120" i="2"/>
  <c r="W1119" i="2" a="1"/>
  <c r="W1119" i="2" s="1"/>
  <c r="U1119" i="2"/>
  <c r="V1119" i="2"/>
  <c r="V1118" i="2"/>
  <c r="U1118" i="2"/>
  <c r="W1118" i="2" a="1"/>
  <c r="W1118" i="2" s="1"/>
  <c r="W1117" i="2" a="1"/>
  <c r="W1117" i="2" s="1"/>
  <c r="V1117" i="2"/>
  <c r="U1117" i="2"/>
  <c r="V1116" i="2"/>
  <c r="U1116" i="2"/>
  <c r="W1116" i="2" a="1"/>
  <c r="W1116" i="2" s="1"/>
  <c r="U1115" i="2"/>
  <c r="V1115" i="2"/>
  <c r="W1115" i="2" a="1"/>
  <c r="W1115" i="2" s="1"/>
  <c r="V1114" i="2"/>
  <c r="U1114" i="2"/>
  <c r="W1114" i="2" a="1"/>
  <c r="W1114" i="2" s="1"/>
  <c r="W1113" i="2" a="1"/>
  <c r="W1113" i="2" s="1"/>
  <c r="V1113" i="2"/>
  <c r="U1113" i="2"/>
  <c r="V1112" i="2"/>
  <c r="U1112" i="2"/>
  <c r="W1112" i="2" a="1"/>
  <c r="W1112" i="2" s="1"/>
  <c r="U1111" i="2"/>
  <c r="V1111" i="2"/>
  <c r="W1111" i="2" a="1"/>
  <c r="W1111" i="2" s="1"/>
  <c r="U1110" i="2"/>
  <c r="V1110" i="2"/>
  <c r="W1110" i="2" a="1"/>
  <c r="W1110" i="2" s="1"/>
  <c r="W1109" i="2" a="1"/>
  <c r="W1109" i="2" s="1"/>
  <c r="U1109" i="2"/>
  <c r="V1109" i="2"/>
  <c r="W1108" i="2"/>
  <c r="V1108" i="2"/>
  <c r="U1108" i="2"/>
  <c r="W1108" i="2" a="1"/>
  <c r="W1107" i="2" a="1"/>
  <c r="W1107" i="2" s="1"/>
  <c r="U1107" i="2"/>
  <c r="V1107" i="2"/>
  <c r="U1106" i="2"/>
  <c r="V1106" i="2"/>
  <c r="W1106" i="2" a="1"/>
  <c r="W1106" i="2" s="1"/>
  <c r="W1105" i="2" a="1"/>
  <c r="W1105" i="2" s="1"/>
  <c r="U1105" i="2"/>
  <c r="V1105" i="2"/>
  <c r="W1104" i="2" a="1"/>
  <c r="W1104" i="2" s="1"/>
  <c r="V1104" i="2"/>
  <c r="U1104" i="2"/>
  <c r="W1103" i="2"/>
  <c r="W1103" i="2" a="1"/>
  <c r="U1103" i="2"/>
  <c r="V1103" i="2"/>
  <c r="W1102" i="2"/>
  <c r="U1102" i="2"/>
  <c r="V1102" i="2"/>
  <c r="W1102" i="2" a="1"/>
  <c r="W1101" i="2" a="1"/>
  <c r="W1101" i="2" s="1"/>
  <c r="U1101" i="2"/>
  <c r="V1101" i="2"/>
  <c r="V1100" i="2"/>
  <c r="U1100" i="2"/>
  <c r="W1100" i="2" a="1"/>
  <c r="W1100" i="2" s="1"/>
  <c r="W1099" i="2" a="1"/>
  <c r="W1099" i="2" s="1"/>
  <c r="U1099" i="2"/>
  <c r="V1099" i="2"/>
  <c r="V1098" i="2"/>
  <c r="U1098" i="2"/>
  <c r="W1098" i="2" a="1"/>
  <c r="W1098" i="2" s="1"/>
  <c r="W1097" i="2" a="1"/>
  <c r="W1097" i="2" s="1"/>
  <c r="V1097" i="2"/>
  <c r="U1097" i="2"/>
  <c r="W1096" i="2" a="1"/>
  <c r="W1096" i="2" s="1"/>
  <c r="V1096" i="2"/>
  <c r="U1096" i="2"/>
  <c r="U1095" i="2"/>
  <c r="V1095" i="2"/>
  <c r="W1095" i="2" a="1"/>
  <c r="W1095" i="2" s="1"/>
  <c r="U1094" i="2"/>
  <c r="V1094" i="2"/>
  <c r="W1094" i="2" a="1"/>
  <c r="W1094" i="2" s="1"/>
  <c r="W1093" i="2" a="1"/>
  <c r="W1093" i="2" s="1"/>
  <c r="U1093" i="2"/>
  <c r="V1093" i="2"/>
  <c r="W1092" i="2"/>
  <c r="V1092" i="2"/>
  <c r="U1092" i="2"/>
  <c r="W1092" i="2" a="1"/>
  <c r="W1091" i="2" a="1"/>
  <c r="W1091" i="2" s="1"/>
  <c r="U1091" i="2"/>
  <c r="V1091" i="2"/>
  <c r="U1090" i="2"/>
  <c r="V1090" i="2"/>
  <c r="W1090" i="2" a="1"/>
  <c r="W1090" i="2" s="1"/>
  <c r="W1089" i="2" a="1"/>
  <c r="W1089" i="2" s="1"/>
  <c r="U1089" i="2"/>
  <c r="V1089" i="2"/>
  <c r="W1088" i="2" a="1"/>
  <c r="W1088" i="2" s="1"/>
  <c r="V1088" i="2"/>
  <c r="U1088" i="2"/>
  <c r="W1087" i="2" a="1"/>
  <c r="W1087" i="2" s="1"/>
  <c r="U1087" i="2"/>
  <c r="V1087" i="2"/>
  <c r="W1086" i="2"/>
  <c r="U1086" i="2"/>
  <c r="V1086" i="2"/>
  <c r="W1086" i="2" a="1"/>
  <c r="W1085" i="2" a="1"/>
  <c r="W1085" i="2" s="1"/>
  <c r="U1085" i="2"/>
  <c r="V1085" i="2"/>
  <c r="W1084" i="2" a="1"/>
  <c r="W1084" i="2" s="1"/>
  <c r="V1084" i="2"/>
  <c r="U1084" i="2"/>
  <c r="W1083" i="2" a="1"/>
  <c r="W1083" i="2" s="1"/>
  <c r="U1083" i="2"/>
  <c r="V1083" i="2"/>
  <c r="V1082" i="2"/>
  <c r="U1082" i="2"/>
  <c r="W1082" i="2" a="1"/>
  <c r="W1082" i="2" s="1"/>
  <c r="W1081" i="2" a="1"/>
  <c r="W1081" i="2" s="1"/>
  <c r="V1081" i="2"/>
  <c r="U1081" i="2"/>
  <c r="V1080" i="2"/>
  <c r="U1080" i="2"/>
  <c r="W1080" i="2" a="1"/>
  <c r="W1080" i="2" s="1"/>
  <c r="W1079" i="2"/>
  <c r="U1079" i="2"/>
  <c r="V1079" i="2"/>
  <c r="W1079" i="2" a="1"/>
  <c r="W1078" i="2" a="1"/>
  <c r="W1078" i="2" s="1"/>
  <c r="U1078" i="2"/>
  <c r="V1078" i="2"/>
  <c r="U1077" i="2"/>
  <c r="V1077" i="2"/>
  <c r="W1077" i="2" a="1"/>
  <c r="W1077" i="2" s="1"/>
  <c r="W1076" i="2" a="1"/>
  <c r="W1076" i="2" s="1"/>
  <c r="U1076" i="2"/>
  <c r="V1076" i="2"/>
  <c r="W1075" i="2" a="1"/>
  <c r="W1075" i="2" s="1"/>
  <c r="U1075" i="2"/>
  <c r="V1075" i="2"/>
  <c r="W1074" i="2" a="1"/>
  <c r="W1074" i="2" s="1"/>
  <c r="U1074" i="2"/>
  <c r="V1074" i="2"/>
  <c r="U1073" i="2"/>
  <c r="V1073" i="2"/>
  <c r="W1073" i="2" a="1"/>
  <c r="W1073" i="2" s="1"/>
  <c r="W1072" i="2" a="1"/>
  <c r="W1072" i="2" s="1"/>
  <c r="U1072" i="2"/>
  <c r="V1072" i="2"/>
  <c r="W1071" i="2" a="1"/>
  <c r="W1071" i="2" s="1"/>
  <c r="U1071" i="2"/>
  <c r="V1071" i="2"/>
  <c r="U1070" i="2"/>
  <c r="V1070" i="2"/>
  <c r="W1070" i="2" a="1"/>
  <c r="W1070" i="2" s="1"/>
  <c r="U1069" i="2"/>
  <c r="V1069" i="2"/>
  <c r="W1069" i="2" a="1"/>
  <c r="W1069" i="2" s="1"/>
  <c r="W1068" i="2" a="1"/>
  <c r="W1068" i="2" s="1"/>
  <c r="U1068" i="2"/>
  <c r="V1068" i="2"/>
  <c r="W1067" i="2" a="1"/>
  <c r="W1067" i="2" s="1"/>
  <c r="U1067" i="2"/>
  <c r="V1067" i="2"/>
  <c r="U1066" i="2"/>
  <c r="V1066" i="2"/>
  <c r="W1066" i="2" a="1"/>
  <c r="W1066" i="2" s="1"/>
  <c r="U1065" i="2"/>
  <c r="V1065" i="2"/>
  <c r="W1065" i="2" a="1"/>
  <c r="W1065" i="2" s="1"/>
  <c r="W1064" i="2" a="1"/>
  <c r="W1064" i="2" s="1"/>
  <c r="U1064" i="2"/>
  <c r="V1064" i="2"/>
  <c r="W1063" i="2" a="1"/>
  <c r="W1063" i="2" s="1"/>
  <c r="U1063" i="2"/>
  <c r="V1063" i="2"/>
  <c r="W1062" i="2" a="1"/>
  <c r="W1062" i="2" s="1"/>
  <c r="U1062" i="2"/>
  <c r="V1062" i="2"/>
  <c r="U1061" i="2"/>
  <c r="V1061" i="2"/>
  <c r="W1061" i="2" a="1"/>
  <c r="W1061" i="2" s="1"/>
  <c r="W1060" i="2" a="1"/>
  <c r="W1060" i="2" s="1"/>
  <c r="U1060" i="2"/>
  <c r="V1060" i="2"/>
  <c r="W1059" i="2" a="1"/>
  <c r="W1059" i="2" s="1"/>
  <c r="U1059" i="2"/>
  <c r="V1059" i="2"/>
  <c r="W1058" i="2" a="1"/>
  <c r="W1058" i="2" s="1"/>
  <c r="U1058" i="2"/>
  <c r="V1058" i="2"/>
  <c r="W1057" i="2" a="1"/>
  <c r="W1057" i="2" s="1"/>
  <c r="U1057" i="2"/>
  <c r="V1057" i="2"/>
  <c r="W1056" i="2" a="1"/>
  <c r="W1056" i="2" s="1"/>
  <c r="U1056" i="2"/>
  <c r="V1056" i="2"/>
  <c r="U1055" i="2"/>
  <c r="V1055" i="2"/>
  <c r="W1055" i="2" a="1"/>
  <c r="W1055" i="2" s="1"/>
  <c r="U1054" i="2"/>
  <c r="V1054" i="2"/>
  <c r="W1054" i="2" a="1"/>
  <c r="W1054" i="2" s="1"/>
  <c r="U1053" i="2"/>
  <c r="V1053" i="2"/>
  <c r="W1053" i="2" a="1"/>
  <c r="W1053" i="2" s="1"/>
  <c r="U1052" i="2"/>
  <c r="V1052" i="2"/>
  <c r="W1052" i="2" a="1"/>
  <c r="W1052" i="2" s="1"/>
  <c r="V1051" i="2"/>
  <c r="U1051" i="2"/>
  <c r="W1051" i="2" a="1"/>
  <c r="W1051" i="2" s="1"/>
  <c r="V1050" i="2"/>
  <c r="U1050" i="2"/>
  <c r="W1050" i="2" a="1"/>
  <c r="W1050" i="2" s="1"/>
  <c r="V1049" i="2"/>
  <c r="U1049" i="2"/>
  <c r="W1049" i="2" a="1"/>
  <c r="W1049" i="2" s="1"/>
  <c r="U1048" i="2"/>
  <c r="V1048" i="2"/>
  <c r="W1048" i="2" a="1"/>
  <c r="W1048" i="2" s="1"/>
  <c r="V1047" i="2"/>
  <c r="U1047" i="2"/>
  <c r="W1047" i="2" a="1"/>
  <c r="W1047" i="2" s="1"/>
  <c r="V1046" i="2"/>
  <c r="U1046" i="2"/>
  <c r="W1046" i="2" a="1"/>
  <c r="W1046" i="2" s="1"/>
  <c r="V1045" i="2"/>
  <c r="U1045" i="2"/>
  <c r="W1045" i="2" a="1"/>
  <c r="W1045" i="2" s="1"/>
  <c r="U1044" i="2"/>
  <c r="V1044" i="2"/>
  <c r="W1044" i="2" a="1"/>
  <c r="W1044" i="2" s="1"/>
  <c r="V1043" i="2"/>
  <c r="U1043" i="2"/>
  <c r="W1043" i="2" a="1"/>
  <c r="W1043" i="2" s="1"/>
  <c r="V1042" i="2"/>
  <c r="U1042" i="2"/>
  <c r="W1042" i="2" a="1"/>
  <c r="W1042" i="2" s="1"/>
  <c r="V1041" i="2"/>
  <c r="U1041" i="2"/>
  <c r="W1041" i="2" a="1"/>
  <c r="W1041" i="2" s="1"/>
  <c r="U1040" i="2"/>
  <c r="V1040" i="2"/>
  <c r="W1040" i="2" a="1"/>
  <c r="W1040" i="2" s="1"/>
  <c r="W1039" i="2" a="1"/>
  <c r="W1039" i="2" s="1"/>
  <c r="U1039" i="2"/>
  <c r="V1039" i="2"/>
  <c r="V1038" i="2"/>
  <c r="U1038" i="2"/>
  <c r="W1038" i="2" a="1"/>
  <c r="W1038" i="2" s="1"/>
  <c r="U1037" i="2"/>
  <c r="V1037" i="2"/>
  <c r="W1037" i="2" a="1"/>
  <c r="W1037" i="2" s="1"/>
  <c r="V1036" i="2"/>
  <c r="U1036" i="2"/>
  <c r="W1036" i="2" a="1"/>
  <c r="W1036" i="2" s="1"/>
  <c r="V1035" i="2"/>
  <c r="U1035" i="2"/>
  <c r="W1035" i="2" a="1"/>
  <c r="W1035" i="2" s="1"/>
  <c r="V1034" i="2"/>
  <c r="U1034" i="2"/>
  <c r="W1034" i="2" a="1"/>
  <c r="W1034" i="2" s="1"/>
  <c r="U1033" i="2"/>
  <c r="V1033" i="2"/>
  <c r="W1033" i="2" a="1"/>
  <c r="W1033" i="2" s="1"/>
  <c r="V1032" i="2"/>
  <c r="U1032" i="2"/>
  <c r="W1032" i="2" a="1"/>
  <c r="W1032" i="2" s="1"/>
  <c r="V1031" i="2"/>
  <c r="U1031" i="2"/>
  <c r="W1031" i="2" a="1"/>
  <c r="W1031" i="2" s="1"/>
  <c r="V1030" i="2"/>
  <c r="U1030" i="2"/>
  <c r="W1030" i="2" a="1"/>
  <c r="W1030" i="2" s="1"/>
  <c r="U1029" i="2"/>
  <c r="V1029" i="2"/>
  <c r="W1029" i="2" a="1"/>
  <c r="W1029" i="2" s="1"/>
  <c r="W1028" i="2" a="1"/>
  <c r="W1028" i="2" s="1"/>
  <c r="U1028" i="2"/>
  <c r="V1028" i="2"/>
  <c r="V1027" i="2"/>
  <c r="U1027" i="2"/>
  <c r="W1027" i="2" a="1"/>
  <c r="W1027" i="2" s="1"/>
  <c r="V1026" i="2"/>
  <c r="U1026" i="2"/>
  <c r="W1026" i="2" a="1"/>
  <c r="W1026" i="2" s="1"/>
  <c r="V1025" i="2"/>
  <c r="U1025" i="2"/>
  <c r="W1025" i="2" a="1"/>
  <c r="W1025" i="2" s="1"/>
  <c r="U1024" i="2"/>
  <c r="V1024" i="2"/>
  <c r="W1024" i="2" a="1"/>
  <c r="W1024" i="2" s="1"/>
  <c r="V1023" i="2"/>
  <c r="U1023" i="2"/>
  <c r="W1023" i="2" a="1"/>
  <c r="W1023" i="2" s="1"/>
  <c r="V1022" i="2"/>
  <c r="U1022" i="2"/>
  <c r="W1022" i="2" a="1"/>
  <c r="W1022" i="2" s="1"/>
  <c r="V1021" i="2"/>
  <c r="U1021" i="2"/>
  <c r="W1021" i="2" a="1"/>
  <c r="W1021" i="2" s="1"/>
  <c r="U1020" i="2"/>
  <c r="V1020" i="2"/>
  <c r="W1020" i="2" a="1"/>
  <c r="W1020" i="2" s="1"/>
  <c r="V1019" i="2"/>
  <c r="U1019" i="2"/>
  <c r="W1019" i="2" a="1"/>
  <c r="W1019" i="2" s="1"/>
  <c r="V1018" i="2"/>
  <c r="U1018" i="2"/>
  <c r="W1018" i="2" a="1"/>
  <c r="W1018" i="2" s="1"/>
  <c r="V1017" i="2"/>
  <c r="U1017" i="2"/>
  <c r="W1017" i="2" a="1"/>
  <c r="W1017" i="2" s="1"/>
  <c r="U1016" i="2"/>
  <c r="V1016" i="2"/>
  <c r="W1016" i="2" a="1"/>
  <c r="W1016" i="2" s="1"/>
  <c r="V1015" i="2"/>
  <c r="U1015" i="2"/>
  <c r="W1015" i="2" a="1"/>
  <c r="W1015" i="2" s="1"/>
  <c r="V1014" i="2"/>
  <c r="U1014" i="2"/>
  <c r="W1014" i="2" a="1"/>
  <c r="W1014" i="2" s="1"/>
  <c r="V1013" i="2"/>
  <c r="U1013" i="2"/>
  <c r="W1013" i="2" a="1"/>
  <c r="W1013" i="2" s="1"/>
  <c r="U1012" i="2"/>
  <c r="V1012" i="2"/>
  <c r="W1012" i="2" a="1"/>
  <c r="W1012" i="2" s="1"/>
  <c r="V1011" i="2"/>
  <c r="U1011" i="2"/>
  <c r="W1011" i="2" a="1"/>
  <c r="W1011" i="2" s="1"/>
  <c r="U1010" i="2"/>
  <c r="V1010" i="2"/>
  <c r="W1010" i="2" a="1"/>
  <c r="W1010" i="2" s="1"/>
  <c r="U1009" i="2"/>
  <c r="V1009" i="2"/>
  <c r="W1009" i="2" a="1"/>
  <c r="W1009" i="2" s="1"/>
  <c r="V1008" i="2"/>
  <c r="U1008" i="2"/>
  <c r="W1008" i="2" a="1"/>
  <c r="W1008" i="2" s="1"/>
  <c r="V1007" i="2"/>
  <c r="U1007" i="2"/>
  <c r="W1007" i="2" a="1"/>
  <c r="W1007" i="2" s="1"/>
  <c r="V1006" i="2"/>
  <c r="U1006" i="2"/>
  <c r="W1006" i="2" a="1"/>
  <c r="W1006" i="2" s="1"/>
  <c r="U1005" i="2"/>
  <c r="V1005" i="2"/>
  <c r="W1005" i="2" a="1"/>
  <c r="W1005" i="2" s="1"/>
  <c r="V1004" i="2"/>
  <c r="U1004" i="2"/>
  <c r="W1004" i="2" a="1"/>
  <c r="W1004" i="2" s="1"/>
  <c r="V1003" i="2"/>
  <c r="U1003" i="2"/>
  <c r="W1003" i="2" a="1"/>
  <c r="W1003" i="2" s="1"/>
  <c r="V1002" i="2"/>
  <c r="U1002" i="2"/>
  <c r="W1002" i="2" a="1"/>
  <c r="W1002" i="2" s="1"/>
  <c r="U1001" i="2"/>
  <c r="V1001" i="2"/>
  <c r="W1001" i="2" a="1"/>
  <c r="W1001" i="2" s="1"/>
  <c r="V1000" i="2"/>
  <c r="U1000" i="2"/>
  <c r="W1000" i="2" a="1"/>
  <c r="W1000" i="2" s="1"/>
  <c r="V999" i="2"/>
  <c r="U999" i="2"/>
  <c r="W999" i="2" a="1"/>
  <c r="W999" i="2" s="1"/>
  <c r="V998" i="2"/>
  <c r="U998" i="2"/>
  <c r="W998" i="2" a="1"/>
  <c r="W998" i="2" s="1"/>
  <c r="U997" i="2"/>
  <c r="V997" i="2"/>
  <c r="W997" i="2" a="1"/>
  <c r="W997" i="2" s="1"/>
  <c r="V996" i="2"/>
  <c r="U996" i="2"/>
  <c r="W996" i="2" a="1"/>
  <c r="W996" i="2" s="1"/>
  <c r="V995" i="2"/>
  <c r="U995" i="2"/>
  <c r="W995" i="2" a="1"/>
  <c r="W995" i="2" s="1"/>
  <c r="V994" i="2"/>
  <c r="U994" i="2"/>
  <c r="W994" i="2" a="1"/>
  <c r="W994" i="2" s="1"/>
  <c r="U993" i="2"/>
  <c r="V993" i="2"/>
  <c r="W993" i="2" a="1"/>
  <c r="W993" i="2" s="1"/>
  <c r="V992" i="2"/>
  <c r="U992" i="2"/>
  <c r="W992" i="2" a="1"/>
  <c r="W992" i="2" s="1"/>
  <c r="V991" i="2"/>
  <c r="U991" i="2"/>
  <c r="W991" i="2" a="1"/>
  <c r="W991" i="2" s="1"/>
  <c r="U990" i="2"/>
  <c r="V990" i="2"/>
  <c r="W990" i="2" a="1"/>
  <c r="W990" i="2" s="1"/>
  <c r="V989" i="2"/>
  <c r="U989" i="2"/>
  <c r="W989" i="2" a="1"/>
  <c r="W989" i="2" s="1"/>
  <c r="U988" i="2"/>
  <c r="V988" i="2"/>
  <c r="W988" i="2" a="1"/>
  <c r="W988" i="2" s="1"/>
  <c r="V987" i="2"/>
  <c r="U987" i="2"/>
  <c r="W987" i="2" a="1"/>
  <c r="W987" i="2" s="1"/>
  <c r="U986" i="2"/>
  <c r="V986" i="2"/>
  <c r="W986" i="2" a="1"/>
  <c r="W986" i="2" s="1"/>
  <c r="V985" i="2"/>
  <c r="U985" i="2"/>
  <c r="W985" i="2" a="1"/>
  <c r="W985" i="2" s="1"/>
  <c r="W984" i="2"/>
  <c r="U984" i="2"/>
  <c r="V984" i="2"/>
  <c r="W984" i="2" a="1"/>
  <c r="V983" i="2"/>
  <c r="U983" i="2"/>
  <c r="W983" i="2" a="1"/>
  <c r="W983" i="2" s="1"/>
  <c r="V982" i="2"/>
  <c r="U982" i="2"/>
  <c r="W982" i="2" a="1"/>
  <c r="W982" i="2" s="1"/>
  <c r="V981" i="2"/>
  <c r="U981" i="2"/>
  <c r="W981" i="2" a="1"/>
  <c r="W981" i="2" s="1"/>
  <c r="W980" i="2" a="1"/>
  <c r="W980" i="2" s="1"/>
  <c r="V980" i="2"/>
  <c r="U980" i="2"/>
  <c r="U979" i="2"/>
  <c r="V979" i="2"/>
  <c r="W979" i="2" a="1"/>
  <c r="W979" i="2" s="1"/>
  <c r="V978" i="2"/>
  <c r="U978" i="2"/>
  <c r="W978" i="2" a="1"/>
  <c r="W978" i="2" s="1"/>
  <c r="V977" i="2"/>
  <c r="U977" i="2"/>
  <c r="W977" i="2" a="1"/>
  <c r="W977" i="2" s="1"/>
  <c r="W976" i="2"/>
  <c r="W976" i="2" a="1"/>
  <c r="V976" i="2"/>
  <c r="U976" i="2"/>
  <c r="V975" i="2"/>
  <c r="U975" i="2"/>
  <c r="W975" i="2" a="1"/>
  <c r="W975" i="2" s="1"/>
  <c r="V974" i="2"/>
  <c r="U974" i="2"/>
  <c r="W974" i="2" a="1"/>
  <c r="W974" i="2" s="1"/>
  <c r="V973" i="2"/>
  <c r="U973" i="2"/>
  <c r="W973" i="2" a="1"/>
  <c r="W973" i="2" s="1"/>
  <c r="W972" i="2" a="1"/>
  <c r="W972" i="2" s="1"/>
  <c r="V972" i="2"/>
  <c r="U972" i="2"/>
  <c r="W971" i="2" a="1"/>
  <c r="W971" i="2" s="1"/>
  <c r="V971" i="2"/>
  <c r="U971" i="2"/>
  <c r="W970" i="2" a="1"/>
  <c r="W970" i="2" s="1"/>
  <c r="V970" i="2"/>
  <c r="U970" i="2"/>
  <c r="V969" i="2"/>
  <c r="U969" i="2"/>
  <c r="W969" i="2" a="1"/>
  <c r="W969" i="2" s="1"/>
  <c r="W968" i="2" a="1"/>
  <c r="W968" i="2" s="1"/>
  <c r="V968" i="2"/>
  <c r="U968" i="2"/>
  <c r="W967" i="2" a="1"/>
  <c r="W967" i="2" s="1"/>
  <c r="V967" i="2"/>
  <c r="U967" i="2"/>
  <c r="V966" i="2"/>
  <c r="U966" i="2"/>
  <c r="W966" i="2" a="1"/>
  <c r="W966" i="2" s="1"/>
  <c r="V965" i="2"/>
  <c r="U965" i="2"/>
  <c r="W965" i="2" a="1"/>
  <c r="W965" i="2" s="1"/>
  <c r="W964" i="2"/>
  <c r="W964" i="2" a="1"/>
  <c r="V964" i="2"/>
  <c r="U964" i="2"/>
  <c r="W963" i="2"/>
  <c r="W963" i="2" a="1"/>
  <c r="V963" i="2"/>
  <c r="U963" i="2"/>
  <c r="V962" i="2"/>
  <c r="U962" i="2"/>
  <c r="W962" i="2" a="1"/>
  <c r="W962" i="2" s="1"/>
  <c r="V961" i="2"/>
  <c r="U961" i="2"/>
  <c r="W961" i="2" a="1"/>
  <c r="W961" i="2" s="1"/>
  <c r="W960" i="2" a="1"/>
  <c r="W960" i="2" s="1"/>
  <c r="V960" i="2"/>
  <c r="U960" i="2"/>
  <c r="W959" i="2" a="1"/>
  <c r="W959" i="2" s="1"/>
  <c r="V959" i="2"/>
  <c r="U959" i="2"/>
  <c r="W958" i="2" a="1"/>
  <c r="W958" i="2" s="1"/>
  <c r="V958" i="2"/>
  <c r="U958" i="2"/>
  <c r="V957" i="2"/>
  <c r="U957" i="2"/>
  <c r="W957" i="2" a="1"/>
  <c r="W957" i="2" s="1"/>
  <c r="W956" i="2"/>
  <c r="W956" i="2" a="1"/>
  <c r="V956" i="2"/>
  <c r="U956" i="2"/>
  <c r="W955" i="2" a="1"/>
  <c r="W955" i="2" s="1"/>
  <c r="V955" i="2"/>
  <c r="U955" i="2"/>
  <c r="W954" i="2" a="1"/>
  <c r="W954" i="2" s="1"/>
  <c r="V954" i="2"/>
  <c r="U954" i="2"/>
  <c r="V953" i="2"/>
  <c r="U953" i="2"/>
  <c r="W953" i="2" a="1"/>
  <c r="W953" i="2" s="1"/>
  <c r="W952" i="2"/>
  <c r="W952" i="2" a="1"/>
  <c r="V952" i="2"/>
  <c r="U952" i="2"/>
  <c r="W951" i="2" a="1"/>
  <c r="W951" i="2" s="1"/>
  <c r="V951" i="2"/>
  <c r="U951" i="2"/>
  <c r="W950" i="2"/>
  <c r="W950" i="2" a="1"/>
  <c r="V950" i="2"/>
  <c r="U950" i="2"/>
  <c r="W949" i="2" a="1"/>
  <c r="W949" i="2" s="1"/>
  <c r="V949" i="2"/>
  <c r="U949" i="2"/>
  <c r="W948" i="2" a="1"/>
  <c r="W948" i="2" s="1"/>
  <c r="V948" i="2"/>
  <c r="U948" i="2"/>
  <c r="W947" i="2" a="1"/>
  <c r="W947" i="2" s="1"/>
  <c r="V947" i="2"/>
  <c r="U947" i="2"/>
  <c r="W946" i="2" a="1"/>
  <c r="W946" i="2" s="1"/>
  <c r="V946" i="2"/>
  <c r="U946" i="2"/>
  <c r="V945" i="2"/>
  <c r="U945" i="2"/>
  <c r="W945" i="2" a="1"/>
  <c r="W945" i="2" s="1"/>
  <c r="U944" i="2"/>
  <c r="V944" i="2"/>
  <c r="W944" i="2" a="1"/>
  <c r="W944" i="2" s="1"/>
  <c r="V943" i="2"/>
  <c r="U943" i="2"/>
  <c r="W943" i="2" a="1"/>
  <c r="W943" i="2" s="1"/>
  <c r="W942" i="2"/>
  <c r="W942" i="2" a="1"/>
  <c r="V942" i="2"/>
  <c r="U942" i="2"/>
  <c r="V941" i="2"/>
  <c r="U941" i="2"/>
  <c r="W941" i="2" a="1"/>
  <c r="W941" i="2" s="1"/>
  <c r="U940" i="2"/>
  <c r="V940" i="2"/>
  <c r="W940" i="2" a="1"/>
  <c r="W940" i="2" s="1"/>
  <c r="V939" i="2"/>
  <c r="U939" i="2"/>
  <c r="W939" i="2" a="1"/>
  <c r="W939" i="2" s="1"/>
  <c r="W938" i="2" a="1"/>
  <c r="W938" i="2" s="1"/>
  <c r="V938" i="2"/>
  <c r="U938" i="2"/>
  <c r="U937" i="2"/>
  <c r="V937" i="2"/>
  <c r="W937" i="2" a="1"/>
  <c r="W937" i="2" s="1"/>
  <c r="W936" i="2" a="1"/>
  <c r="W936" i="2" s="1"/>
  <c r="V936" i="2"/>
  <c r="U936" i="2"/>
  <c r="V935" i="2"/>
  <c r="U935" i="2"/>
  <c r="W935" i="2" a="1"/>
  <c r="W935" i="2" s="1"/>
  <c r="W934" i="2" a="1"/>
  <c r="W934" i="2" s="1"/>
  <c r="V934" i="2"/>
  <c r="U934" i="2"/>
  <c r="W933" i="2" a="1"/>
  <c r="W933" i="2" s="1"/>
  <c r="V933" i="2"/>
  <c r="U933" i="2"/>
  <c r="W932" i="2" a="1"/>
  <c r="W932" i="2" s="1"/>
  <c r="V932" i="2"/>
  <c r="U932" i="2"/>
  <c r="V931" i="2"/>
  <c r="U931" i="2"/>
  <c r="W931" i="2" a="1"/>
  <c r="W931" i="2" s="1"/>
  <c r="W930" i="2" a="1"/>
  <c r="W930" i="2" s="1"/>
  <c r="V930" i="2"/>
  <c r="U930" i="2"/>
  <c r="W929" i="2" a="1"/>
  <c r="W929" i="2" s="1"/>
  <c r="V929" i="2"/>
  <c r="U929" i="2"/>
  <c r="W928" i="2" a="1"/>
  <c r="W928" i="2" s="1"/>
  <c r="V928" i="2"/>
  <c r="U928" i="2"/>
  <c r="W927" i="2" a="1"/>
  <c r="W927" i="2" s="1"/>
  <c r="V927" i="2"/>
  <c r="U927" i="2"/>
  <c r="V926" i="2"/>
  <c r="U926" i="2"/>
  <c r="W926" i="2" a="1"/>
  <c r="W926" i="2" s="1"/>
  <c r="V925" i="2"/>
  <c r="U925" i="2"/>
  <c r="W925" i="2" a="1"/>
  <c r="W925" i="2" s="1"/>
  <c r="V924" i="2"/>
  <c r="U924" i="2"/>
  <c r="W924" i="2" a="1"/>
  <c r="W924" i="2" s="1"/>
  <c r="V923" i="2"/>
  <c r="U923" i="2"/>
  <c r="W923" i="2" a="1"/>
  <c r="W923" i="2" s="1"/>
  <c r="U922" i="2"/>
  <c r="V922" i="2"/>
  <c r="W922" i="2" a="1"/>
  <c r="W922" i="2" s="1"/>
  <c r="V921" i="2"/>
  <c r="U921" i="2"/>
  <c r="W921" i="2" a="1"/>
  <c r="W921" i="2" s="1"/>
  <c r="W920" i="2" a="1"/>
  <c r="W920" i="2" s="1"/>
  <c r="V920" i="2"/>
  <c r="U920" i="2"/>
  <c r="V919" i="2"/>
  <c r="U919" i="2"/>
  <c r="W919" i="2" a="1"/>
  <c r="W919" i="2" s="1"/>
  <c r="U918" i="2"/>
  <c r="V918" i="2"/>
  <c r="W918" i="2" a="1"/>
  <c r="W918" i="2" s="1"/>
  <c r="V917" i="2"/>
  <c r="U917" i="2"/>
  <c r="W917" i="2" a="1"/>
  <c r="W917" i="2" s="1"/>
  <c r="W916" i="2" a="1"/>
  <c r="W916" i="2" s="1"/>
  <c r="V916" i="2"/>
  <c r="U916" i="2"/>
  <c r="U915" i="2"/>
  <c r="V915" i="2"/>
  <c r="W915" i="2" a="1"/>
  <c r="W915" i="2" s="1"/>
  <c r="W914" i="2" a="1"/>
  <c r="W914" i="2" s="1"/>
  <c r="V914" i="2"/>
  <c r="U914" i="2"/>
  <c r="U913" i="2"/>
  <c r="V913" i="2"/>
  <c r="W913" i="2" a="1"/>
  <c r="W913" i="2" s="1"/>
  <c r="V912" i="2"/>
  <c r="U912" i="2"/>
  <c r="W912" i="2" a="1"/>
  <c r="W912" i="2" s="1"/>
  <c r="V911" i="2"/>
  <c r="U911" i="2"/>
  <c r="W911" i="2" a="1"/>
  <c r="W911" i="2" s="1"/>
  <c r="V910" i="2"/>
  <c r="U910" i="2"/>
  <c r="W910" i="2" a="1"/>
  <c r="W910" i="2" s="1"/>
  <c r="V909" i="2"/>
  <c r="U909" i="2"/>
  <c r="W909" i="2" a="1"/>
  <c r="W909" i="2" s="1"/>
  <c r="W908" i="2" a="1"/>
  <c r="W908" i="2" s="1"/>
  <c r="V908" i="2"/>
  <c r="U908" i="2"/>
  <c r="W907" i="2" a="1"/>
  <c r="W907" i="2" s="1"/>
  <c r="V907" i="2"/>
  <c r="U907" i="2"/>
  <c r="W906" i="2" a="1"/>
  <c r="W906" i="2" s="1"/>
  <c r="V906" i="2"/>
  <c r="U906" i="2"/>
  <c r="W905" i="2" a="1"/>
  <c r="W905" i="2" s="1"/>
  <c r="V905" i="2"/>
  <c r="U905" i="2"/>
  <c r="W904" i="2" a="1"/>
  <c r="W904" i="2" s="1"/>
  <c r="V904" i="2"/>
  <c r="U904" i="2"/>
  <c r="W903" i="2" a="1"/>
  <c r="W903" i="2" s="1"/>
  <c r="V903" i="2"/>
  <c r="U903" i="2"/>
  <c r="U902" i="2"/>
  <c r="V902" i="2"/>
  <c r="W902" i="2" a="1"/>
  <c r="W902" i="2" s="1"/>
  <c r="U901" i="2"/>
  <c r="V901" i="2"/>
  <c r="W901" i="2" a="1"/>
  <c r="W901" i="2" s="1"/>
  <c r="W900" i="2" a="1"/>
  <c r="W900" i="2" s="1"/>
  <c r="V900" i="2"/>
  <c r="U900" i="2"/>
  <c r="W899" i="2"/>
  <c r="W899" i="2" a="1"/>
  <c r="V899" i="2"/>
  <c r="U899" i="2"/>
  <c r="W898" i="2" a="1"/>
  <c r="W898" i="2" s="1"/>
  <c r="V898" i="2"/>
  <c r="U898" i="2"/>
  <c r="W897" i="2" a="1"/>
  <c r="W897" i="2" s="1"/>
  <c r="V897" i="2"/>
  <c r="U897" i="2"/>
  <c r="W896" i="2" a="1"/>
  <c r="W896" i="2" s="1"/>
  <c r="V896" i="2"/>
  <c r="U896" i="2"/>
  <c r="W895" i="2" a="1"/>
  <c r="W895" i="2" s="1"/>
  <c r="V895" i="2"/>
  <c r="U895" i="2"/>
  <c r="W894" i="2"/>
  <c r="U894" i="2"/>
  <c r="V894" i="2"/>
  <c r="W894" i="2" a="1"/>
  <c r="U893" i="2"/>
  <c r="V893" i="2"/>
  <c r="W893" i="2" a="1"/>
  <c r="W893" i="2" s="1"/>
  <c r="W892" i="2" a="1"/>
  <c r="W892" i="2" s="1"/>
  <c r="V892" i="2"/>
  <c r="U892" i="2"/>
  <c r="W891" i="2" a="1"/>
  <c r="W891" i="2" s="1"/>
  <c r="V891" i="2"/>
  <c r="U891" i="2"/>
  <c r="W890" i="2" a="1"/>
  <c r="W890" i="2" s="1"/>
  <c r="V890" i="2"/>
  <c r="U890" i="2"/>
  <c r="W889" i="2"/>
  <c r="W889" i="2" a="1"/>
  <c r="V889" i="2"/>
  <c r="U889" i="2"/>
  <c r="W888" i="2" a="1"/>
  <c r="W888" i="2" s="1"/>
  <c r="V888" i="2"/>
  <c r="U888" i="2"/>
  <c r="V887" i="2"/>
  <c r="U887" i="2"/>
  <c r="W887" i="2" a="1"/>
  <c r="W887" i="2" s="1"/>
  <c r="U886" i="2"/>
  <c r="V886" i="2"/>
  <c r="W886" i="2" a="1"/>
  <c r="W886" i="2" s="1"/>
  <c r="U885" i="2"/>
  <c r="V885" i="2"/>
  <c r="W885" i="2" a="1"/>
  <c r="W885" i="2" s="1"/>
  <c r="W884" i="2" a="1"/>
  <c r="W884" i="2" s="1"/>
  <c r="V884" i="2"/>
  <c r="U884" i="2"/>
  <c r="W883" i="2"/>
  <c r="W883" i="2" a="1"/>
  <c r="V883" i="2"/>
  <c r="U883" i="2"/>
  <c r="W882" i="2" a="1"/>
  <c r="W882" i="2" s="1"/>
  <c r="V882" i="2"/>
  <c r="U882" i="2"/>
  <c r="W881" i="2" a="1"/>
  <c r="W881" i="2" s="1"/>
  <c r="V881" i="2"/>
  <c r="U881" i="2"/>
  <c r="W880" i="2" a="1"/>
  <c r="W880" i="2" s="1"/>
  <c r="V880" i="2"/>
  <c r="U880" i="2"/>
  <c r="W879" i="2" a="1"/>
  <c r="W879" i="2" s="1"/>
  <c r="V879" i="2"/>
  <c r="U879" i="2"/>
  <c r="W878" i="2" a="1"/>
  <c r="W878" i="2" s="1"/>
  <c r="V878" i="2"/>
  <c r="U878" i="2"/>
  <c r="W877" i="2" a="1"/>
  <c r="W877" i="2" s="1"/>
  <c r="V877" i="2"/>
  <c r="U877" i="2"/>
  <c r="W876" i="2"/>
  <c r="U876" i="2"/>
  <c r="V876" i="2"/>
  <c r="W876" i="2" a="1"/>
  <c r="U875" i="2"/>
  <c r="V875" i="2"/>
  <c r="W875" i="2" a="1"/>
  <c r="W875" i="2" s="1"/>
  <c r="W874" i="2" a="1"/>
  <c r="W874" i="2" s="1"/>
  <c r="V874" i="2"/>
  <c r="U874" i="2"/>
  <c r="V873" i="2"/>
  <c r="U873" i="2"/>
  <c r="W873" i="2" a="1"/>
  <c r="W873" i="2" s="1"/>
  <c r="U872" i="2"/>
  <c r="V872" i="2"/>
  <c r="W872" i="2" a="1"/>
  <c r="W872" i="2" s="1"/>
  <c r="V871" i="2"/>
  <c r="U871" i="2"/>
  <c r="W871" i="2" a="1"/>
  <c r="W871" i="2" s="1"/>
  <c r="U870" i="2"/>
  <c r="V870" i="2"/>
  <c r="W870" i="2" a="1"/>
  <c r="W870" i="2" s="1"/>
  <c r="V869" i="2"/>
  <c r="U869" i="2"/>
  <c r="W869" i="2" a="1"/>
  <c r="W869" i="2" s="1"/>
  <c r="W868" i="2" a="1"/>
  <c r="W868" i="2" s="1"/>
  <c r="V868" i="2"/>
  <c r="U868" i="2"/>
  <c r="W867" i="2"/>
  <c r="V867" i="2"/>
  <c r="U867" i="2"/>
  <c r="W867" i="2" a="1"/>
  <c r="U866" i="2"/>
  <c r="V866" i="2"/>
  <c r="W866" i="2" a="1"/>
  <c r="W866" i="2" s="1"/>
  <c r="V865" i="2"/>
  <c r="U865" i="2"/>
  <c r="W865" i="2" a="1"/>
  <c r="W865" i="2" s="1"/>
  <c r="W864" i="2" a="1"/>
  <c r="W864" i="2" s="1"/>
  <c r="V864" i="2"/>
  <c r="U864" i="2"/>
  <c r="W863" i="2" a="1"/>
  <c r="W863" i="2" s="1"/>
  <c r="V863" i="2"/>
  <c r="U863" i="2"/>
  <c r="W862" i="2" a="1"/>
  <c r="W862" i="2" s="1"/>
  <c r="V862" i="2"/>
  <c r="U862" i="2"/>
  <c r="W861" i="2" a="1"/>
  <c r="W861" i="2" s="1"/>
  <c r="V861" i="2"/>
  <c r="U861" i="2"/>
  <c r="W860" i="2"/>
  <c r="W860" i="2" a="1"/>
  <c r="V860" i="2"/>
  <c r="U860" i="2"/>
  <c r="W859" i="2" a="1"/>
  <c r="W859" i="2" s="1"/>
  <c r="V859" i="2"/>
  <c r="U859" i="2"/>
  <c r="W858" i="2"/>
  <c r="U858" i="2"/>
  <c r="V858" i="2"/>
  <c r="W858" i="2" a="1"/>
  <c r="V857" i="2"/>
  <c r="U857" i="2"/>
  <c r="W857" i="2" a="1"/>
  <c r="W857" i="2" s="1"/>
  <c r="W856" i="2"/>
  <c r="U856" i="2"/>
  <c r="V856" i="2"/>
  <c r="W856" i="2" a="1"/>
  <c r="V855" i="2"/>
  <c r="U855" i="2"/>
  <c r="W855" i="2" a="1"/>
  <c r="W855" i="2" s="1"/>
  <c r="U854" i="2"/>
  <c r="V854" i="2"/>
  <c r="W854" i="2" a="1"/>
  <c r="W854" i="2" s="1"/>
  <c r="V853" i="2"/>
  <c r="U853" i="2"/>
  <c r="W853" i="2" a="1"/>
  <c r="W853" i="2" s="1"/>
  <c r="U852" i="2"/>
  <c r="V852" i="2"/>
  <c r="W852" i="2" a="1"/>
  <c r="W852" i="2" s="1"/>
  <c r="V851" i="2"/>
  <c r="U851" i="2"/>
  <c r="W851" i="2" a="1"/>
  <c r="W851" i="2" s="1"/>
  <c r="U850" i="2"/>
  <c r="V850" i="2"/>
  <c r="W850" i="2" a="1"/>
  <c r="W850" i="2" s="1"/>
  <c r="U849" i="2"/>
  <c r="V849" i="2"/>
  <c r="W849" i="2" a="1"/>
  <c r="W849" i="2" s="1"/>
  <c r="W848" i="2" a="1"/>
  <c r="W848" i="2" s="1"/>
  <c r="V848" i="2"/>
  <c r="U848" i="2"/>
  <c r="V847" i="2"/>
  <c r="U847" i="2"/>
  <c r="W847" i="2" a="1"/>
  <c r="W847" i="2" s="1"/>
  <c r="W846" i="2"/>
  <c r="W846" i="2" a="1"/>
  <c r="V846" i="2"/>
  <c r="U846" i="2"/>
  <c r="V845" i="2"/>
  <c r="U845" i="2"/>
  <c r="W845" i="2" a="1"/>
  <c r="W845" i="2" s="1"/>
  <c r="U844" i="2"/>
  <c r="V844" i="2"/>
  <c r="W844" i="2" a="1"/>
  <c r="W844" i="2" s="1"/>
  <c r="V843" i="2"/>
  <c r="U843" i="2"/>
  <c r="W843" i="2" a="1"/>
  <c r="W843" i="2" s="1"/>
  <c r="W842" i="2" a="1"/>
  <c r="W842" i="2" s="1"/>
  <c r="V842" i="2"/>
  <c r="U842" i="2"/>
  <c r="V841" i="2"/>
  <c r="U841" i="2"/>
  <c r="W841" i="2" a="1"/>
  <c r="W841" i="2" s="1"/>
  <c r="U840" i="2"/>
  <c r="V840" i="2"/>
  <c r="W840" i="2" a="1"/>
  <c r="W840" i="2" s="1"/>
  <c r="V839" i="2"/>
  <c r="U839" i="2"/>
  <c r="W839" i="2" a="1"/>
  <c r="W839" i="2" s="1"/>
  <c r="W838" i="2" a="1"/>
  <c r="W838" i="2" s="1"/>
  <c r="V838" i="2"/>
  <c r="U838" i="2"/>
  <c r="W837" i="2" a="1"/>
  <c r="W837" i="2" s="1"/>
  <c r="V837" i="2"/>
  <c r="U837" i="2"/>
  <c r="U836" i="2"/>
  <c r="V836" i="2"/>
  <c r="W836" i="2" a="1"/>
  <c r="W836" i="2" s="1"/>
  <c r="U835" i="2"/>
  <c r="V835" i="2"/>
  <c r="W835" i="2" a="1"/>
  <c r="W835" i="2" s="1"/>
  <c r="V834" i="2"/>
  <c r="U834" i="2"/>
  <c r="W834" i="2" a="1"/>
  <c r="W834" i="2" s="1"/>
  <c r="V833" i="2"/>
  <c r="U833" i="2"/>
  <c r="W833" i="2" a="1"/>
  <c r="W833" i="2" s="1"/>
  <c r="V832" i="2"/>
  <c r="U832" i="2"/>
  <c r="W832" i="2" a="1"/>
  <c r="W832" i="2" s="1"/>
  <c r="V831" i="2"/>
  <c r="U831" i="2"/>
  <c r="W831" i="2" a="1"/>
  <c r="W831" i="2" s="1"/>
  <c r="W830" i="2" a="1"/>
  <c r="W830" i="2" s="1"/>
  <c r="V830" i="2"/>
  <c r="U830" i="2"/>
  <c r="U829" i="2"/>
  <c r="V829" i="2"/>
  <c r="W829" i="2" a="1"/>
  <c r="W829" i="2" s="1"/>
  <c r="W828" i="2" a="1"/>
  <c r="W828" i="2" s="1"/>
  <c r="V828" i="2"/>
  <c r="U828" i="2"/>
  <c r="V827" i="2"/>
  <c r="U827" i="2"/>
  <c r="W827" i="2" a="1"/>
  <c r="W827" i="2" s="1"/>
  <c r="U826" i="2"/>
  <c r="V826" i="2"/>
  <c r="W826" i="2" a="1"/>
  <c r="W826" i="2" s="1"/>
  <c r="V825" i="2"/>
  <c r="U825" i="2"/>
  <c r="W825" i="2" a="1"/>
  <c r="W825" i="2" s="1"/>
  <c r="W824" i="2" a="1"/>
  <c r="W824" i="2" s="1"/>
  <c r="V824" i="2"/>
  <c r="U824" i="2"/>
  <c r="V823" i="2"/>
  <c r="U823" i="2"/>
  <c r="W823" i="2" a="1"/>
  <c r="W823" i="2" s="1"/>
  <c r="U822" i="2"/>
  <c r="V822" i="2"/>
  <c r="W822" i="2" a="1"/>
  <c r="W822" i="2" s="1"/>
  <c r="V821" i="2"/>
  <c r="U821" i="2"/>
  <c r="W821" i="2" a="1"/>
  <c r="W821" i="2" s="1"/>
  <c r="W820" i="2" a="1"/>
  <c r="W820" i="2" s="1"/>
  <c r="V820" i="2"/>
  <c r="U820" i="2"/>
  <c r="W819" i="2" a="1"/>
  <c r="W819" i="2" s="1"/>
  <c r="V819" i="2"/>
  <c r="U819" i="2"/>
  <c r="U818" i="2"/>
  <c r="V818" i="2"/>
  <c r="W818" i="2" a="1"/>
  <c r="W818" i="2" s="1"/>
  <c r="U817" i="2"/>
  <c r="V817" i="2"/>
  <c r="W817" i="2" a="1"/>
  <c r="W817" i="2" s="1"/>
  <c r="V816" i="2"/>
  <c r="U816" i="2"/>
  <c r="W816" i="2" a="1"/>
  <c r="W816" i="2" s="1"/>
  <c r="V815" i="2"/>
  <c r="U815" i="2"/>
  <c r="W815" i="2" a="1"/>
  <c r="W815" i="2" s="1"/>
  <c r="W814" i="2" a="1"/>
  <c r="W814" i="2" s="1"/>
  <c r="V814" i="2"/>
  <c r="U814" i="2"/>
  <c r="W813" i="2" a="1"/>
  <c r="W813" i="2" s="1"/>
  <c r="V813" i="2"/>
  <c r="U813" i="2"/>
  <c r="W812" i="2"/>
  <c r="U812" i="2"/>
  <c r="V812" i="2"/>
  <c r="W812" i="2" a="1"/>
  <c r="U811" i="2"/>
  <c r="V811" i="2"/>
  <c r="W811" i="2" a="1"/>
  <c r="W811" i="2" s="1"/>
  <c r="W810" i="2" a="1"/>
  <c r="W810" i="2" s="1"/>
  <c r="V810" i="2"/>
  <c r="U810" i="2"/>
  <c r="W809" i="2" a="1"/>
  <c r="W809" i="2" s="1"/>
  <c r="V809" i="2"/>
  <c r="U809" i="2"/>
  <c r="W808" i="2"/>
  <c r="W808" i="2" a="1"/>
  <c r="V808" i="2"/>
  <c r="U808" i="2"/>
  <c r="W807" i="2" a="1"/>
  <c r="W807" i="2" s="1"/>
  <c r="V807" i="2"/>
  <c r="U807" i="2"/>
  <c r="W806" i="2"/>
  <c r="W806" i="2" a="1"/>
  <c r="V806" i="2"/>
  <c r="U806" i="2"/>
  <c r="W805" i="2" a="1"/>
  <c r="W805" i="2" s="1"/>
  <c r="V805" i="2"/>
  <c r="U805" i="2"/>
  <c r="W804" i="2" a="1"/>
  <c r="W804" i="2" s="1"/>
  <c r="V804" i="2"/>
  <c r="U804" i="2"/>
  <c r="W803" i="2" a="1"/>
  <c r="W803" i="2" s="1"/>
  <c r="V803" i="2"/>
  <c r="U803" i="2"/>
  <c r="U802" i="2"/>
  <c r="V802" i="2"/>
  <c r="W802" i="2" a="1"/>
  <c r="W802" i="2" s="1"/>
  <c r="V801" i="2"/>
  <c r="U801" i="2"/>
  <c r="W801" i="2" a="1"/>
  <c r="W801" i="2" s="1"/>
  <c r="W800" i="2"/>
  <c r="U800" i="2"/>
  <c r="V800" i="2"/>
  <c r="W800" i="2" a="1"/>
  <c r="U799" i="2"/>
  <c r="V799" i="2"/>
  <c r="W799" i="2" a="1"/>
  <c r="W799" i="2" s="1"/>
  <c r="W798" i="2" a="1"/>
  <c r="W798" i="2" s="1"/>
  <c r="V798" i="2"/>
  <c r="U798" i="2"/>
  <c r="V797" i="2"/>
  <c r="U797" i="2"/>
  <c r="W797" i="2" a="1"/>
  <c r="W797" i="2" s="1"/>
  <c r="W796" i="2"/>
  <c r="W796" i="2" a="1"/>
  <c r="V796" i="2"/>
  <c r="U796" i="2"/>
  <c r="V795" i="2"/>
  <c r="U795" i="2"/>
  <c r="W795" i="2" a="1"/>
  <c r="W795" i="2" s="1"/>
  <c r="U794" i="2"/>
  <c r="V794" i="2"/>
  <c r="W794" i="2" a="1"/>
  <c r="W794" i="2" s="1"/>
  <c r="V793" i="2"/>
  <c r="U793" i="2"/>
  <c r="W793" i="2" a="1"/>
  <c r="W793" i="2" s="1"/>
  <c r="W792" i="2" a="1"/>
  <c r="W792" i="2" s="1"/>
  <c r="V792" i="2"/>
  <c r="U792" i="2"/>
  <c r="U791" i="2"/>
  <c r="V791" i="2"/>
  <c r="W791" i="2" a="1"/>
  <c r="W791" i="2" s="1"/>
  <c r="W790" i="2" a="1"/>
  <c r="W790" i="2" s="1"/>
  <c r="V790" i="2"/>
  <c r="U790" i="2"/>
  <c r="U789" i="2"/>
  <c r="V789" i="2"/>
  <c r="W789" i="2" a="1"/>
  <c r="W789" i="2" s="1"/>
  <c r="W788" i="2" a="1"/>
  <c r="W788" i="2" s="1"/>
  <c r="V788" i="2"/>
  <c r="U788" i="2"/>
  <c r="W787" i="2" a="1"/>
  <c r="W787" i="2" s="1"/>
  <c r="V787" i="2"/>
  <c r="U787" i="2"/>
  <c r="W786" i="2" a="1"/>
  <c r="W786" i="2" s="1"/>
  <c r="V786" i="2"/>
  <c r="U786" i="2"/>
  <c r="V785" i="2"/>
  <c r="U785" i="2"/>
  <c r="W785" i="2" a="1"/>
  <c r="W785" i="2" s="1"/>
  <c r="W784" i="2" a="1"/>
  <c r="W784" i="2" s="1"/>
  <c r="V784" i="2"/>
  <c r="U784" i="2"/>
  <c r="V783" i="2"/>
  <c r="U783" i="2"/>
  <c r="W783" i="2" a="1"/>
  <c r="W783" i="2" s="1"/>
  <c r="U782" i="2"/>
  <c r="V782" i="2"/>
  <c r="W782" i="2" a="1"/>
  <c r="W782" i="2" s="1"/>
  <c r="V781" i="2"/>
  <c r="U781" i="2"/>
  <c r="W781" i="2" a="1"/>
  <c r="W781" i="2" s="1"/>
  <c r="W780" i="2" a="1"/>
  <c r="W780" i="2" s="1"/>
  <c r="V780" i="2"/>
  <c r="U780" i="2"/>
  <c r="U779" i="2"/>
  <c r="V779" i="2"/>
  <c r="W779" i="2" a="1"/>
  <c r="W779" i="2" s="1"/>
  <c r="W778" i="2" a="1"/>
  <c r="W778" i="2" s="1"/>
  <c r="V778" i="2"/>
  <c r="U778" i="2"/>
  <c r="U777" i="2"/>
  <c r="V777" i="2"/>
  <c r="W777" i="2" a="1"/>
  <c r="W777" i="2" s="1"/>
  <c r="W776" i="2" a="1"/>
  <c r="W776" i="2" s="1"/>
  <c r="V776" i="2"/>
  <c r="U776" i="2"/>
  <c r="W775" i="2" a="1"/>
  <c r="W775" i="2" s="1"/>
  <c r="V775" i="2"/>
  <c r="U775" i="2"/>
  <c r="W774" i="2" a="1"/>
  <c r="W774" i="2" s="1"/>
  <c r="V774" i="2"/>
  <c r="U774" i="2"/>
  <c r="W773" i="2"/>
  <c r="W773" i="2" a="1"/>
  <c r="V773" i="2"/>
  <c r="U773" i="2"/>
  <c r="W772" i="2" a="1"/>
  <c r="W772" i="2" s="1"/>
  <c r="V772" i="2"/>
  <c r="U772" i="2"/>
  <c r="W771" i="2" a="1"/>
  <c r="W771" i="2" s="1"/>
  <c r="V771" i="2"/>
  <c r="U771" i="2"/>
  <c r="W770" i="2" a="1"/>
  <c r="W770" i="2" s="1"/>
  <c r="V770" i="2"/>
  <c r="U770" i="2"/>
  <c r="W769" i="2" a="1"/>
  <c r="W769" i="2" s="1"/>
  <c r="V769" i="2"/>
  <c r="U769" i="2"/>
  <c r="U768" i="2"/>
  <c r="V768" i="2"/>
  <c r="W768" i="2" a="1"/>
  <c r="W768" i="2" s="1"/>
  <c r="V767" i="2"/>
  <c r="U767" i="2"/>
  <c r="W767" i="2" a="1"/>
  <c r="W767" i="2" s="1"/>
  <c r="U766" i="2"/>
  <c r="V766" i="2"/>
  <c r="W766" i="2" a="1"/>
  <c r="W766" i="2" s="1"/>
  <c r="V765" i="2"/>
  <c r="U765" i="2"/>
  <c r="W765" i="2" a="1"/>
  <c r="W765" i="2" s="1"/>
  <c r="W764" i="2"/>
  <c r="U764" i="2"/>
  <c r="V764" i="2"/>
  <c r="W764" i="2" a="1"/>
  <c r="V763" i="2"/>
  <c r="U763" i="2"/>
  <c r="W763" i="2" a="1"/>
  <c r="W763" i="2" s="1"/>
  <c r="U762" i="2"/>
  <c r="V762" i="2"/>
  <c r="W762" i="2" a="1"/>
  <c r="W762" i="2" s="1"/>
  <c r="V761" i="2"/>
  <c r="U761" i="2"/>
  <c r="W761" i="2" a="1"/>
  <c r="W761" i="2" s="1"/>
  <c r="V760" i="2"/>
  <c r="U760" i="2"/>
  <c r="W760" i="2" a="1"/>
  <c r="W760" i="2" s="1"/>
  <c r="W759" i="2" a="1"/>
  <c r="W759" i="2" s="1"/>
  <c r="V759" i="2"/>
  <c r="U759" i="2"/>
  <c r="V758" i="2"/>
  <c r="U758" i="2"/>
  <c r="W758" i="2" a="1"/>
  <c r="W758" i="2" s="1"/>
  <c r="U757" i="2"/>
  <c r="V757" i="2"/>
  <c r="W757" i="2" a="1"/>
  <c r="W757" i="2" s="1"/>
  <c r="V756" i="2"/>
  <c r="U756" i="2"/>
  <c r="W756" i="2" a="1"/>
  <c r="W756" i="2" s="1"/>
  <c r="V755" i="2"/>
  <c r="U755" i="2"/>
  <c r="W755" i="2" a="1"/>
  <c r="W755" i="2" s="1"/>
  <c r="V754" i="2"/>
  <c r="U754" i="2"/>
  <c r="W754" i="2" a="1"/>
  <c r="W754" i="2" s="1"/>
  <c r="U753" i="2"/>
  <c r="V753" i="2"/>
  <c r="W753" i="2" a="1"/>
  <c r="W753" i="2" s="1"/>
  <c r="W752" i="2" a="1"/>
  <c r="W752" i="2" s="1"/>
  <c r="V752" i="2"/>
  <c r="U752" i="2"/>
  <c r="W751" i="2"/>
  <c r="V751" i="2"/>
  <c r="U751" i="2"/>
  <c r="W751" i="2" a="1"/>
  <c r="V750" i="2"/>
  <c r="U750" i="2"/>
  <c r="W750" i="2" a="1"/>
  <c r="W750" i="2" s="1"/>
  <c r="V749" i="2"/>
  <c r="U749" i="2"/>
  <c r="W749" i="2" a="1"/>
  <c r="W749" i="2" s="1"/>
  <c r="V748" i="2"/>
  <c r="U748" i="2"/>
  <c r="W748" i="2" a="1"/>
  <c r="W748" i="2" s="1"/>
  <c r="V747" i="2"/>
  <c r="U747" i="2"/>
  <c r="W747" i="2" a="1"/>
  <c r="W747" i="2" s="1"/>
  <c r="U746" i="2"/>
  <c r="V746" i="2"/>
  <c r="W746" i="2" a="1"/>
  <c r="W746" i="2" s="1"/>
  <c r="V745" i="2"/>
  <c r="U745" i="2"/>
  <c r="W745" i="2" a="1"/>
  <c r="W745" i="2" s="1"/>
  <c r="V744" i="2"/>
  <c r="U744" i="2"/>
  <c r="W744" i="2" a="1"/>
  <c r="W744" i="2" s="1"/>
  <c r="W743" i="2"/>
  <c r="W743" i="2" a="1"/>
  <c r="V743" i="2"/>
  <c r="U743" i="2"/>
  <c r="W742" i="2"/>
  <c r="W742" i="2" a="1"/>
  <c r="V742" i="2"/>
  <c r="U742" i="2"/>
  <c r="W741" i="2" a="1"/>
  <c r="W741" i="2" s="1"/>
  <c r="V741" i="2"/>
  <c r="U741" i="2"/>
  <c r="V740" i="2"/>
  <c r="U740" i="2"/>
  <c r="W740" i="2" a="1"/>
  <c r="W740" i="2" s="1"/>
  <c r="W739" i="2" a="1"/>
  <c r="W739" i="2" s="1"/>
  <c r="V739" i="2"/>
  <c r="U739" i="2"/>
  <c r="W738" i="2" a="1"/>
  <c r="W738" i="2" s="1"/>
  <c r="V738" i="2"/>
  <c r="U738" i="2"/>
  <c r="W737" i="2" a="1"/>
  <c r="W737" i="2" s="1"/>
  <c r="V737" i="2"/>
  <c r="U737" i="2"/>
  <c r="U736" i="2"/>
  <c r="V736" i="2"/>
  <c r="W736" i="2" a="1"/>
  <c r="W736" i="2" s="1"/>
  <c r="V735" i="2"/>
  <c r="U735" i="2"/>
  <c r="W735" i="2" a="1"/>
  <c r="W735" i="2" s="1"/>
  <c r="V734" i="2"/>
  <c r="U734" i="2"/>
  <c r="W734" i="2" a="1"/>
  <c r="W734" i="2" s="1"/>
  <c r="V733" i="2"/>
  <c r="U733" i="2"/>
  <c r="W733" i="2" a="1"/>
  <c r="W733" i="2" s="1"/>
  <c r="U732" i="2"/>
  <c r="V732" i="2"/>
  <c r="W732" i="2" a="1"/>
  <c r="W732" i="2" s="1"/>
  <c r="V731" i="2"/>
  <c r="U731" i="2"/>
  <c r="W731" i="2" a="1"/>
  <c r="W731" i="2" s="1"/>
  <c r="V730" i="2"/>
  <c r="U730" i="2"/>
  <c r="W730" i="2" a="1"/>
  <c r="W730" i="2" s="1"/>
  <c r="V729" i="2"/>
  <c r="U729" i="2"/>
  <c r="W729" i="2" a="1"/>
  <c r="W729" i="2" s="1"/>
  <c r="U728" i="2"/>
  <c r="V728" i="2"/>
  <c r="W728" i="2" a="1"/>
  <c r="W728" i="2" s="1"/>
  <c r="V727" i="2"/>
  <c r="U727" i="2"/>
  <c r="W727" i="2" a="1"/>
  <c r="W727" i="2" s="1"/>
  <c r="V726" i="2"/>
  <c r="U726" i="2"/>
  <c r="W726" i="2" a="1"/>
  <c r="W726" i="2" s="1"/>
  <c r="V725" i="2"/>
  <c r="U725" i="2"/>
  <c r="W725" i="2" a="1"/>
  <c r="W725" i="2" s="1"/>
  <c r="U724" i="2"/>
  <c r="V724" i="2"/>
  <c r="W724" i="2" a="1"/>
  <c r="W724" i="2" s="1"/>
  <c r="V723" i="2"/>
  <c r="U723" i="2"/>
  <c r="W723" i="2" a="1"/>
  <c r="W723" i="2" s="1"/>
  <c r="V722" i="2"/>
  <c r="U722" i="2"/>
  <c r="W722" i="2" a="1"/>
  <c r="W722" i="2" s="1"/>
  <c r="V721" i="2"/>
  <c r="U721" i="2"/>
  <c r="W721" i="2" a="1"/>
  <c r="W721" i="2" s="1"/>
  <c r="U720" i="2"/>
  <c r="V720" i="2"/>
  <c r="W720" i="2" a="1"/>
  <c r="W720" i="2" s="1"/>
  <c r="V719" i="2"/>
  <c r="U719" i="2"/>
  <c r="W719" i="2" a="1"/>
  <c r="W719" i="2" s="1"/>
  <c r="V718" i="2"/>
  <c r="U718" i="2"/>
  <c r="W718" i="2" a="1"/>
  <c r="W718" i="2" s="1"/>
  <c r="V717" i="2"/>
  <c r="U717" i="2"/>
  <c r="W717" i="2" a="1"/>
  <c r="W717" i="2" s="1"/>
  <c r="U716" i="2"/>
  <c r="V716" i="2"/>
  <c r="W716" i="2" a="1"/>
  <c r="W716" i="2" s="1"/>
  <c r="V715" i="2"/>
  <c r="U715" i="2"/>
  <c r="W715" i="2" a="1"/>
  <c r="W715" i="2" s="1"/>
  <c r="V714" i="2"/>
  <c r="U714" i="2"/>
  <c r="W714" i="2" a="1"/>
  <c r="W714" i="2" s="1"/>
  <c r="V713" i="2"/>
  <c r="U713" i="2"/>
  <c r="W713" i="2" a="1"/>
  <c r="W713" i="2" s="1"/>
  <c r="U712" i="2"/>
  <c r="V712" i="2"/>
  <c r="W712" i="2" a="1"/>
  <c r="W712" i="2" s="1"/>
  <c r="V711" i="2"/>
  <c r="U711" i="2"/>
  <c r="W711" i="2" a="1"/>
  <c r="W711" i="2" s="1"/>
  <c r="V710" i="2"/>
  <c r="U710" i="2"/>
  <c r="W710" i="2" a="1"/>
  <c r="W710" i="2" s="1"/>
  <c r="V709" i="2"/>
  <c r="U709" i="2"/>
  <c r="W709" i="2" a="1"/>
  <c r="W709" i="2" s="1"/>
  <c r="U708" i="2"/>
  <c r="V708" i="2"/>
  <c r="W708" i="2" a="1"/>
  <c r="W708" i="2" s="1"/>
  <c r="V707" i="2"/>
  <c r="U707" i="2"/>
  <c r="W707" i="2" a="1"/>
  <c r="W707" i="2" s="1"/>
  <c r="V706" i="2"/>
  <c r="U706" i="2"/>
  <c r="W706" i="2" a="1"/>
  <c r="W706" i="2" s="1"/>
  <c r="V705" i="2"/>
  <c r="U705" i="2"/>
  <c r="W705" i="2" a="1"/>
  <c r="W705" i="2" s="1"/>
  <c r="U704" i="2"/>
  <c r="V704" i="2"/>
  <c r="W704" i="2" a="1"/>
  <c r="W704" i="2" s="1"/>
  <c r="V703" i="2"/>
  <c r="U703" i="2"/>
  <c r="W703" i="2" a="1"/>
  <c r="W703" i="2" s="1"/>
  <c r="V702" i="2"/>
  <c r="U702" i="2"/>
  <c r="W702" i="2" a="1"/>
  <c r="W702" i="2" s="1"/>
  <c r="V701" i="2"/>
  <c r="U701" i="2"/>
  <c r="W701" i="2" a="1"/>
  <c r="W701" i="2" s="1"/>
  <c r="U700" i="2"/>
  <c r="V700" i="2"/>
  <c r="W700" i="2" a="1"/>
  <c r="W700" i="2" s="1"/>
  <c r="V699" i="2"/>
  <c r="U699" i="2"/>
  <c r="W699" i="2" a="1"/>
  <c r="W699" i="2" s="1"/>
  <c r="V698" i="2"/>
  <c r="U698" i="2"/>
  <c r="W698" i="2" a="1"/>
  <c r="W698" i="2" s="1"/>
  <c r="V697" i="2"/>
  <c r="U697" i="2"/>
  <c r="W697" i="2" a="1"/>
  <c r="W697" i="2" s="1"/>
  <c r="U696" i="2"/>
  <c r="V696" i="2"/>
  <c r="W696" i="2" a="1"/>
  <c r="W696" i="2" s="1"/>
  <c r="V695" i="2"/>
  <c r="U695" i="2"/>
  <c r="W695" i="2" a="1"/>
  <c r="W695" i="2" s="1"/>
  <c r="W694" i="2"/>
  <c r="U694" i="2"/>
  <c r="V694" i="2"/>
  <c r="W694" i="2" a="1"/>
  <c r="V693" i="2"/>
  <c r="U693" i="2"/>
  <c r="W693" i="2" a="1"/>
  <c r="W693" i="2" s="1"/>
  <c r="U692" i="2"/>
  <c r="V692" i="2"/>
  <c r="W692" i="2" a="1"/>
  <c r="W692" i="2" s="1"/>
  <c r="V691" i="2"/>
  <c r="U691" i="2"/>
  <c r="W691" i="2" a="1"/>
  <c r="W691" i="2" s="1"/>
  <c r="U690" i="2"/>
  <c r="V690" i="2"/>
  <c r="W690" i="2" a="1"/>
  <c r="W690" i="2" s="1"/>
  <c r="V689" i="2"/>
  <c r="U689" i="2"/>
  <c r="W689" i="2" a="1"/>
  <c r="W689" i="2" s="1"/>
  <c r="U688" i="2"/>
  <c r="V688" i="2"/>
  <c r="W688" i="2" a="1"/>
  <c r="W688" i="2" s="1"/>
  <c r="V687" i="2"/>
  <c r="U687" i="2"/>
  <c r="W687" i="2" a="1"/>
  <c r="W687" i="2" s="1"/>
  <c r="U686" i="2"/>
  <c r="V686" i="2"/>
  <c r="W686" i="2" a="1"/>
  <c r="W686" i="2" s="1"/>
  <c r="V685" i="2"/>
  <c r="U685" i="2"/>
  <c r="W685" i="2" a="1"/>
  <c r="W685" i="2" s="1"/>
  <c r="W684" i="2"/>
  <c r="U684" i="2"/>
  <c r="V684" i="2"/>
  <c r="W684" i="2" a="1"/>
  <c r="V683" i="2"/>
  <c r="U683" i="2"/>
  <c r="W683" i="2" a="1"/>
  <c r="W683" i="2" s="1"/>
  <c r="U682" i="2"/>
  <c r="V682" i="2"/>
  <c r="W682" i="2" a="1"/>
  <c r="W682" i="2" s="1"/>
  <c r="V681" i="2"/>
  <c r="U681" i="2"/>
  <c r="W681" i="2" a="1"/>
  <c r="W681" i="2" s="1"/>
  <c r="U680" i="2"/>
  <c r="V680" i="2"/>
  <c r="W680" i="2" a="1"/>
  <c r="W680" i="2" s="1"/>
  <c r="V679" i="2"/>
  <c r="U679" i="2"/>
  <c r="W679" i="2" a="1"/>
  <c r="W679" i="2" s="1"/>
  <c r="W678" i="2"/>
  <c r="U678" i="2"/>
  <c r="V678" i="2"/>
  <c r="W678" i="2" a="1"/>
  <c r="V677" i="2"/>
  <c r="U677" i="2"/>
  <c r="W677" i="2" a="1"/>
  <c r="W677" i="2" s="1"/>
  <c r="U676" i="2"/>
  <c r="V676" i="2"/>
  <c r="W676" i="2" a="1"/>
  <c r="W676" i="2" s="1"/>
  <c r="V675" i="2"/>
  <c r="U675" i="2"/>
  <c r="W675" i="2" a="1"/>
  <c r="W675" i="2" s="1"/>
  <c r="U674" i="2"/>
  <c r="V674" i="2"/>
  <c r="W674" i="2" a="1"/>
  <c r="W674" i="2" s="1"/>
  <c r="V673" i="2"/>
  <c r="U673" i="2"/>
  <c r="W673" i="2" a="1"/>
  <c r="W673" i="2" s="1"/>
  <c r="U672" i="2"/>
  <c r="V672" i="2"/>
  <c r="W672" i="2" a="1"/>
  <c r="W672" i="2" s="1"/>
  <c r="V671" i="2"/>
  <c r="U671" i="2"/>
  <c r="W671" i="2" a="1"/>
  <c r="W671" i="2" s="1"/>
  <c r="U670" i="2"/>
  <c r="V670" i="2"/>
  <c r="W670" i="2" a="1"/>
  <c r="W670" i="2" s="1"/>
  <c r="V669" i="2"/>
  <c r="U669" i="2"/>
  <c r="W669" i="2" a="1"/>
  <c r="W669" i="2" s="1"/>
  <c r="W668" i="2"/>
  <c r="U668" i="2"/>
  <c r="V668" i="2"/>
  <c r="W668" i="2" a="1"/>
  <c r="V667" i="2"/>
  <c r="U667" i="2"/>
  <c r="W667" i="2" a="1"/>
  <c r="W667" i="2" s="1"/>
  <c r="U666" i="2"/>
  <c r="V666" i="2"/>
  <c r="W666" i="2" a="1"/>
  <c r="W666" i="2" s="1"/>
  <c r="W665" i="2" a="1"/>
  <c r="W665" i="2" s="1"/>
  <c r="U665" i="2"/>
  <c r="V665" i="2"/>
  <c r="V664" i="2"/>
  <c r="U664" i="2"/>
  <c r="W664" i="2" a="1"/>
  <c r="W664" i="2" s="1"/>
  <c r="W663" i="2"/>
  <c r="W663" i="2" a="1"/>
  <c r="V663" i="2"/>
  <c r="U663" i="2"/>
  <c r="W662" i="2"/>
  <c r="W662" i="2" a="1"/>
  <c r="V662" i="2"/>
  <c r="U662" i="2"/>
  <c r="V661" i="2"/>
  <c r="U661" i="2"/>
  <c r="W661" i="2" a="1"/>
  <c r="W661" i="2" s="1"/>
  <c r="V660" i="2"/>
  <c r="U660" i="2"/>
  <c r="W660" i="2" a="1"/>
  <c r="W660" i="2" s="1"/>
  <c r="W659" i="2" a="1"/>
  <c r="W659" i="2" s="1"/>
  <c r="V659" i="2"/>
  <c r="U659" i="2"/>
  <c r="V658" i="2"/>
  <c r="U658" i="2"/>
  <c r="W658" i="2" a="1"/>
  <c r="W658" i="2" s="1"/>
  <c r="V657" i="2"/>
  <c r="U657" i="2"/>
  <c r="W657" i="2" a="1"/>
  <c r="W657" i="2" s="1"/>
  <c r="V656" i="2"/>
  <c r="U656" i="2"/>
  <c r="W656" i="2" a="1"/>
  <c r="W656" i="2" s="1"/>
  <c r="W655" i="2" a="1"/>
  <c r="W655" i="2" s="1"/>
  <c r="V655" i="2"/>
  <c r="U655" i="2"/>
  <c r="V654" i="2"/>
  <c r="U654" i="2"/>
  <c r="W654" i="2" a="1"/>
  <c r="W654" i="2" s="1"/>
  <c r="V653" i="2"/>
  <c r="U653" i="2"/>
  <c r="W653" i="2" a="1"/>
  <c r="W653" i="2" s="1"/>
  <c r="V652" i="2"/>
  <c r="U652" i="2"/>
  <c r="W652" i="2" a="1"/>
  <c r="W652" i="2" s="1"/>
  <c r="W651" i="2" a="1"/>
  <c r="W651" i="2" s="1"/>
  <c r="V651" i="2"/>
  <c r="U651" i="2"/>
  <c r="V650" i="2"/>
  <c r="U650" i="2"/>
  <c r="W650" i="2" a="1"/>
  <c r="W650" i="2" s="1"/>
  <c r="V649" i="2"/>
  <c r="U649" i="2"/>
  <c r="W649" i="2" a="1"/>
  <c r="W649" i="2" s="1"/>
  <c r="V648" i="2"/>
  <c r="U648" i="2"/>
  <c r="W648" i="2" a="1"/>
  <c r="W648" i="2" s="1"/>
  <c r="V647" i="2"/>
  <c r="U647" i="2"/>
  <c r="W647" i="2" a="1"/>
  <c r="W647" i="2" s="1"/>
  <c r="W646" i="2" a="1"/>
  <c r="W646" i="2" s="1"/>
  <c r="V646" i="2"/>
  <c r="U646" i="2"/>
  <c r="W645" i="2" a="1"/>
  <c r="W645" i="2" s="1"/>
  <c r="V645" i="2"/>
  <c r="U645" i="2"/>
  <c r="V644" i="2"/>
  <c r="U644" i="2"/>
  <c r="W644" i="2" a="1"/>
  <c r="W644" i="2" s="1"/>
  <c r="U643" i="2"/>
  <c r="V643" i="2"/>
  <c r="W643" i="2" a="1"/>
  <c r="W643" i="2" s="1"/>
  <c r="V642" i="2"/>
  <c r="U642" i="2"/>
  <c r="W642" i="2" a="1"/>
  <c r="W642" i="2" s="1"/>
  <c r="V641" i="2"/>
  <c r="U641" i="2"/>
  <c r="W641" i="2" a="1"/>
  <c r="W641" i="2" s="1"/>
  <c r="V640" i="2"/>
  <c r="U640" i="2"/>
  <c r="W640" i="2" a="1"/>
  <c r="W640" i="2" s="1"/>
  <c r="U639" i="2"/>
  <c r="V639" i="2"/>
  <c r="W639" i="2" a="1"/>
  <c r="W639" i="2" s="1"/>
  <c r="V638" i="2"/>
  <c r="U638" i="2"/>
  <c r="W638" i="2" a="1"/>
  <c r="W638" i="2" s="1"/>
  <c r="V637" i="2"/>
  <c r="U637" i="2"/>
  <c r="W637" i="2" a="1"/>
  <c r="W637" i="2" s="1"/>
  <c r="W636" i="2" a="1"/>
  <c r="W636" i="2" s="1"/>
  <c r="V636" i="2"/>
  <c r="U636" i="2"/>
  <c r="W635" i="2" a="1"/>
  <c r="W635" i="2" s="1"/>
  <c r="V635" i="2"/>
  <c r="U635" i="2"/>
  <c r="W634" i="2" a="1"/>
  <c r="W634" i="2" s="1"/>
  <c r="V634" i="2"/>
  <c r="U634" i="2"/>
  <c r="W633" i="2" a="1"/>
  <c r="W633" i="2" s="1"/>
  <c r="V633" i="2"/>
  <c r="U633" i="2"/>
  <c r="W632" i="2" a="1"/>
  <c r="W632" i="2" s="1"/>
  <c r="V632" i="2"/>
  <c r="U632" i="2"/>
  <c r="W631" i="2" a="1"/>
  <c r="W631" i="2" s="1"/>
  <c r="V631" i="2"/>
  <c r="U631" i="2"/>
  <c r="W630" i="2" a="1"/>
  <c r="W630" i="2" s="1"/>
  <c r="V630" i="2"/>
  <c r="U630" i="2"/>
  <c r="W629" i="2" a="1"/>
  <c r="W629" i="2" s="1"/>
  <c r="V629" i="2"/>
  <c r="U629" i="2"/>
  <c r="V628" i="2"/>
  <c r="U628" i="2"/>
  <c r="W628" i="2" a="1"/>
  <c r="W628" i="2" s="1"/>
  <c r="W627" i="2"/>
  <c r="W627" i="2" a="1"/>
  <c r="V627" i="2"/>
  <c r="U627" i="2"/>
  <c r="V626" i="2"/>
  <c r="U626" i="2"/>
  <c r="W626" i="2" a="1"/>
  <c r="W626" i="2" s="1"/>
  <c r="V625" i="2"/>
  <c r="U625" i="2"/>
  <c r="W625" i="2" a="1"/>
  <c r="W625" i="2" s="1"/>
  <c r="V624" i="2"/>
  <c r="U624" i="2"/>
  <c r="W624" i="2" a="1"/>
  <c r="W624" i="2" s="1"/>
  <c r="V623" i="2"/>
  <c r="U623" i="2"/>
  <c r="W623" i="2" a="1"/>
  <c r="W623" i="2" s="1"/>
  <c r="V622" i="2"/>
  <c r="U622" i="2"/>
  <c r="W622" i="2" a="1"/>
  <c r="W622" i="2" s="1"/>
  <c r="V621" i="2"/>
  <c r="U621" i="2"/>
  <c r="W621" i="2" a="1"/>
  <c r="W621" i="2" s="1"/>
  <c r="W620" i="2" a="1"/>
  <c r="W620" i="2" s="1"/>
  <c r="U620" i="2"/>
  <c r="V620" i="2"/>
  <c r="W619" i="2" a="1"/>
  <c r="W619" i="2" s="1"/>
  <c r="U619" i="2"/>
  <c r="V619" i="2"/>
  <c r="U618" i="2"/>
  <c r="V618" i="2"/>
  <c r="W618" i="2" a="1"/>
  <c r="W618" i="2" s="1"/>
  <c r="U617" i="2"/>
  <c r="V617" i="2"/>
  <c r="W617" i="2" a="1"/>
  <c r="W617" i="2" s="1"/>
  <c r="W616" i="2"/>
  <c r="W616" i="2" a="1"/>
  <c r="U616" i="2"/>
  <c r="V616" i="2"/>
  <c r="W615" i="2" a="1"/>
  <c r="W615" i="2" s="1"/>
  <c r="U615" i="2"/>
  <c r="V615" i="2"/>
  <c r="U614" i="2"/>
  <c r="V614" i="2"/>
  <c r="W614" i="2" a="1"/>
  <c r="W614" i="2" s="1"/>
  <c r="U613" i="2"/>
  <c r="V613" i="2"/>
  <c r="W613" i="2" a="1"/>
  <c r="W613" i="2" s="1"/>
  <c r="U612" i="2"/>
  <c r="V612" i="2"/>
  <c r="W612" i="2" a="1"/>
  <c r="W612" i="2" s="1"/>
  <c r="U611" i="2"/>
  <c r="V611" i="2"/>
  <c r="W611" i="2" a="1"/>
  <c r="W611" i="2" s="1"/>
  <c r="U610" i="2"/>
  <c r="V610" i="2"/>
  <c r="W610" i="2" a="1"/>
  <c r="W610" i="2" s="1"/>
  <c r="U609" i="2"/>
  <c r="V609" i="2"/>
  <c r="W609" i="2" a="1"/>
  <c r="W609" i="2" s="1"/>
  <c r="U608" i="2"/>
  <c r="V608" i="2"/>
  <c r="W608" i="2" a="1"/>
  <c r="W608" i="2" s="1"/>
  <c r="U607" i="2"/>
  <c r="V607" i="2"/>
  <c r="W607" i="2" a="1"/>
  <c r="W607" i="2" s="1"/>
  <c r="U606" i="2"/>
  <c r="V606" i="2"/>
  <c r="W606" i="2" a="1"/>
  <c r="W606" i="2" s="1"/>
  <c r="U605" i="2"/>
  <c r="V605" i="2"/>
  <c r="W605" i="2" a="1"/>
  <c r="W605" i="2" s="1"/>
  <c r="W604" i="2"/>
  <c r="W604" i="2" a="1"/>
  <c r="U604" i="2"/>
  <c r="V604" i="2"/>
  <c r="W603" i="2" a="1"/>
  <c r="W603" i="2" s="1"/>
  <c r="U603" i="2"/>
  <c r="V603" i="2"/>
  <c r="U602" i="2"/>
  <c r="V602" i="2"/>
  <c r="W602" i="2" a="1"/>
  <c r="W602" i="2" s="1"/>
  <c r="U601" i="2"/>
  <c r="V601" i="2"/>
  <c r="W601" i="2" a="1"/>
  <c r="W601" i="2" s="1"/>
  <c r="U600" i="2"/>
  <c r="V600" i="2"/>
  <c r="W600" i="2" a="1"/>
  <c r="W600" i="2" s="1"/>
  <c r="W599" i="2" a="1"/>
  <c r="W599" i="2" s="1"/>
  <c r="U599" i="2"/>
  <c r="V599" i="2"/>
  <c r="V598" i="2"/>
  <c r="U598" i="2"/>
  <c r="W598" i="2" a="1"/>
  <c r="W598" i="2" s="1"/>
  <c r="U597" i="2"/>
  <c r="V597" i="2"/>
  <c r="W597" i="2" a="1"/>
  <c r="W597" i="2" s="1"/>
  <c r="U596" i="2"/>
  <c r="V596" i="2"/>
  <c r="W596" i="2" a="1"/>
  <c r="W596" i="2" s="1"/>
  <c r="W595" i="2" a="1"/>
  <c r="W595" i="2" s="1"/>
  <c r="U595" i="2"/>
  <c r="V595" i="2"/>
  <c r="V594" i="2"/>
  <c r="U594" i="2"/>
  <c r="W594" i="2" a="1"/>
  <c r="W594" i="2" s="1"/>
  <c r="U593" i="2"/>
  <c r="V593" i="2"/>
  <c r="W593" i="2" a="1"/>
  <c r="W593" i="2" s="1"/>
  <c r="U592" i="2"/>
  <c r="V592" i="2"/>
  <c r="W592" i="2" a="1"/>
  <c r="W592" i="2" s="1"/>
  <c r="W591" i="2" a="1"/>
  <c r="W591" i="2" s="1"/>
  <c r="U591" i="2"/>
  <c r="V591" i="2"/>
  <c r="U590" i="2"/>
  <c r="V590" i="2"/>
  <c r="W590" i="2" a="1"/>
  <c r="W590" i="2" s="1"/>
  <c r="U589" i="2"/>
  <c r="V589" i="2"/>
  <c r="W589" i="2" a="1"/>
  <c r="W589" i="2" s="1"/>
  <c r="W588" i="2"/>
  <c r="W588" i="2" a="1"/>
  <c r="U588" i="2"/>
  <c r="V588" i="2"/>
  <c r="W587" i="2" a="1"/>
  <c r="W587" i="2" s="1"/>
  <c r="U587" i="2"/>
  <c r="V587" i="2"/>
  <c r="U586" i="2"/>
  <c r="V586" i="2"/>
  <c r="W586" i="2" a="1"/>
  <c r="W586" i="2" s="1"/>
  <c r="U585" i="2"/>
  <c r="V585" i="2"/>
  <c r="W585" i="2" a="1"/>
  <c r="W585" i="2" s="1"/>
  <c r="W584" i="2" a="1"/>
  <c r="W584" i="2" s="1"/>
  <c r="U584" i="2"/>
  <c r="V584" i="2"/>
  <c r="W583" i="2" a="1"/>
  <c r="W583" i="2" s="1"/>
  <c r="U583" i="2"/>
  <c r="V583" i="2"/>
  <c r="U582" i="2"/>
  <c r="V582" i="2"/>
  <c r="W582" i="2" a="1"/>
  <c r="W582" i="2" s="1"/>
  <c r="U581" i="2"/>
  <c r="V581" i="2"/>
  <c r="W581" i="2" a="1"/>
  <c r="W581" i="2" s="1"/>
  <c r="W580" i="2" a="1"/>
  <c r="W580" i="2" s="1"/>
  <c r="U580" i="2"/>
  <c r="V580" i="2"/>
  <c r="W579" i="2" a="1"/>
  <c r="W579" i="2" s="1"/>
  <c r="U579" i="2"/>
  <c r="V579" i="2"/>
  <c r="U578" i="2"/>
  <c r="V578" i="2"/>
  <c r="W578" i="2" a="1"/>
  <c r="W578" i="2" s="1"/>
  <c r="U577" i="2"/>
  <c r="V577" i="2"/>
  <c r="W577" i="2" a="1"/>
  <c r="W577" i="2" s="1"/>
  <c r="W576" i="2"/>
  <c r="W576" i="2" a="1"/>
  <c r="U576" i="2"/>
  <c r="V576" i="2"/>
  <c r="W575" i="2" a="1"/>
  <c r="W575" i="2" s="1"/>
  <c r="U575" i="2"/>
  <c r="V575" i="2"/>
  <c r="U574" i="2"/>
  <c r="V574" i="2"/>
  <c r="W574" i="2" a="1"/>
  <c r="W574" i="2" s="1"/>
  <c r="U573" i="2"/>
  <c r="V573" i="2"/>
  <c r="W573" i="2" a="1"/>
  <c r="W573" i="2" s="1"/>
  <c r="W572" i="2"/>
  <c r="W572" i="2" a="1"/>
  <c r="U572" i="2"/>
  <c r="V572" i="2"/>
  <c r="W571" i="2" a="1"/>
  <c r="W571" i="2" s="1"/>
  <c r="U571" i="2"/>
  <c r="V571" i="2"/>
  <c r="U570" i="2"/>
  <c r="V570" i="2"/>
  <c r="W570" i="2" a="1"/>
  <c r="W570" i="2" s="1"/>
  <c r="U569" i="2"/>
  <c r="V569" i="2"/>
  <c r="W569" i="2" a="1"/>
  <c r="W569" i="2" s="1"/>
  <c r="W568" i="2" a="1"/>
  <c r="W568" i="2" s="1"/>
  <c r="U568" i="2"/>
  <c r="V568" i="2"/>
  <c r="W567" i="2" a="1"/>
  <c r="W567" i="2" s="1"/>
  <c r="U567" i="2"/>
  <c r="V567" i="2"/>
  <c r="U566" i="2"/>
  <c r="V566" i="2"/>
  <c r="W566" i="2" a="1"/>
  <c r="W566" i="2" s="1"/>
  <c r="U565" i="2"/>
  <c r="V565" i="2"/>
  <c r="W565" i="2" a="1"/>
  <c r="W565" i="2" s="1"/>
  <c r="W564" i="2" a="1"/>
  <c r="W564" i="2" s="1"/>
  <c r="U564" i="2"/>
  <c r="V564" i="2"/>
  <c r="W563" i="2" a="1"/>
  <c r="W563" i="2" s="1"/>
  <c r="U563" i="2"/>
  <c r="V563" i="2"/>
  <c r="U562" i="2"/>
  <c r="V562" i="2"/>
  <c r="W562" i="2" a="1"/>
  <c r="W562" i="2" s="1"/>
  <c r="U561" i="2"/>
  <c r="V561" i="2"/>
  <c r="W561" i="2" a="1"/>
  <c r="W561" i="2" s="1"/>
  <c r="W560" i="2"/>
  <c r="W560" i="2" a="1"/>
  <c r="U560" i="2"/>
  <c r="V560" i="2"/>
  <c r="W559" i="2" a="1"/>
  <c r="W559" i="2" s="1"/>
  <c r="U559" i="2"/>
  <c r="V559" i="2"/>
  <c r="U558" i="2"/>
  <c r="V558" i="2"/>
  <c r="W558" i="2" a="1"/>
  <c r="W558" i="2" s="1"/>
  <c r="U557" i="2"/>
  <c r="V557" i="2"/>
  <c r="W557" i="2" a="1"/>
  <c r="W557" i="2" s="1"/>
  <c r="U556" i="2"/>
  <c r="V556" i="2"/>
  <c r="W556" i="2" a="1"/>
  <c r="W556" i="2" s="1"/>
  <c r="U555" i="2"/>
  <c r="V555" i="2"/>
  <c r="W555" i="2" a="1"/>
  <c r="W555" i="2" s="1"/>
  <c r="W554" i="2" a="1"/>
  <c r="W554" i="2" s="1"/>
  <c r="U554" i="2"/>
  <c r="V554" i="2"/>
  <c r="W553" i="2" a="1"/>
  <c r="W553" i="2" s="1"/>
  <c r="U553" i="2"/>
  <c r="V553" i="2"/>
  <c r="V552" i="2"/>
  <c r="U552" i="2"/>
  <c r="W552" i="2" a="1"/>
  <c r="W552" i="2" s="1"/>
  <c r="U551" i="2"/>
  <c r="V551" i="2"/>
  <c r="W551" i="2" a="1"/>
  <c r="W551" i="2" s="1"/>
  <c r="V550" i="2"/>
  <c r="U550" i="2"/>
  <c r="W550" i="2" a="1"/>
  <c r="W550" i="2" s="1"/>
  <c r="V549" i="2"/>
  <c r="U549" i="2"/>
  <c r="W549" i="2" a="1"/>
  <c r="W549" i="2" s="1"/>
  <c r="V548" i="2"/>
  <c r="U548" i="2"/>
  <c r="W548" i="2" a="1"/>
  <c r="W548" i="2" s="1"/>
  <c r="V547" i="2"/>
  <c r="U547" i="2"/>
  <c r="W547" i="2" a="1"/>
  <c r="W547" i="2" s="1"/>
  <c r="V546" i="2"/>
  <c r="U546" i="2"/>
  <c r="W546" i="2" a="1"/>
  <c r="W546" i="2" s="1"/>
  <c r="U545" i="2"/>
  <c r="V545" i="2"/>
  <c r="W545" i="2" a="1"/>
  <c r="W545" i="2" s="1"/>
  <c r="V544" i="2"/>
  <c r="U544" i="2"/>
  <c r="W544" i="2" a="1"/>
  <c r="W544" i="2" s="1"/>
  <c r="U543" i="2"/>
  <c r="V543" i="2"/>
  <c r="W543" i="2" a="1"/>
  <c r="W543" i="2" s="1"/>
  <c r="W542" i="2" a="1"/>
  <c r="W542" i="2" s="1"/>
  <c r="U542" i="2"/>
  <c r="V542" i="2"/>
  <c r="W541" i="2" a="1"/>
  <c r="W541" i="2" s="1"/>
  <c r="U541" i="2"/>
  <c r="V541" i="2"/>
  <c r="W540" i="2" a="1"/>
  <c r="W540" i="2" s="1"/>
  <c r="U540" i="2"/>
  <c r="V540" i="2"/>
  <c r="W539" i="2" a="1"/>
  <c r="W539" i="2" s="1"/>
  <c r="U539" i="2"/>
  <c r="V539" i="2"/>
  <c r="W538" i="2" a="1"/>
  <c r="W538" i="2" s="1"/>
  <c r="U538" i="2"/>
  <c r="V538" i="2"/>
  <c r="V537" i="2"/>
  <c r="U537" i="2"/>
  <c r="W537" i="2" a="1"/>
  <c r="W537" i="2" s="1"/>
  <c r="U536" i="2"/>
  <c r="V536" i="2"/>
  <c r="W536" i="2" a="1"/>
  <c r="W536" i="2" s="1"/>
  <c r="U535" i="2"/>
  <c r="V535" i="2"/>
  <c r="W535" i="2" a="1"/>
  <c r="W535" i="2" s="1"/>
  <c r="U534" i="2"/>
  <c r="V534" i="2"/>
  <c r="W534" i="2" a="1"/>
  <c r="W534" i="2" s="1"/>
  <c r="U533" i="2"/>
  <c r="V533" i="2"/>
  <c r="W533" i="2" a="1"/>
  <c r="W533" i="2" s="1"/>
  <c r="U532" i="2"/>
  <c r="V532" i="2"/>
  <c r="W532" i="2" a="1"/>
  <c r="W532" i="2" s="1"/>
  <c r="V531" i="2"/>
  <c r="U531" i="2"/>
  <c r="W531" i="2" a="1"/>
  <c r="W531" i="2" s="1"/>
  <c r="U530" i="2"/>
  <c r="V530" i="2"/>
  <c r="W530" i="2" a="1"/>
  <c r="W530" i="2" s="1"/>
  <c r="V529" i="2"/>
  <c r="U529" i="2"/>
  <c r="W529" i="2" a="1"/>
  <c r="W529" i="2" s="1"/>
  <c r="U528" i="2"/>
  <c r="V528" i="2"/>
  <c r="W528" i="2" a="1"/>
  <c r="W528" i="2" s="1"/>
  <c r="V527" i="2"/>
  <c r="U527" i="2"/>
  <c r="W527" i="2" a="1"/>
  <c r="W527" i="2" s="1"/>
  <c r="U526" i="2"/>
  <c r="V526" i="2"/>
  <c r="W526" i="2" a="1"/>
  <c r="W526" i="2" s="1"/>
  <c r="V525" i="2"/>
  <c r="U525" i="2"/>
  <c r="W525" i="2" a="1"/>
  <c r="W525" i="2" s="1"/>
  <c r="U524" i="2"/>
  <c r="V524" i="2"/>
  <c r="W524" i="2" a="1"/>
  <c r="W524" i="2" s="1"/>
  <c r="V523" i="2"/>
  <c r="U523" i="2"/>
  <c r="W523" i="2" a="1"/>
  <c r="W523" i="2" s="1"/>
  <c r="U522" i="2"/>
  <c r="V522" i="2"/>
  <c r="W522" i="2" a="1"/>
  <c r="W522" i="2" s="1"/>
  <c r="V521" i="2"/>
  <c r="U521" i="2"/>
  <c r="W521" i="2" a="1"/>
  <c r="W521" i="2" s="1"/>
  <c r="U520" i="2"/>
  <c r="V520" i="2"/>
  <c r="W520" i="2" a="1"/>
  <c r="W520" i="2" s="1"/>
  <c r="V519" i="2"/>
  <c r="U519" i="2"/>
  <c r="W519" i="2" a="1"/>
  <c r="W519" i="2" s="1"/>
  <c r="U518" i="2"/>
  <c r="V518" i="2"/>
  <c r="W518" i="2" a="1"/>
  <c r="W518" i="2" s="1"/>
  <c r="V517" i="2"/>
  <c r="U517" i="2"/>
  <c r="W517" i="2" a="1"/>
  <c r="W517" i="2" s="1"/>
  <c r="U516" i="2"/>
  <c r="V516" i="2"/>
  <c r="W516" i="2" a="1"/>
  <c r="W516" i="2" s="1"/>
  <c r="V515" i="2"/>
  <c r="U515" i="2"/>
  <c r="W515" i="2" a="1"/>
  <c r="W515" i="2" s="1"/>
  <c r="U514" i="2"/>
  <c r="V514" i="2"/>
  <c r="W514" i="2" a="1"/>
  <c r="W514" i="2" s="1"/>
  <c r="W513" i="2" a="1"/>
  <c r="W513" i="2" s="1"/>
  <c r="U513" i="2"/>
  <c r="V513" i="2"/>
  <c r="W512" i="2"/>
  <c r="W512" i="2" a="1"/>
  <c r="U512" i="2"/>
  <c r="V512" i="2"/>
  <c r="W511" i="2" a="1"/>
  <c r="W511" i="2" s="1"/>
  <c r="U511" i="2"/>
  <c r="V511" i="2"/>
  <c r="V510" i="2"/>
  <c r="U510" i="2"/>
  <c r="W510" i="2" a="1"/>
  <c r="W510" i="2" s="1"/>
  <c r="V509" i="2"/>
  <c r="U509" i="2"/>
  <c r="W509" i="2" a="1"/>
  <c r="W509" i="2" s="1"/>
  <c r="V508" i="2"/>
  <c r="U508" i="2"/>
  <c r="W508" i="2" a="1"/>
  <c r="W508" i="2" s="1"/>
  <c r="U507" i="2"/>
  <c r="V507" i="2"/>
  <c r="W507" i="2" a="1"/>
  <c r="W507" i="2" s="1"/>
  <c r="W506" i="2" a="1"/>
  <c r="W506" i="2" s="1"/>
  <c r="U506" i="2"/>
  <c r="V506" i="2"/>
  <c r="V505" i="2"/>
  <c r="U505" i="2"/>
  <c r="W505" i="2" a="1"/>
  <c r="W505" i="2" s="1"/>
  <c r="U504" i="2"/>
  <c r="V504" i="2"/>
  <c r="W504" i="2" a="1"/>
  <c r="W504" i="2" s="1"/>
  <c r="W503" i="2" a="1"/>
  <c r="W503" i="2" s="1"/>
  <c r="U503" i="2"/>
  <c r="V503" i="2"/>
  <c r="V502" i="2"/>
  <c r="U502" i="2"/>
  <c r="W502" i="2" a="1"/>
  <c r="W502" i="2" s="1"/>
  <c r="U501" i="2"/>
  <c r="V501" i="2"/>
  <c r="W501" i="2" a="1"/>
  <c r="W501" i="2" s="1"/>
  <c r="U500" i="2"/>
  <c r="V500" i="2"/>
  <c r="W500" i="2" a="1"/>
  <c r="W500" i="2" s="1"/>
  <c r="V499" i="2"/>
  <c r="U499" i="2"/>
  <c r="W499" i="2" a="1"/>
  <c r="W499" i="2" s="1"/>
  <c r="V498" i="2"/>
  <c r="U498" i="2"/>
  <c r="W498" i="2" a="1"/>
  <c r="W498" i="2" s="1"/>
  <c r="V497" i="2"/>
  <c r="U497" i="2"/>
  <c r="W497" i="2" a="1"/>
  <c r="W497" i="2" s="1"/>
  <c r="U496" i="2"/>
  <c r="V496" i="2"/>
  <c r="W496" i="2" a="1"/>
  <c r="W496" i="2" s="1"/>
  <c r="V495" i="2"/>
  <c r="U495" i="2"/>
  <c r="W495" i="2" a="1"/>
  <c r="W495" i="2" s="1"/>
  <c r="V494" i="2"/>
  <c r="U494" i="2"/>
  <c r="W494" i="2" a="1"/>
  <c r="W494" i="2" s="1"/>
  <c r="V493" i="2"/>
  <c r="U493" i="2"/>
  <c r="W493" i="2" a="1"/>
  <c r="W493" i="2" s="1"/>
  <c r="U492" i="2"/>
  <c r="V492" i="2"/>
  <c r="W492" i="2" a="1"/>
  <c r="W492" i="2" s="1"/>
  <c r="V491" i="2"/>
  <c r="U491" i="2"/>
  <c r="W491" i="2" a="1"/>
  <c r="W491" i="2" s="1"/>
  <c r="V490" i="2"/>
  <c r="U490" i="2"/>
  <c r="W490" i="2" a="1"/>
  <c r="W490" i="2" s="1"/>
  <c r="V489" i="2"/>
  <c r="U489" i="2"/>
  <c r="W489" i="2" a="1"/>
  <c r="W489" i="2" s="1"/>
  <c r="U488" i="2"/>
  <c r="V488" i="2"/>
  <c r="W488" i="2" a="1"/>
  <c r="W488" i="2" s="1"/>
  <c r="V487" i="2"/>
  <c r="U487" i="2"/>
  <c r="W487" i="2" a="1"/>
  <c r="W487" i="2" s="1"/>
  <c r="V486" i="2"/>
  <c r="U486" i="2"/>
  <c r="W486" i="2" a="1"/>
  <c r="W486" i="2" s="1"/>
  <c r="V485" i="2"/>
  <c r="U485" i="2"/>
  <c r="W485" i="2" a="1"/>
  <c r="W485" i="2" s="1"/>
  <c r="U484" i="2"/>
  <c r="V484" i="2"/>
  <c r="W484" i="2" a="1"/>
  <c r="W484" i="2" s="1"/>
  <c r="V483" i="2"/>
  <c r="U483" i="2"/>
  <c r="W483" i="2" a="1"/>
  <c r="W483" i="2" s="1"/>
  <c r="V482" i="2"/>
  <c r="U482" i="2"/>
  <c r="W482" i="2" a="1"/>
  <c r="W482" i="2" s="1"/>
  <c r="V481" i="2"/>
  <c r="U481" i="2"/>
  <c r="W481" i="2" a="1"/>
  <c r="W481" i="2" s="1"/>
  <c r="U480" i="2"/>
  <c r="V480" i="2"/>
  <c r="W480" i="2" a="1"/>
  <c r="W480" i="2" s="1"/>
  <c r="V479" i="2"/>
  <c r="U479" i="2"/>
  <c r="W479" i="2" a="1"/>
  <c r="W479" i="2" s="1"/>
  <c r="V478" i="2"/>
  <c r="U478" i="2"/>
  <c r="W478" i="2" a="1"/>
  <c r="W478" i="2" s="1"/>
  <c r="V477" i="2"/>
  <c r="U477" i="2"/>
  <c r="W477" i="2" a="1"/>
  <c r="W477" i="2" s="1"/>
  <c r="U476" i="2"/>
  <c r="V476" i="2"/>
  <c r="W476" i="2" a="1"/>
  <c r="W476" i="2" s="1"/>
  <c r="V475" i="2"/>
  <c r="U475" i="2"/>
  <c r="W475" i="2" a="1"/>
  <c r="W475" i="2" s="1"/>
  <c r="V474" i="2"/>
  <c r="U474" i="2"/>
  <c r="W474" i="2" a="1"/>
  <c r="W474" i="2" s="1"/>
  <c r="V473" i="2"/>
  <c r="U473" i="2"/>
  <c r="W473" i="2" a="1"/>
  <c r="W473" i="2" s="1"/>
  <c r="U472" i="2"/>
  <c r="V472" i="2"/>
  <c r="W472" i="2" a="1"/>
  <c r="W472" i="2" s="1"/>
  <c r="V471" i="2"/>
  <c r="U471" i="2"/>
  <c r="W471" i="2" a="1"/>
  <c r="W471" i="2" s="1"/>
  <c r="V470" i="2"/>
  <c r="U470" i="2"/>
  <c r="W470" i="2" a="1"/>
  <c r="W470" i="2" s="1"/>
  <c r="V469" i="2"/>
  <c r="U469" i="2"/>
  <c r="W469" i="2" a="1"/>
  <c r="W469" i="2" s="1"/>
  <c r="U468" i="2"/>
  <c r="V468" i="2"/>
  <c r="W468" i="2" a="1"/>
  <c r="W468" i="2" s="1"/>
  <c r="V467" i="2"/>
  <c r="U467" i="2"/>
  <c r="W467" i="2" a="1"/>
  <c r="W467" i="2" s="1"/>
  <c r="V466" i="2"/>
  <c r="U466" i="2"/>
  <c r="W466" i="2" a="1"/>
  <c r="W466" i="2" s="1"/>
  <c r="V465" i="2"/>
  <c r="U465" i="2"/>
  <c r="W465" i="2" a="1"/>
  <c r="W465" i="2" s="1"/>
  <c r="U464" i="2"/>
  <c r="V464" i="2"/>
  <c r="W464" i="2" a="1"/>
  <c r="W464" i="2" s="1"/>
  <c r="V463" i="2"/>
  <c r="U463" i="2"/>
  <c r="W463" i="2" a="1"/>
  <c r="W463" i="2" s="1"/>
  <c r="V462" i="2"/>
  <c r="U462" i="2"/>
  <c r="W462" i="2" a="1"/>
  <c r="W462" i="2" s="1"/>
  <c r="V461" i="2"/>
  <c r="U461" i="2"/>
  <c r="W461" i="2" a="1"/>
  <c r="W461" i="2" s="1"/>
  <c r="U460" i="2"/>
  <c r="V460" i="2"/>
  <c r="W460" i="2" a="1"/>
  <c r="W460" i="2" s="1"/>
  <c r="V459" i="2"/>
  <c r="U459" i="2"/>
  <c r="W459" i="2" a="1"/>
  <c r="W459" i="2" s="1"/>
  <c r="V458" i="2"/>
  <c r="U458" i="2"/>
  <c r="W458" i="2" a="1"/>
  <c r="W458" i="2" s="1"/>
  <c r="V457" i="2"/>
  <c r="U457" i="2"/>
  <c r="W457" i="2" a="1"/>
  <c r="W457" i="2" s="1"/>
  <c r="U456" i="2"/>
  <c r="V456" i="2"/>
  <c r="W456" i="2" a="1"/>
  <c r="W456" i="2" s="1"/>
  <c r="V455" i="2"/>
  <c r="U455" i="2"/>
  <c r="W455" i="2" a="1"/>
  <c r="W455" i="2" s="1"/>
  <c r="V454" i="2"/>
  <c r="U454" i="2"/>
  <c r="W454" i="2" a="1"/>
  <c r="W454" i="2" s="1"/>
  <c r="V453" i="2"/>
  <c r="U453" i="2"/>
  <c r="W453" i="2" a="1"/>
  <c r="W453" i="2" s="1"/>
  <c r="U452" i="2"/>
  <c r="V452" i="2"/>
  <c r="W452" i="2" a="1"/>
  <c r="W452" i="2" s="1"/>
  <c r="V451" i="2"/>
  <c r="U451" i="2"/>
  <c r="W451" i="2" a="1"/>
  <c r="W451" i="2" s="1"/>
  <c r="V450" i="2"/>
  <c r="U450" i="2"/>
  <c r="W450" i="2" a="1"/>
  <c r="W450" i="2" s="1"/>
  <c r="V449" i="2"/>
  <c r="U449" i="2"/>
  <c r="W449" i="2" a="1"/>
  <c r="W449" i="2" s="1"/>
  <c r="U448" i="2"/>
  <c r="V448" i="2"/>
  <c r="W448" i="2" a="1"/>
  <c r="W448" i="2" s="1"/>
  <c r="V447" i="2"/>
  <c r="U447" i="2"/>
  <c r="W447" i="2" a="1"/>
  <c r="W447" i="2" s="1"/>
  <c r="V446" i="2"/>
  <c r="U446" i="2"/>
  <c r="W446" i="2" a="1"/>
  <c r="W446" i="2" s="1"/>
  <c r="V445" i="2"/>
  <c r="U445" i="2"/>
  <c r="W445" i="2" a="1"/>
  <c r="W445" i="2" s="1"/>
  <c r="U444" i="2"/>
  <c r="V444" i="2"/>
  <c r="W444" i="2" a="1"/>
  <c r="W444" i="2" s="1"/>
  <c r="U443" i="2"/>
  <c r="V443" i="2"/>
  <c r="W443" i="2" a="1"/>
  <c r="W443" i="2" s="1"/>
  <c r="U442" i="2"/>
  <c r="V442" i="2"/>
  <c r="W442" i="2" a="1"/>
  <c r="W442" i="2" s="1"/>
  <c r="V441" i="2"/>
  <c r="U441" i="2"/>
  <c r="W441" i="2" a="1"/>
  <c r="W441" i="2" s="1"/>
  <c r="V440" i="2"/>
  <c r="U440" i="2"/>
  <c r="W440" i="2" a="1"/>
  <c r="W440" i="2" s="1"/>
  <c r="U439" i="2"/>
  <c r="V439" i="2"/>
  <c r="W439" i="2" a="1"/>
  <c r="W439" i="2" s="1"/>
  <c r="V438" i="2"/>
  <c r="U438" i="2"/>
  <c r="W438" i="2" a="1"/>
  <c r="W438" i="2" s="1"/>
  <c r="V437" i="2"/>
  <c r="U437" i="2"/>
  <c r="W437" i="2" a="1"/>
  <c r="W437" i="2" s="1"/>
  <c r="V436" i="2"/>
  <c r="U436" i="2"/>
  <c r="W436" i="2" a="1"/>
  <c r="W436" i="2" s="1"/>
  <c r="U435" i="2"/>
  <c r="V435" i="2"/>
  <c r="W435" i="2" a="1"/>
  <c r="W435" i="2" s="1"/>
  <c r="V434" i="2"/>
  <c r="U434" i="2"/>
  <c r="W434" i="2" a="1"/>
  <c r="W434" i="2" s="1"/>
  <c r="V433" i="2"/>
  <c r="U433" i="2"/>
  <c r="W433" i="2" a="1"/>
  <c r="W433" i="2" s="1"/>
  <c r="V432" i="2"/>
  <c r="U432" i="2"/>
  <c r="W432" i="2" a="1"/>
  <c r="W432" i="2" s="1"/>
  <c r="U431" i="2"/>
  <c r="V431" i="2"/>
  <c r="W431" i="2" a="1"/>
  <c r="W431" i="2" s="1"/>
  <c r="V430" i="2"/>
  <c r="U430" i="2"/>
  <c r="W430" i="2" a="1"/>
  <c r="W430" i="2" s="1"/>
  <c r="V429" i="2"/>
  <c r="U429" i="2"/>
  <c r="W429" i="2" a="1"/>
  <c r="W429" i="2" s="1"/>
  <c r="V428" i="2"/>
  <c r="U428" i="2"/>
  <c r="W428" i="2" a="1"/>
  <c r="W428" i="2" s="1"/>
  <c r="U427" i="2"/>
  <c r="V427" i="2"/>
  <c r="W427" i="2" a="1"/>
  <c r="W427" i="2" s="1"/>
  <c r="V426" i="2"/>
  <c r="U426" i="2"/>
  <c r="W426" i="2" a="1"/>
  <c r="W426" i="2" s="1"/>
  <c r="V425" i="2"/>
  <c r="U425" i="2"/>
  <c r="W425" i="2" a="1"/>
  <c r="W425" i="2" s="1"/>
  <c r="V424" i="2"/>
  <c r="U424" i="2"/>
  <c r="W424" i="2" a="1"/>
  <c r="W424" i="2" s="1"/>
  <c r="U423" i="2"/>
  <c r="V423" i="2"/>
  <c r="W423" i="2" a="1"/>
  <c r="W423" i="2" s="1"/>
  <c r="V422" i="2"/>
  <c r="U422" i="2"/>
  <c r="W422" i="2" a="1"/>
  <c r="W422" i="2" s="1"/>
  <c r="V421" i="2"/>
  <c r="U421" i="2"/>
  <c r="W421" i="2" a="1"/>
  <c r="W421" i="2" s="1"/>
  <c r="V420" i="2"/>
  <c r="U420" i="2"/>
  <c r="W420" i="2" a="1"/>
  <c r="W420" i="2" s="1"/>
  <c r="U419" i="2"/>
  <c r="V419" i="2"/>
  <c r="W419" i="2" a="1"/>
  <c r="W419" i="2" s="1"/>
  <c r="V418" i="2"/>
  <c r="U418" i="2"/>
  <c r="W418" i="2" a="1"/>
  <c r="W418" i="2" s="1"/>
  <c r="V417" i="2"/>
  <c r="U417" i="2"/>
  <c r="W417" i="2" a="1"/>
  <c r="W417" i="2" s="1"/>
  <c r="V416" i="2"/>
  <c r="U416" i="2"/>
  <c r="W416" i="2" a="1"/>
  <c r="W416" i="2" s="1"/>
  <c r="U415" i="2"/>
  <c r="V415" i="2"/>
  <c r="W415" i="2" a="1"/>
  <c r="W415" i="2" s="1"/>
  <c r="V414" i="2"/>
  <c r="U414" i="2"/>
  <c r="W414" i="2" a="1"/>
  <c r="W414" i="2" s="1"/>
  <c r="V413" i="2"/>
  <c r="U413" i="2"/>
  <c r="W413" i="2" a="1"/>
  <c r="W413" i="2" s="1"/>
  <c r="V412" i="2"/>
  <c r="U412" i="2"/>
  <c r="W412" i="2" a="1"/>
  <c r="W412" i="2" s="1"/>
  <c r="U411" i="2"/>
  <c r="V411" i="2"/>
  <c r="W411" i="2" a="1"/>
  <c r="W411" i="2" s="1"/>
  <c r="V410" i="2"/>
  <c r="U410" i="2"/>
  <c r="W410" i="2" a="1"/>
  <c r="W410" i="2" s="1"/>
  <c r="V409" i="2"/>
  <c r="U409" i="2"/>
  <c r="W409" i="2" a="1"/>
  <c r="W409" i="2" s="1"/>
  <c r="V408" i="2"/>
  <c r="U408" i="2"/>
  <c r="W408" i="2" a="1"/>
  <c r="W408" i="2" s="1"/>
  <c r="U407" i="2"/>
  <c r="V407" i="2"/>
  <c r="W407" i="2" a="1"/>
  <c r="W407" i="2" s="1"/>
  <c r="V406" i="2"/>
  <c r="U406" i="2"/>
  <c r="W406" i="2" a="1"/>
  <c r="W406" i="2" s="1"/>
  <c r="V405" i="2"/>
  <c r="U405" i="2"/>
  <c r="W405" i="2" a="1"/>
  <c r="W405" i="2" s="1"/>
  <c r="V404" i="2"/>
  <c r="U404" i="2"/>
  <c r="W404" i="2" a="1"/>
  <c r="W404" i="2" s="1"/>
  <c r="U403" i="2"/>
  <c r="V403" i="2"/>
  <c r="W403" i="2" a="1"/>
  <c r="W403" i="2" s="1"/>
  <c r="V402" i="2"/>
  <c r="U402" i="2"/>
  <c r="W402" i="2" a="1"/>
  <c r="W402" i="2" s="1"/>
  <c r="V401" i="2"/>
  <c r="U401" i="2"/>
  <c r="W401" i="2" a="1"/>
  <c r="W401" i="2" s="1"/>
  <c r="V400" i="2"/>
  <c r="U400" i="2"/>
  <c r="W400" i="2" a="1"/>
  <c r="W400" i="2" s="1"/>
  <c r="U399" i="2"/>
  <c r="V399" i="2"/>
  <c r="W399" i="2" a="1"/>
  <c r="W399" i="2" s="1"/>
  <c r="V398" i="2"/>
  <c r="U398" i="2"/>
  <c r="W398" i="2" a="1"/>
  <c r="W398" i="2" s="1"/>
  <c r="V397" i="2"/>
  <c r="U397" i="2"/>
  <c r="W397" i="2" a="1"/>
  <c r="W397" i="2" s="1"/>
  <c r="V396" i="2"/>
  <c r="U396" i="2"/>
  <c r="W396" i="2" a="1"/>
  <c r="W396" i="2" s="1"/>
  <c r="U395" i="2"/>
  <c r="V395" i="2"/>
  <c r="W395" i="2" a="1"/>
  <c r="W395" i="2" s="1"/>
  <c r="W394" i="2" a="1"/>
  <c r="W394" i="2" s="1"/>
  <c r="V394" i="2"/>
  <c r="U394" i="2"/>
  <c r="V393" i="2"/>
  <c r="U393" i="2"/>
  <c r="W393" i="2" a="1"/>
  <c r="W393" i="2" s="1"/>
  <c r="V392" i="2"/>
  <c r="U392" i="2"/>
  <c r="W392" i="2" a="1"/>
  <c r="W392" i="2" s="1"/>
  <c r="U391" i="2"/>
  <c r="V391" i="2"/>
  <c r="W391" i="2" a="1"/>
  <c r="W391" i="2" s="1"/>
  <c r="W390" i="2" a="1"/>
  <c r="W390" i="2" s="1"/>
  <c r="V390" i="2"/>
  <c r="U390" i="2"/>
  <c r="W389" i="2" a="1"/>
  <c r="W389" i="2" s="1"/>
  <c r="V389" i="2"/>
  <c r="U389" i="2"/>
  <c r="V388" i="2"/>
  <c r="U388" i="2"/>
  <c r="W388" i="2" a="1"/>
  <c r="W388" i="2" s="1"/>
  <c r="V387" i="2"/>
  <c r="U387" i="2"/>
  <c r="W387" i="2" a="1"/>
  <c r="W387" i="2" s="1"/>
  <c r="V386" i="2"/>
  <c r="U386" i="2"/>
  <c r="W386" i="2" a="1"/>
  <c r="W386" i="2" s="1"/>
  <c r="V385" i="2"/>
  <c r="U385" i="2"/>
  <c r="W385" i="2" a="1"/>
  <c r="W385" i="2" s="1"/>
  <c r="W384" i="2" a="1"/>
  <c r="W384" i="2" s="1"/>
  <c r="V384" i="2"/>
  <c r="U384" i="2"/>
  <c r="V383" i="2"/>
  <c r="U383" i="2"/>
  <c r="W383" i="2" a="1"/>
  <c r="W383" i="2" s="1"/>
  <c r="V382" i="2"/>
  <c r="U382" i="2"/>
  <c r="W382" i="2" a="1"/>
  <c r="W382" i="2" s="1"/>
  <c r="V381" i="2"/>
  <c r="U381" i="2"/>
  <c r="W381" i="2" a="1"/>
  <c r="W381" i="2" s="1"/>
  <c r="W380" i="2" a="1"/>
  <c r="W380" i="2" s="1"/>
  <c r="V380" i="2"/>
  <c r="U380" i="2"/>
  <c r="V379" i="2"/>
  <c r="U379" i="2"/>
  <c r="W379" i="2" a="1"/>
  <c r="W379" i="2" s="1"/>
  <c r="U378" i="2"/>
  <c r="V378" i="2"/>
  <c r="W378" i="2" a="1"/>
  <c r="W378" i="2" s="1"/>
  <c r="V377" i="2"/>
  <c r="U377" i="2"/>
  <c r="W377" i="2" a="1"/>
  <c r="W377" i="2" s="1"/>
  <c r="V376" i="2"/>
  <c r="U376" i="2"/>
  <c r="W376" i="2" a="1"/>
  <c r="W376" i="2" s="1"/>
  <c r="V375" i="2"/>
  <c r="U375" i="2"/>
  <c r="W375" i="2" a="1"/>
  <c r="W375" i="2" s="1"/>
  <c r="U374" i="2"/>
  <c r="V374" i="2"/>
  <c r="W374" i="2" a="1"/>
  <c r="W374" i="2" s="1"/>
  <c r="V373" i="2"/>
  <c r="U373" i="2"/>
  <c r="W373" i="2" a="1"/>
  <c r="W373" i="2" s="1"/>
  <c r="V372" i="2"/>
  <c r="U372" i="2"/>
  <c r="W372" i="2" a="1"/>
  <c r="W372" i="2" s="1"/>
  <c r="V371" i="2"/>
  <c r="U371" i="2"/>
  <c r="W371" i="2" a="1"/>
  <c r="W371" i="2" s="1"/>
  <c r="U370" i="2"/>
  <c r="V370" i="2"/>
  <c r="W370" i="2" a="1"/>
  <c r="W370" i="2" s="1"/>
  <c r="V369" i="2"/>
  <c r="U369" i="2"/>
  <c r="W369" i="2" a="1"/>
  <c r="W369" i="2" s="1"/>
  <c r="V368" i="2"/>
  <c r="U368" i="2"/>
  <c r="W368" i="2" a="1"/>
  <c r="W368" i="2" s="1"/>
  <c r="V367" i="2"/>
  <c r="U367" i="2"/>
  <c r="W367" i="2" a="1"/>
  <c r="W367" i="2" s="1"/>
  <c r="U366" i="2"/>
  <c r="V366" i="2"/>
  <c r="W366" i="2" a="1"/>
  <c r="W366" i="2" s="1"/>
  <c r="V365" i="2"/>
  <c r="U365" i="2"/>
  <c r="W365" i="2" a="1"/>
  <c r="W365" i="2" s="1"/>
  <c r="V364" i="2"/>
  <c r="U364" i="2"/>
  <c r="W364" i="2" a="1"/>
  <c r="W364" i="2" s="1"/>
  <c r="V363" i="2"/>
  <c r="U363" i="2"/>
  <c r="W363" i="2" a="1"/>
  <c r="W363" i="2" s="1"/>
  <c r="U362" i="2"/>
  <c r="V362" i="2"/>
  <c r="W362" i="2" a="1"/>
  <c r="W362" i="2" s="1"/>
  <c r="V361" i="2"/>
  <c r="U361" i="2"/>
  <c r="W361" i="2" a="1"/>
  <c r="W361" i="2" s="1"/>
  <c r="V360" i="2"/>
  <c r="U360" i="2"/>
  <c r="W360" i="2" a="1"/>
  <c r="W360" i="2" s="1"/>
  <c r="U359" i="2"/>
  <c r="V359" i="2"/>
  <c r="W359" i="2" a="1"/>
  <c r="W359" i="2" s="1"/>
  <c r="W358" i="2"/>
  <c r="U358" i="2"/>
  <c r="V358" i="2"/>
  <c r="W358" i="2" a="1"/>
  <c r="V357" i="2"/>
  <c r="U357" i="2"/>
  <c r="W357" i="2" a="1"/>
  <c r="W357" i="2" s="1"/>
  <c r="U356" i="2"/>
  <c r="V356" i="2"/>
  <c r="W356" i="2" a="1"/>
  <c r="W356" i="2" s="1"/>
  <c r="V355" i="2"/>
  <c r="U355" i="2"/>
  <c r="W355" i="2" a="1"/>
  <c r="W355" i="2" s="1"/>
  <c r="U354" i="2"/>
  <c r="V354" i="2"/>
  <c r="W354" i="2" a="1"/>
  <c r="W354" i="2" s="1"/>
  <c r="V353" i="2"/>
  <c r="U353" i="2"/>
  <c r="W353" i="2" a="1"/>
  <c r="W353" i="2" s="1"/>
  <c r="W352" i="2"/>
  <c r="U352" i="2"/>
  <c r="V352" i="2"/>
  <c r="W352" i="2" a="1"/>
  <c r="V351" i="2"/>
  <c r="U351" i="2"/>
  <c r="W351" i="2" a="1"/>
  <c r="W351" i="2" s="1"/>
  <c r="U350" i="2"/>
  <c r="V350" i="2"/>
  <c r="W350" i="2" a="1"/>
  <c r="W350" i="2" s="1"/>
  <c r="V349" i="2"/>
  <c r="U349" i="2"/>
  <c r="W349" i="2" a="1"/>
  <c r="W349" i="2" s="1"/>
  <c r="U348" i="2"/>
  <c r="V348" i="2"/>
  <c r="W348" i="2" a="1"/>
  <c r="W348" i="2" s="1"/>
  <c r="V347" i="2"/>
  <c r="U347" i="2"/>
  <c r="W347" i="2" a="1"/>
  <c r="W347" i="2" s="1"/>
  <c r="U346" i="2"/>
  <c r="V346" i="2"/>
  <c r="W346" i="2" a="1"/>
  <c r="W346" i="2" s="1"/>
  <c r="V345" i="2"/>
  <c r="U345" i="2"/>
  <c r="W345" i="2" a="1"/>
  <c r="W345" i="2" s="1"/>
  <c r="U344" i="2"/>
  <c r="V344" i="2"/>
  <c r="W344" i="2" a="1"/>
  <c r="W344" i="2" s="1"/>
  <c r="V343" i="2"/>
  <c r="U343" i="2"/>
  <c r="W343" i="2" a="1"/>
  <c r="W343" i="2" s="1"/>
  <c r="U342" i="2"/>
  <c r="V342" i="2"/>
  <c r="W342" i="2" a="1"/>
  <c r="W342" i="2" s="1"/>
  <c r="V341" i="2"/>
  <c r="U341" i="2"/>
  <c r="W341" i="2" a="1"/>
  <c r="W341" i="2" s="1"/>
  <c r="U340" i="2"/>
  <c r="V340" i="2"/>
  <c r="W340" i="2" a="1"/>
  <c r="W340" i="2" s="1"/>
  <c r="V339" i="2"/>
  <c r="U339" i="2"/>
  <c r="W339" i="2" a="1"/>
  <c r="W339" i="2" s="1"/>
  <c r="U338" i="2"/>
  <c r="V338" i="2"/>
  <c r="W338" i="2" a="1"/>
  <c r="W338" i="2" s="1"/>
  <c r="V337" i="2"/>
  <c r="U337" i="2"/>
  <c r="W337" i="2" a="1"/>
  <c r="W337" i="2" s="1"/>
  <c r="W336" i="2"/>
  <c r="U336" i="2"/>
  <c r="V336" i="2"/>
  <c r="W336" i="2" a="1"/>
  <c r="V335" i="2"/>
  <c r="U335" i="2"/>
  <c r="W335" i="2" a="1"/>
  <c r="W335" i="2" s="1"/>
  <c r="U334" i="2"/>
  <c r="V334" i="2"/>
  <c r="W334" i="2" a="1"/>
  <c r="W334" i="2" s="1"/>
  <c r="V333" i="2"/>
  <c r="U333" i="2"/>
  <c r="W333" i="2" a="1"/>
  <c r="W333" i="2" s="1"/>
  <c r="U332" i="2"/>
  <c r="V332" i="2"/>
  <c r="W332" i="2" a="1"/>
  <c r="W332" i="2" s="1"/>
  <c r="V331" i="2"/>
  <c r="U331" i="2"/>
  <c r="W331" i="2" a="1"/>
  <c r="W331" i="2" s="1"/>
  <c r="U330" i="2"/>
  <c r="V330" i="2"/>
  <c r="W330" i="2" a="1"/>
  <c r="W330" i="2" s="1"/>
  <c r="V329" i="2"/>
  <c r="U329" i="2"/>
  <c r="W329" i="2" a="1"/>
  <c r="W329" i="2" s="1"/>
  <c r="U328" i="2"/>
  <c r="V328" i="2"/>
  <c r="W328" i="2" a="1"/>
  <c r="W328" i="2" s="1"/>
  <c r="V327" i="2"/>
  <c r="U327" i="2"/>
  <c r="W327" i="2" a="1"/>
  <c r="W327" i="2" s="1"/>
  <c r="W326" i="2"/>
  <c r="U326" i="2"/>
  <c r="V326" i="2"/>
  <c r="W326" i="2" a="1"/>
  <c r="V325" i="2"/>
  <c r="U325" i="2"/>
  <c r="W325" i="2" a="1"/>
  <c r="W325" i="2" s="1"/>
  <c r="U324" i="2"/>
  <c r="V324" i="2"/>
  <c r="W324" i="2" a="1"/>
  <c r="W324" i="2" s="1"/>
  <c r="V323" i="2"/>
  <c r="U323" i="2"/>
  <c r="W323" i="2" a="1"/>
  <c r="W323" i="2" s="1"/>
  <c r="U322" i="2"/>
  <c r="V322" i="2"/>
  <c r="W322" i="2" a="1"/>
  <c r="W322" i="2" s="1"/>
  <c r="V321" i="2"/>
  <c r="U321" i="2"/>
  <c r="W321" i="2" a="1"/>
  <c r="W321" i="2" s="1"/>
  <c r="W320" i="2"/>
  <c r="U320" i="2"/>
  <c r="V320" i="2"/>
  <c r="W320" i="2" a="1"/>
  <c r="V319" i="2"/>
  <c r="U319" i="2"/>
  <c r="W319" i="2" a="1"/>
  <c r="W319" i="2" s="1"/>
  <c r="U318" i="2"/>
  <c r="V318" i="2"/>
  <c r="W318" i="2" a="1"/>
  <c r="W318" i="2" s="1"/>
  <c r="V317" i="2"/>
  <c r="U317" i="2"/>
  <c r="W317" i="2" a="1"/>
  <c r="W317" i="2" s="1"/>
  <c r="U316" i="2"/>
  <c r="V316" i="2"/>
  <c r="W316" i="2" a="1"/>
  <c r="W316" i="2" s="1"/>
  <c r="V315" i="2"/>
  <c r="U315" i="2"/>
  <c r="W315" i="2" a="1"/>
  <c r="W315" i="2" s="1"/>
  <c r="U314" i="2"/>
  <c r="V314" i="2"/>
  <c r="W314" i="2" a="1"/>
  <c r="W314" i="2" s="1"/>
  <c r="V313" i="2"/>
  <c r="U313" i="2"/>
  <c r="W313" i="2" a="1"/>
  <c r="W313" i="2" s="1"/>
  <c r="U312" i="2"/>
  <c r="V312" i="2"/>
  <c r="W312" i="2" a="1"/>
  <c r="W312" i="2" s="1"/>
  <c r="V311" i="2"/>
  <c r="U311" i="2"/>
  <c r="W311" i="2" a="1"/>
  <c r="W311" i="2" s="1"/>
  <c r="U310" i="2"/>
  <c r="V310" i="2"/>
  <c r="W310" i="2" a="1"/>
  <c r="W310" i="2" s="1"/>
  <c r="V309" i="2"/>
  <c r="U309" i="2"/>
  <c r="W309" i="2" a="1"/>
  <c r="W309" i="2" s="1"/>
  <c r="U308" i="2"/>
  <c r="V308" i="2"/>
  <c r="W308" i="2" a="1"/>
  <c r="W308" i="2" s="1"/>
  <c r="W307" i="2" a="1"/>
  <c r="W307" i="2" s="1"/>
  <c r="V307" i="2"/>
  <c r="U307" i="2"/>
  <c r="V306" i="2"/>
  <c r="U306" i="2"/>
  <c r="W306" i="2" a="1"/>
  <c r="W306" i="2" s="1"/>
  <c r="U305" i="2"/>
  <c r="V305" i="2"/>
  <c r="W305" i="2" a="1"/>
  <c r="W305" i="2" s="1"/>
  <c r="V304" i="2"/>
  <c r="U304" i="2"/>
  <c r="W304" i="2" a="1"/>
  <c r="W304" i="2" s="1"/>
  <c r="U303" i="2"/>
  <c r="V303" i="2"/>
  <c r="W303" i="2" a="1"/>
  <c r="W303" i="2" s="1"/>
  <c r="V302" i="2"/>
  <c r="U302" i="2"/>
  <c r="W302" i="2" a="1"/>
  <c r="W302" i="2" s="1"/>
  <c r="U301" i="2"/>
  <c r="V301" i="2"/>
  <c r="W301" i="2" a="1"/>
  <c r="W301" i="2" s="1"/>
  <c r="V300" i="2"/>
  <c r="U300" i="2"/>
  <c r="W300" i="2" a="1"/>
  <c r="W300" i="2" s="1"/>
  <c r="W299" i="2"/>
  <c r="U299" i="2"/>
  <c r="V299" i="2"/>
  <c r="W299" i="2" a="1"/>
  <c r="V298" i="2"/>
  <c r="U298" i="2"/>
  <c r="W298" i="2" a="1"/>
  <c r="W298" i="2" s="1"/>
  <c r="W297" i="2"/>
  <c r="U297" i="2"/>
  <c r="V297" i="2"/>
  <c r="W297" i="2" a="1"/>
  <c r="U296" i="2"/>
  <c r="V296" i="2"/>
  <c r="W296" i="2" a="1"/>
  <c r="W296" i="2" s="1"/>
  <c r="U295" i="2"/>
  <c r="V295" i="2"/>
  <c r="W295" i="2" a="1"/>
  <c r="W295" i="2" s="1"/>
  <c r="U294" i="2"/>
  <c r="V294" i="2"/>
  <c r="W294" i="2" a="1"/>
  <c r="W294" i="2" s="1"/>
  <c r="W293" i="2"/>
  <c r="U293" i="2"/>
  <c r="V293" i="2"/>
  <c r="W293" i="2" a="1"/>
  <c r="U292" i="2"/>
  <c r="V292" i="2"/>
  <c r="W292" i="2" a="1"/>
  <c r="W292" i="2" s="1"/>
  <c r="U291" i="2"/>
  <c r="V291" i="2"/>
  <c r="W291" i="2" a="1"/>
  <c r="W291" i="2" s="1"/>
  <c r="V290" i="2"/>
  <c r="U290" i="2"/>
  <c r="W290" i="2" a="1"/>
  <c r="W290" i="2" s="1"/>
  <c r="U289" i="2"/>
  <c r="V289" i="2"/>
  <c r="W289" i="2" a="1"/>
  <c r="W289" i="2" s="1"/>
  <c r="V288" i="2"/>
  <c r="U288" i="2"/>
  <c r="W288" i="2" a="1"/>
  <c r="W288" i="2" s="1"/>
  <c r="W287" i="2"/>
  <c r="U287" i="2"/>
  <c r="V287" i="2"/>
  <c r="W287" i="2" a="1"/>
  <c r="V286" i="2"/>
  <c r="U286" i="2"/>
  <c r="W286" i="2" a="1"/>
  <c r="W286" i="2" s="1"/>
  <c r="U285" i="2"/>
  <c r="V285" i="2"/>
  <c r="W285" i="2" a="1"/>
  <c r="W285" i="2" s="1"/>
  <c r="V284" i="2"/>
  <c r="U284" i="2"/>
  <c r="W284" i="2" a="1"/>
  <c r="W284" i="2" s="1"/>
  <c r="U283" i="2"/>
  <c r="V283" i="2"/>
  <c r="W283" i="2" a="1"/>
  <c r="W283" i="2" s="1"/>
  <c r="V282" i="2"/>
  <c r="U282" i="2"/>
  <c r="W282" i="2" a="1"/>
  <c r="W282" i="2" s="1"/>
  <c r="U281" i="2"/>
  <c r="V281" i="2"/>
  <c r="W281" i="2" a="1"/>
  <c r="W281" i="2" s="1"/>
  <c r="V280" i="2"/>
  <c r="U280" i="2"/>
  <c r="W280" i="2" a="1"/>
  <c r="W280" i="2" s="1"/>
  <c r="U279" i="2"/>
  <c r="V279" i="2"/>
  <c r="W279" i="2" a="1"/>
  <c r="W279" i="2" s="1"/>
  <c r="U278" i="2"/>
  <c r="V278" i="2"/>
  <c r="W278" i="2" a="1"/>
  <c r="W278" i="2" s="1"/>
  <c r="V277" i="2"/>
  <c r="U277" i="2"/>
  <c r="W277" i="2" a="1"/>
  <c r="W277" i="2" s="1"/>
  <c r="V276" i="2"/>
  <c r="U276" i="2"/>
  <c r="W276" i="2" a="1"/>
  <c r="W276" i="2" s="1"/>
  <c r="V275" i="2"/>
  <c r="U275" i="2"/>
  <c r="W275" i="2" a="1"/>
  <c r="W275" i="2" s="1"/>
  <c r="U274" i="2"/>
  <c r="V274" i="2"/>
  <c r="W274" i="2" a="1"/>
  <c r="W274" i="2" s="1"/>
  <c r="V273" i="2"/>
  <c r="U273" i="2"/>
  <c r="W273" i="2" a="1"/>
  <c r="W273" i="2" s="1"/>
  <c r="V272" i="2"/>
  <c r="U272" i="2"/>
  <c r="W272" i="2" a="1"/>
  <c r="W272" i="2" s="1"/>
  <c r="V271" i="2"/>
  <c r="U271" i="2"/>
  <c r="W271" i="2" a="1"/>
  <c r="W271" i="2" s="1"/>
  <c r="U270" i="2"/>
  <c r="V270" i="2"/>
  <c r="W270" i="2" a="1"/>
  <c r="W270" i="2" s="1"/>
  <c r="V269" i="2"/>
  <c r="U269" i="2"/>
  <c r="W269" i="2" a="1"/>
  <c r="W269" i="2" s="1"/>
  <c r="V268" i="2"/>
  <c r="U268" i="2"/>
  <c r="W268" i="2" a="1"/>
  <c r="W268" i="2" s="1"/>
  <c r="V267" i="2"/>
  <c r="U267" i="2"/>
  <c r="W267" i="2" a="1"/>
  <c r="W267" i="2" s="1"/>
  <c r="U266" i="2"/>
  <c r="V266" i="2"/>
  <c r="W266" i="2" a="1"/>
  <c r="W266" i="2" s="1"/>
  <c r="V265" i="2"/>
  <c r="U265" i="2"/>
  <c r="W265" i="2" a="1"/>
  <c r="W265" i="2" s="1"/>
  <c r="V264" i="2"/>
  <c r="U264" i="2"/>
  <c r="W264" i="2" a="1"/>
  <c r="W264" i="2" s="1"/>
  <c r="V263" i="2"/>
  <c r="U263" i="2"/>
  <c r="W263" i="2" a="1"/>
  <c r="W263" i="2" s="1"/>
  <c r="U262" i="2"/>
  <c r="V262" i="2"/>
  <c r="W262" i="2" a="1"/>
  <c r="W262" i="2" s="1"/>
  <c r="V261" i="2"/>
  <c r="U261" i="2"/>
  <c r="W261" i="2" a="1"/>
  <c r="W261" i="2" s="1"/>
  <c r="V260" i="2"/>
  <c r="U260" i="2"/>
  <c r="W260" i="2" a="1"/>
  <c r="W260" i="2" s="1"/>
  <c r="V259" i="2"/>
  <c r="U259" i="2"/>
  <c r="W259" i="2" a="1"/>
  <c r="W259" i="2" s="1"/>
  <c r="U258" i="2"/>
  <c r="V258" i="2"/>
  <c r="W258" i="2" a="1"/>
  <c r="W258" i="2" s="1"/>
  <c r="V257" i="2"/>
  <c r="U257" i="2"/>
  <c r="W257" i="2" a="1"/>
  <c r="W257" i="2" s="1"/>
  <c r="V256" i="2"/>
  <c r="U256" i="2"/>
  <c r="W256" i="2" a="1"/>
  <c r="W256" i="2" s="1"/>
  <c r="V255" i="2"/>
  <c r="U255" i="2"/>
  <c r="W255" i="2" a="1"/>
  <c r="W255" i="2" s="1"/>
  <c r="U254" i="2"/>
  <c r="V254" i="2"/>
  <c r="W254" i="2" a="1"/>
  <c r="W254" i="2" s="1"/>
  <c r="V253" i="2"/>
  <c r="U253" i="2"/>
  <c r="W253" i="2" a="1"/>
  <c r="W253" i="2" s="1"/>
  <c r="V252" i="2"/>
  <c r="U252" i="2"/>
  <c r="W252" i="2" a="1"/>
  <c r="W252" i="2" s="1"/>
  <c r="V251" i="2"/>
  <c r="U251" i="2"/>
  <c r="W251" i="2" a="1"/>
  <c r="W251" i="2" s="1"/>
  <c r="W250" i="2"/>
  <c r="W250" i="2" a="1"/>
  <c r="V250" i="2"/>
  <c r="U250" i="2"/>
  <c r="W249" i="2" a="1"/>
  <c r="W249" i="2" s="1"/>
  <c r="V249" i="2"/>
  <c r="U249" i="2"/>
  <c r="W248" i="2" a="1"/>
  <c r="W248" i="2" s="1"/>
  <c r="V248" i="2"/>
  <c r="U248" i="2"/>
  <c r="W247" i="2" a="1"/>
  <c r="W247" i="2" s="1"/>
  <c r="U247" i="2"/>
  <c r="V247" i="2"/>
  <c r="W246" i="2" a="1"/>
  <c r="W246" i="2" s="1"/>
  <c r="U246" i="2"/>
  <c r="V246" i="2"/>
  <c r="W245" i="2" a="1"/>
  <c r="W245" i="2" s="1"/>
  <c r="V245" i="2"/>
  <c r="U245" i="2"/>
  <c r="W244" i="2"/>
  <c r="W244" i="2" a="1"/>
  <c r="V244" i="2"/>
  <c r="U244" i="2"/>
  <c r="W243" i="2"/>
  <c r="W243" i="2" a="1"/>
  <c r="U243" i="2"/>
  <c r="V243" i="2"/>
  <c r="W242" i="2"/>
  <c r="W242" i="2" a="1"/>
  <c r="V242" i="2"/>
  <c r="U242" i="2"/>
  <c r="W241" i="2" a="1"/>
  <c r="W241" i="2" s="1"/>
  <c r="V241" i="2"/>
  <c r="U241" i="2"/>
  <c r="W240" i="2" a="1"/>
  <c r="W240" i="2" s="1"/>
  <c r="V240" i="2"/>
  <c r="U240" i="2"/>
  <c r="W239" i="2"/>
  <c r="W239" i="2" a="1"/>
  <c r="U239" i="2"/>
  <c r="V239" i="2"/>
  <c r="W238" i="2"/>
  <c r="W238" i="2" a="1"/>
  <c r="U238" i="2"/>
  <c r="V238" i="2"/>
  <c r="W237" i="2" a="1"/>
  <c r="W237" i="2" s="1"/>
  <c r="V237" i="2"/>
  <c r="U237" i="2"/>
  <c r="W236" i="2" a="1"/>
  <c r="W236" i="2" s="1"/>
  <c r="V236" i="2"/>
  <c r="U236" i="2"/>
  <c r="W235" i="2" a="1"/>
  <c r="W235" i="2" s="1"/>
  <c r="U235" i="2"/>
  <c r="V235" i="2"/>
  <c r="W234" i="2" a="1"/>
  <c r="W234" i="2" s="1"/>
  <c r="V234" i="2"/>
  <c r="U234" i="2"/>
  <c r="W233" i="2" a="1"/>
  <c r="W233" i="2" s="1"/>
  <c r="V233" i="2"/>
  <c r="U233" i="2"/>
  <c r="W232" i="2" a="1"/>
  <c r="W232" i="2" s="1"/>
  <c r="V232" i="2"/>
  <c r="U232" i="2"/>
  <c r="W231" i="2" a="1"/>
  <c r="W231" i="2" s="1"/>
  <c r="U231" i="2"/>
  <c r="V231" i="2"/>
  <c r="W230" i="2" a="1"/>
  <c r="W230" i="2" s="1"/>
  <c r="U230" i="2"/>
  <c r="V230" i="2"/>
  <c r="W229" i="2" a="1"/>
  <c r="W229" i="2" s="1"/>
  <c r="V229" i="2"/>
  <c r="U229" i="2"/>
  <c r="W228" i="2"/>
  <c r="W228" i="2" a="1"/>
  <c r="V228" i="2"/>
  <c r="U228" i="2"/>
  <c r="W227" i="2"/>
  <c r="W227" i="2" a="1"/>
  <c r="V227" i="2"/>
  <c r="U227" i="2"/>
  <c r="W226" i="2"/>
  <c r="W226" i="2" a="1"/>
  <c r="V226" i="2"/>
  <c r="U226" i="2"/>
  <c r="W225" i="2" a="1"/>
  <c r="W225" i="2" s="1"/>
  <c r="U225" i="2"/>
  <c r="V225" i="2"/>
  <c r="W224" i="2" a="1"/>
  <c r="W224" i="2" s="1"/>
  <c r="V224" i="2"/>
  <c r="U224" i="2"/>
  <c r="W223" i="2" a="1"/>
  <c r="W223" i="2" s="1"/>
  <c r="V223" i="2"/>
  <c r="U223" i="2"/>
  <c r="W222" i="2" a="1"/>
  <c r="W222" i="2" s="1"/>
  <c r="V222" i="2"/>
  <c r="U222" i="2"/>
  <c r="W221" i="2" a="1"/>
  <c r="W221" i="2" s="1"/>
  <c r="V221" i="2"/>
  <c r="U221" i="2"/>
  <c r="W220" i="2" a="1"/>
  <c r="W220" i="2" s="1"/>
  <c r="V220" i="2"/>
  <c r="U220" i="2"/>
  <c r="W219" i="2"/>
  <c r="W219" i="2" a="1"/>
  <c r="U219" i="2"/>
  <c r="V219" i="2"/>
  <c r="W218" i="2"/>
  <c r="W218" i="2" a="1"/>
  <c r="V218" i="2"/>
  <c r="U218" i="2"/>
  <c r="W217" i="2"/>
  <c r="W217" i="2" a="1"/>
  <c r="V217" i="2"/>
  <c r="U217" i="2"/>
  <c r="W216" i="2"/>
  <c r="W216" i="2" a="1"/>
  <c r="V216" i="2"/>
  <c r="U216" i="2"/>
  <c r="W215" i="2" a="1"/>
  <c r="W215" i="2" s="1"/>
  <c r="V215" i="2"/>
  <c r="U215" i="2"/>
  <c r="W214" i="2" a="1"/>
  <c r="W214" i="2" s="1"/>
  <c r="U214" i="2"/>
  <c r="V214" i="2"/>
  <c r="W213" i="2" a="1"/>
  <c r="W213" i="2" s="1"/>
  <c r="V213" i="2"/>
  <c r="U213" i="2"/>
  <c r="W212" i="2" a="1"/>
  <c r="W212" i="2" s="1"/>
  <c r="V212" i="2"/>
  <c r="U212" i="2"/>
  <c r="W211" i="2" a="1"/>
  <c r="W211" i="2" s="1"/>
  <c r="V211" i="2"/>
  <c r="U211" i="2"/>
  <c r="W210" i="2" a="1"/>
  <c r="W210" i="2" s="1"/>
  <c r="V210" i="2"/>
  <c r="U210" i="2"/>
  <c r="W209" i="2" a="1"/>
  <c r="W209" i="2" s="1"/>
  <c r="V209" i="2"/>
  <c r="U209" i="2"/>
  <c r="W208" i="2" a="1"/>
  <c r="W208" i="2" s="1"/>
  <c r="U208" i="2"/>
  <c r="V208" i="2"/>
  <c r="W207" i="2" a="1"/>
  <c r="W207" i="2" s="1"/>
  <c r="V207" i="2"/>
  <c r="U207" i="2"/>
  <c r="W206" i="2" a="1"/>
  <c r="W206" i="2" s="1"/>
  <c r="V206" i="2"/>
  <c r="U206" i="2"/>
  <c r="W205" i="2" a="1"/>
  <c r="W205" i="2" s="1"/>
  <c r="V205" i="2"/>
  <c r="U205" i="2"/>
  <c r="W204" i="2" a="1"/>
  <c r="W204" i="2" s="1"/>
  <c r="U204" i="2"/>
  <c r="V204" i="2"/>
  <c r="W203" i="2" a="1"/>
  <c r="W203" i="2" s="1"/>
  <c r="V203" i="2"/>
  <c r="U203" i="2"/>
  <c r="W202" i="2" a="1"/>
  <c r="W202" i="2" s="1"/>
  <c r="V202" i="2"/>
  <c r="U202" i="2"/>
  <c r="W201" i="2" a="1"/>
  <c r="W201" i="2" s="1"/>
  <c r="U201" i="2"/>
  <c r="V201" i="2"/>
  <c r="W200" i="2" a="1"/>
  <c r="W200" i="2" s="1"/>
  <c r="V200" i="2"/>
  <c r="U200" i="2"/>
  <c r="W199" i="2" a="1"/>
  <c r="W199" i="2" s="1"/>
  <c r="V199" i="2"/>
  <c r="U199" i="2"/>
  <c r="W198" i="2" a="1"/>
  <c r="W198" i="2" s="1"/>
  <c r="V198" i="2"/>
  <c r="U198" i="2"/>
  <c r="W197" i="2" a="1"/>
  <c r="W197" i="2" s="1"/>
  <c r="V197" i="2"/>
  <c r="U197" i="2"/>
  <c r="W196" i="2" a="1"/>
  <c r="W196" i="2" s="1"/>
  <c r="V196" i="2"/>
  <c r="U196" i="2"/>
  <c r="W195" i="2" a="1"/>
  <c r="W195" i="2" s="1"/>
  <c r="V195" i="2"/>
  <c r="U195" i="2"/>
  <c r="W194" i="2" a="1"/>
  <c r="W194" i="2" s="1"/>
  <c r="V194" i="2"/>
  <c r="U194" i="2"/>
  <c r="W193" i="2" a="1"/>
  <c r="W193" i="2" s="1"/>
  <c r="V193" i="2"/>
  <c r="U193" i="2"/>
  <c r="W192" i="2" a="1"/>
  <c r="W192" i="2" s="1"/>
  <c r="V192" i="2"/>
  <c r="U192" i="2"/>
  <c r="W191" i="2" a="1"/>
  <c r="W191" i="2" s="1"/>
  <c r="V191" i="2"/>
  <c r="U191" i="2"/>
  <c r="W190" i="2" a="1"/>
  <c r="W190" i="2" s="1"/>
  <c r="U190" i="2"/>
  <c r="V190" i="2"/>
  <c r="W189" i="2" a="1"/>
  <c r="W189" i="2" s="1"/>
  <c r="V189" i="2"/>
  <c r="U189" i="2"/>
  <c r="W188" i="2" a="1"/>
  <c r="W188" i="2" s="1"/>
  <c r="V188" i="2"/>
  <c r="U188" i="2"/>
  <c r="W187" i="2"/>
  <c r="W187" i="2" a="1"/>
  <c r="V187" i="2"/>
  <c r="U187" i="2"/>
  <c r="W186" i="2"/>
  <c r="W186" i="2" a="1"/>
  <c r="U186" i="2"/>
  <c r="V186" i="2"/>
  <c r="W185" i="2" a="1"/>
  <c r="W185" i="2" s="1"/>
  <c r="V185" i="2"/>
  <c r="U185" i="2"/>
  <c r="W184" i="2" a="1"/>
  <c r="W184" i="2" s="1"/>
  <c r="V184" i="2"/>
  <c r="U184" i="2"/>
  <c r="W183" i="2" a="1"/>
  <c r="W183" i="2" s="1"/>
  <c r="U183" i="2"/>
  <c r="V183" i="2"/>
  <c r="W182" i="2" a="1"/>
  <c r="W182" i="2" s="1"/>
  <c r="V182" i="2"/>
  <c r="U182" i="2"/>
  <c r="W181" i="2" a="1"/>
  <c r="W181" i="2" s="1"/>
  <c r="V181" i="2"/>
  <c r="U181" i="2"/>
  <c r="W180" i="2" a="1"/>
  <c r="W180" i="2" s="1"/>
  <c r="V180" i="2"/>
  <c r="U180" i="2"/>
  <c r="W179" i="2" a="1"/>
  <c r="W179" i="2" s="1"/>
  <c r="U179" i="2"/>
  <c r="V179" i="2"/>
  <c r="W178" i="2" a="1"/>
  <c r="W178" i="2" s="1"/>
  <c r="V178" i="2"/>
  <c r="U178" i="2"/>
  <c r="W177" i="2" a="1"/>
  <c r="W177" i="2" s="1"/>
  <c r="V177" i="2"/>
  <c r="U177" i="2"/>
  <c r="W176" i="2" a="1"/>
  <c r="W176" i="2" s="1"/>
  <c r="V176" i="2"/>
  <c r="U176" i="2"/>
  <c r="W175" i="2" a="1"/>
  <c r="W175" i="2" s="1"/>
  <c r="U175" i="2"/>
  <c r="V175" i="2"/>
  <c r="W174" i="2" a="1"/>
  <c r="W174" i="2" s="1"/>
  <c r="V174" i="2"/>
  <c r="U174" i="2"/>
  <c r="W173" i="2" a="1"/>
  <c r="W173" i="2" s="1"/>
  <c r="V173" i="2"/>
  <c r="U173" i="2"/>
  <c r="W172" i="2" a="1"/>
  <c r="W172" i="2" s="1"/>
  <c r="V172" i="2"/>
  <c r="U172" i="2"/>
  <c r="W171" i="2"/>
  <c r="W171" i="2" a="1"/>
  <c r="U171" i="2"/>
  <c r="V171" i="2"/>
  <c r="W170" i="2"/>
  <c r="W170" i="2" a="1"/>
  <c r="U170" i="2"/>
  <c r="V170" i="2"/>
  <c r="W169" i="2" a="1"/>
  <c r="W169" i="2" s="1"/>
  <c r="V169" i="2"/>
  <c r="U169" i="2"/>
  <c r="W168" i="2" a="1"/>
  <c r="W168" i="2" s="1"/>
  <c r="V168" i="2"/>
  <c r="U168" i="2"/>
  <c r="W167" i="2" a="1"/>
  <c r="W167" i="2" s="1"/>
  <c r="U167" i="2"/>
  <c r="V167" i="2"/>
  <c r="W166" i="2" a="1"/>
  <c r="W166" i="2" s="1"/>
  <c r="V166" i="2"/>
  <c r="U166" i="2"/>
  <c r="W165" i="2" a="1"/>
  <c r="W165" i="2" s="1"/>
  <c r="V165" i="2"/>
  <c r="U165" i="2"/>
  <c r="W164" i="2" a="1"/>
  <c r="W164" i="2" s="1"/>
  <c r="V164" i="2"/>
  <c r="U164" i="2"/>
  <c r="W163" i="2" a="1"/>
  <c r="W163" i="2" s="1"/>
  <c r="V163" i="2"/>
  <c r="U163" i="2"/>
  <c r="W162" i="2" a="1"/>
  <c r="W162" i="2" s="1"/>
  <c r="U162" i="2"/>
  <c r="V162" i="2"/>
  <c r="W161" i="2" a="1"/>
  <c r="W161" i="2" s="1"/>
  <c r="U161" i="2"/>
  <c r="V161" i="2"/>
  <c r="W160" i="2" a="1"/>
  <c r="W160" i="2" s="1"/>
  <c r="V160" i="2"/>
  <c r="U160" i="2"/>
  <c r="W159" i="2"/>
  <c r="W159" i="2" a="1"/>
  <c r="V159" i="2"/>
  <c r="U159" i="2"/>
  <c r="W158" i="2"/>
  <c r="W158" i="2" a="1"/>
  <c r="V158" i="2"/>
  <c r="U158" i="2"/>
  <c r="W157" i="2"/>
  <c r="W157" i="2" a="1"/>
  <c r="V157" i="2"/>
  <c r="U157" i="2"/>
  <c r="W156" i="2" a="1"/>
  <c r="W156" i="2" s="1"/>
  <c r="V156" i="2"/>
  <c r="U156" i="2"/>
  <c r="W155" i="2"/>
  <c r="W155" i="2" a="1"/>
  <c r="V155" i="2"/>
  <c r="U155" i="2"/>
  <c r="W154" i="2"/>
  <c r="W154" i="2" a="1"/>
  <c r="U154" i="2"/>
  <c r="V154" i="2"/>
  <c r="W153" i="2"/>
  <c r="W153" i="2" a="1"/>
  <c r="U153" i="2"/>
  <c r="V153" i="2"/>
  <c r="W152" i="2" a="1"/>
  <c r="W152" i="2" s="1"/>
  <c r="V152" i="2"/>
  <c r="U152" i="2"/>
  <c r="W151" i="2" a="1"/>
  <c r="W151" i="2" s="1"/>
  <c r="V151" i="2"/>
  <c r="U151" i="2"/>
  <c r="W150" i="2" a="1"/>
  <c r="W150" i="2" s="1"/>
  <c r="V150" i="2"/>
  <c r="U150" i="2"/>
  <c r="W149" i="2" a="1"/>
  <c r="W149" i="2" s="1"/>
  <c r="V149" i="2"/>
  <c r="U149" i="2"/>
  <c r="W148" i="2" a="1"/>
  <c r="W148" i="2" s="1"/>
  <c r="U148" i="2"/>
  <c r="V148" i="2"/>
  <c r="W147" i="2" a="1"/>
  <c r="W147" i="2" s="1"/>
  <c r="V147" i="2"/>
  <c r="U147" i="2"/>
  <c r="W146" i="2" a="1"/>
  <c r="W146" i="2" s="1"/>
  <c r="V146" i="2"/>
  <c r="U146" i="2"/>
  <c r="W145" i="2"/>
  <c r="W145" i="2" a="1"/>
  <c r="V145" i="2"/>
  <c r="U145" i="2"/>
  <c r="W144" i="2"/>
  <c r="W144" i="2" a="1"/>
  <c r="U144" i="2"/>
  <c r="V144" i="2"/>
  <c r="W143" i="2"/>
  <c r="W143" i="2" a="1"/>
  <c r="V143" i="2"/>
  <c r="U143" i="2"/>
  <c r="W142" i="2"/>
  <c r="W142" i="2" a="1"/>
  <c r="U142" i="2"/>
  <c r="V142" i="2"/>
  <c r="W141" i="2" a="1"/>
  <c r="W141" i="2" s="1"/>
  <c r="V141" i="2"/>
  <c r="U141" i="2"/>
  <c r="W140" i="2" a="1"/>
  <c r="W140" i="2" s="1"/>
  <c r="V140" i="2"/>
  <c r="U140" i="2"/>
  <c r="W139" i="2" a="1"/>
  <c r="W139" i="2" s="1"/>
  <c r="V139" i="2"/>
  <c r="U139" i="2"/>
  <c r="W138" i="2" a="1"/>
  <c r="W138" i="2" s="1"/>
  <c r="V138" i="2"/>
  <c r="U138" i="2"/>
  <c r="W137" i="2" a="1"/>
  <c r="W137" i="2" s="1"/>
  <c r="U137" i="2"/>
  <c r="V137" i="2"/>
  <c r="W136" i="2" a="1"/>
  <c r="W136" i="2" s="1"/>
  <c r="V136" i="2"/>
  <c r="U136" i="2"/>
  <c r="W135" i="2" a="1"/>
  <c r="W135" i="2" s="1"/>
  <c r="V135" i="2"/>
  <c r="U135" i="2"/>
  <c r="W134" i="2" a="1"/>
  <c r="W134" i="2" s="1"/>
  <c r="V134" i="2"/>
  <c r="U134" i="2"/>
  <c r="W133" i="2" a="1"/>
  <c r="W133" i="2" s="1"/>
  <c r="U133" i="2"/>
  <c r="V133" i="2"/>
  <c r="W132" i="2" a="1"/>
  <c r="W132" i="2" s="1"/>
  <c r="U132" i="2"/>
  <c r="V132" i="2"/>
  <c r="W131" i="2" a="1"/>
  <c r="W131" i="2" s="1"/>
  <c r="V131" i="2"/>
  <c r="U131" i="2"/>
  <c r="W130" i="2" a="1"/>
  <c r="W130" i="2" s="1"/>
  <c r="V130" i="2"/>
  <c r="U130" i="2"/>
  <c r="W129" i="2" a="1"/>
  <c r="W129" i="2" s="1"/>
  <c r="U129" i="2"/>
  <c r="V129" i="2"/>
  <c r="W128" i="2" a="1"/>
  <c r="W128" i="2" s="1"/>
  <c r="V128" i="2"/>
  <c r="U128" i="2"/>
  <c r="W127" i="2" a="1"/>
  <c r="W127" i="2" s="1"/>
  <c r="V127" i="2"/>
  <c r="U127" i="2"/>
  <c r="W126" i="2"/>
  <c r="W126" i="2" a="1"/>
  <c r="V126" i="2"/>
  <c r="U126" i="2"/>
  <c r="W125" i="2"/>
  <c r="W125" i="2" a="1"/>
  <c r="U125" i="2"/>
  <c r="V125" i="2"/>
  <c r="W124" i="2"/>
  <c r="W124" i="2" a="1"/>
  <c r="U124" i="2"/>
  <c r="V124" i="2"/>
  <c r="W123" i="2" a="1"/>
  <c r="W123" i="2" s="1"/>
  <c r="V123" i="2"/>
  <c r="U123" i="2"/>
  <c r="W122" i="2" a="1"/>
  <c r="W122" i="2" s="1"/>
  <c r="V122" i="2"/>
  <c r="U122" i="2"/>
  <c r="W121" i="2"/>
  <c r="W121" i="2" a="1"/>
  <c r="U121" i="2"/>
  <c r="V121" i="2"/>
  <c r="W120" i="2"/>
  <c r="W120" i="2" a="1"/>
  <c r="U120" i="2"/>
  <c r="V120" i="2"/>
  <c r="W119" i="2"/>
  <c r="W119" i="2" a="1"/>
  <c r="V119" i="2"/>
  <c r="U119" i="2"/>
  <c r="W118" i="2"/>
  <c r="W118" i="2" a="1"/>
  <c r="V118" i="2"/>
  <c r="U118" i="2"/>
  <c r="W117" i="2" a="1"/>
  <c r="W117" i="2" s="1"/>
  <c r="U117" i="2"/>
  <c r="V117" i="2"/>
  <c r="W116" i="2" a="1"/>
  <c r="W116" i="2" s="1"/>
  <c r="U116" i="2"/>
  <c r="V116" i="2"/>
  <c r="W115" i="2" a="1"/>
  <c r="W115" i="2" s="1"/>
  <c r="V115" i="2"/>
  <c r="U115" i="2"/>
  <c r="W114" i="2" a="1"/>
  <c r="W114" i="2" s="1"/>
  <c r="V114" i="2"/>
  <c r="U114" i="2"/>
  <c r="W113" i="2" a="1"/>
  <c r="W113" i="2" s="1"/>
  <c r="U113" i="2"/>
  <c r="V113" i="2"/>
  <c r="W112" i="2" a="1"/>
  <c r="W112" i="2" s="1"/>
  <c r="V112" i="2"/>
  <c r="U112" i="2"/>
  <c r="W111" i="2" a="1"/>
  <c r="W111" i="2" s="1"/>
  <c r="V111" i="2"/>
  <c r="U111" i="2"/>
  <c r="W110" i="2"/>
  <c r="W110" i="2" a="1"/>
  <c r="V110" i="2"/>
  <c r="U110" i="2"/>
  <c r="W109" i="2"/>
  <c r="W109" i="2" a="1"/>
  <c r="U109" i="2"/>
  <c r="V109" i="2"/>
  <c r="W108" i="2"/>
  <c r="W108" i="2" a="1"/>
  <c r="U108" i="2"/>
  <c r="V108" i="2"/>
  <c r="W107" i="2" a="1"/>
  <c r="W107" i="2" s="1"/>
  <c r="V107" i="2"/>
  <c r="U107" i="2"/>
  <c r="W106" i="2" a="1"/>
  <c r="W106" i="2" s="1"/>
  <c r="V106" i="2"/>
  <c r="U106" i="2"/>
  <c r="W105" i="2" a="1"/>
  <c r="W105" i="2" s="1"/>
  <c r="U105" i="2"/>
  <c r="V105" i="2"/>
  <c r="W104" i="2" a="1"/>
  <c r="W104" i="2" s="1"/>
  <c r="V104" i="2"/>
  <c r="U104" i="2"/>
  <c r="W103" i="2" a="1"/>
  <c r="W103" i="2" s="1"/>
  <c r="V103" i="2"/>
  <c r="U103" i="2"/>
  <c r="W102" i="2" a="1"/>
  <c r="W102" i="2" s="1"/>
  <c r="V102" i="2"/>
  <c r="U102" i="2"/>
  <c r="W101" i="2" a="1"/>
  <c r="W101" i="2" s="1"/>
  <c r="U101" i="2"/>
  <c r="V101" i="2"/>
  <c r="W100" i="2" a="1"/>
  <c r="W100" i="2" s="1"/>
  <c r="U100" i="2"/>
  <c r="V100" i="2"/>
  <c r="W99" i="2" a="1"/>
  <c r="W99" i="2" s="1"/>
  <c r="V99" i="2"/>
  <c r="U99" i="2"/>
  <c r="W98" i="2" a="1"/>
  <c r="W98" i="2" s="1"/>
  <c r="V98" i="2"/>
  <c r="U98" i="2"/>
  <c r="W97" i="2" a="1"/>
  <c r="W97" i="2" s="1"/>
  <c r="V97" i="2"/>
  <c r="U97" i="2"/>
  <c r="W96" i="2" a="1"/>
  <c r="W96" i="2" s="1"/>
  <c r="V96" i="2"/>
  <c r="U96" i="2"/>
  <c r="W95" i="2" a="1"/>
  <c r="W95" i="2" s="1"/>
  <c r="U95" i="2"/>
  <c r="V95" i="2"/>
  <c r="W94" i="2" a="1"/>
  <c r="W94" i="2" s="1"/>
  <c r="V94" i="2"/>
  <c r="U94" i="2"/>
  <c r="W93" i="2" a="1"/>
  <c r="W93" i="2" s="1"/>
  <c r="V93" i="2"/>
  <c r="U93" i="2"/>
  <c r="W92" i="2"/>
  <c r="W92" i="2" a="1"/>
  <c r="V92" i="2"/>
  <c r="U92" i="2"/>
  <c r="W91" i="2"/>
  <c r="W91" i="2" a="1"/>
  <c r="V91" i="2"/>
  <c r="U91" i="2"/>
  <c r="W90" i="2"/>
  <c r="W90" i="2" a="1"/>
  <c r="V90" i="2"/>
  <c r="U90" i="2"/>
  <c r="W89" i="2"/>
  <c r="W89" i="2" a="1"/>
  <c r="V89" i="2"/>
  <c r="U89" i="2"/>
  <c r="W88" i="2"/>
  <c r="W88" i="2" a="1"/>
  <c r="V88" i="2"/>
  <c r="U88" i="2"/>
  <c r="W87" i="2"/>
  <c r="W87" i="2" a="1"/>
  <c r="V87" i="2"/>
  <c r="U87" i="2"/>
  <c r="W86" i="2" a="1"/>
  <c r="W86" i="2" s="1"/>
  <c r="V86" i="2"/>
  <c r="U86" i="2"/>
  <c r="W85" i="2" a="1"/>
  <c r="W85" i="2" s="1"/>
  <c r="V85" i="2"/>
  <c r="U85" i="2"/>
  <c r="W84" i="2" a="1"/>
  <c r="W84" i="2" s="1"/>
  <c r="V84" i="2"/>
  <c r="U84" i="2"/>
  <c r="W83" i="2" a="1"/>
  <c r="W83" i="2" s="1"/>
  <c r="V83" i="2"/>
  <c r="U83" i="2"/>
  <c r="W82" i="2" a="1"/>
  <c r="W82" i="2" s="1"/>
  <c r="V82" i="2"/>
  <c r="U82" i="2"/>
  <c r="W81" i="2" a="1"/>
  <c r="W81" i="2" s="1"/>
  <c r="V81" i="2"/>
  <c r="U81" i="2"/>
  <c r="W80" i="2" a="1"/>
  <c r="W80" i="2" s="1"/>
  <c r="U80" i="2"/>
  <c r="V80" i="2"/>
  <c r="W79" i="2" a="1"/>
  <c r="W79" i="2" s="1"/>
  <c r="V79" i="2"/>
  <c r="U79" i="2"/>
  <c r="W78" i="2" a="1"/>
  <c r="W78" i="2" s="1"/>
  <c r="V78" i="2"/>
  <c r="U78" i="2"/>
  <c r="W77" i="2"/>
  <c r="W77" i="2" a="1"/>
  <c r="V77" i="2"/>
  <c r="U77" i="2"/>
  <c r="W76" i="2"/>
  <c r="W76" i="2" a="1"/>
  <c r="U76" i="2"/>
  <c r="V76" i="2"/>
  <c r="W75" i="2"/>
  <c r="W75" i="2" a="1"/>
  <c r="V75" i="2"/>
  <c r="U75" i="2"/>
  <c r="W74" i="2" a="1"/>
  <c r="W74" i="2" s="1"/>
  <c r="V74" i="2"/>
  <c r="U74" i="2"/>
  <c r="W73" i="2" a="1"/>
  <c r="W73" i="2" s="1"/>
  <c r="V73" i="2"/>
  <c r="U73" i="2"/>
  <c r="W72" i="2" a="1"/>
  <c r="W72" i="2" s="1"/>
  <c r="U72" i="2"/>
  <c r="V72" i="2"/>
  <c r="W71" i="2" a="1"/>
  <c r="W71" i="2" s="1"/>
  <c r="V71" i="2"/>
  <c r="U71" i="2"/>
  <c r="W70" i="2" a="1"/>
  <c r="W70" i="2" s="1"/>
  <c r="V70" i="2"/>
  <c r="U70" i="2"/>
  <c r="W69" i="2" a="1"/>
  <c r="W69" i="2" s="1"/>
  <c r="V69" i="2"/>
  <c r="U69" i="2"/>
  <c r="W68" i="2" a="1"/>
  <c r="W68" i="2" s="1"/>
  <c r="V68" i="2"/>
  <c r="U68" i="2"/>
  <c r="W67" i="2" a="1"/>
  <c r="W67" i="2" s="1"/>
  <c r="V67" i="2"/>
  <c r="U67" i="2"/>
  <c r="W66" i="2" a="1"/>
  <c r="W66" i="2" s="1"/>
  <c r="V66" i="2"/>
  <c r="U66" i="2"/>
  <c r="W65" i="2"/>
  <c r="W65" i="2" a="1"/>
  <c r="V65" i="2"/>
  <c r="U65" i="2"/>
  <c r="W64" i="2"/>
  <c r="W64" i="2" a="1"/>
  <c r="U64" i="2"/>
  <c r="V64" i="2"/>
  <c r="W63" i="2" a="1"/>
  <c r="W63" i="2" s="1"/>
  <c r="V63" i="2"/>
  <c r="U63" i="2"/>
  <c r="W62" i="2" a="1"/>
  <c r="W62" i="2" s="1"/>
  <c r="V62" i="2"/>
  <c r="U62" i="2"/>
  <c r="W61" i="2" a="1"/>
  <c r="W61" i="2" s="1"/>
  <c r="U61" i="2"/>
  <c r="V61" i="2"/>
  <c r="W60" i="2" a="1"/>
  <c r="W60" i="2" s="1"/>
  <c r="V60" i="2"/>
  <c r="U60" i="2"/>
  <c r="W59" i="2" a="1"/>
  <c r="W59" i="2" s="1"/>
  <c r="V59" i="2"/>
  <c r="U59" i="2"/>
  <c r="W58" i="2" a="1"/>
  <c r="W58" i="2" s="1"/>
  <c r="V58" i="2"/>
  <c r="U58" i="2"/>
  <c r="W57" i="2" a="1"/>
  <c r="W57" i="2" s="1"/>
  <c r="U57" i="2"/>
  <c r="V57" i="2"/>
  <c r="W56" i="2" a="1"/>
  <c r="W56" i="2" s="1"/>
  <c r="V56" i="2"/>
  <c r="U56" i="2"/>
  <c r="W55" i="2" a="1"/>
  <c r="W55" i="2" s="1"/>
  <c r="V55" i="2"/>
  <c r="U55" i="2"/>
  <c r="W54" i="2" a="1"/>
  <c r="W54" i="2" s="1"/>
  <c r="V54" i="2"/>
  <c r="U54" i="2"/>
  <c r="W53" i="2" a="1"/>
  <c r="W53" i="2" s="1"/>
  <c r="U53" i="2"/>
  <c r="V53" i="2"/>
  <c r="W52" i="2" a="1"/>
  <c r="W52" i="2" s="1"/>
  <c r="V52" i="2"/>
  <c r="U52" i="2"/>
  <c r="W51" i="2" a="1"/>
  <c r="W51" i="2" s="1"/>
  <c r="V51" i="2"/>
  <c r="U51" i="2"/>
  <c r="W50" i="2" a="1"/>
  <c r="W50" i="2" s="1"/>
  <c r="V50" i="2"/>
  <c r="U50" i="2"/>
  <c r="W49" i="2" a="1"/>
  <c r="W49" i="2" s="1"/>
  <c r="U49" i="2"/>
  <c r="V49" i="2"/>
  <c r="W48" i="2" a="1"/>
  <c r="W48" i="2" s="1"/>
  <c r="V48" i="2"/>
  <c r="U48" i="2"/>
  <c r="W47" i="2" a="1"/>
  <c r="W47" i="2" s="1"/>
  <c r="V47" i="2"/>
  <c r="U47" i="2"/>
  <c r="W46" i="2" a="1"/>
  <c r="W46" i="2" s="1"/>
  <c r="V46" i="2"/>
  <c r="U46" i="2"/>
  <c r="W45" i="2"/>
  <c r="W45" i="2" a="1"/>
  <c r="U45" i="2"/>
  <c r="V45" i="2"/>
  <c r="W44" i="2"/>
  <c r="W44" i="2" a="1"/>
  <c r="V44" i="2"/>
  <c r="U44" i="2"/>
  <c r="W43" i="2" a="1"/>
  <c r="W43" i="2" s="1"/>
  <c r="V43" i="2"/>
  <c r="U43" i="2"/>
  <c r="W42" i="2" a="1"/>
  <c r="W42" i="2" s="1"/>
  <c r="V42" i="2"/>
  <c r="U42" i="2"/>
  <c r="W41" i="2" a="1"/>
  <c r="W41" i="2" s="1"/>
  <c r="U41" i="2"/>
  <c r="V41" i="2"/>
  <c r="W40" i="2" a="1"/>
  <c r="W40" i="2" s="1"/>
  <c r="V40" i="2"/>
  <c r="U40" i="2"/>
  <c r="W39" i="2" a="1"/>
  <c r="W39" i="2" s="1"/>
  <c r="V39" i="2"/>
  <c r="U39" i="2"/>
  <c r="W38" i="2" a="1"/>
  <c r="W38" i="2" s="1"/>
  <c r="V38" i="2"/>
  <c r="U38" i="2"/>
  <c r="W37" i="2" a="1"/>
  <c r="W37" i="2" s="1"/>
  <c r="U37" i="2"/>
  <c r="V37" i="2"/>
  <c r="W36" i="2" a="1"/>
  <c r="W36" i="2" s="1"/>
  <c r="V36" i="2"/>
  <c r="U36" i="2"/>
  <c r="W35" i="2" a="1"/>
  <c r="W35" i="2" s="1"/>
  <c r="V35" i="2"/>
  <c r="U35" i="2"/>
  <c r="W34" i="2"/>
  <c r="W34" i="2" a="1"/>
  <c r="V34" i="2"/>
  <c r="U34" i="2"/>
  <c r="W33" i="2"/>
  <c r="W33" i="2" a="1"/>
  <c r="U33" i="2"/>
  <c r="V33" i="2"/>
  <c r="W32" i="2"/>
  <c r="W32" i="2" a="1"/>
  <c r="U32" i="2"/>
  <c r="V32" i="2"/>
  <c r="W31" i="2" a="1"/>
  <c r="W31" i="2" s="1"/>
  <c r="V31" i="2"/>
  <c r="U31" i="2"/>
  <c r="W30" i="2" a="1"/>
  <c r="W30" i="2" s="1"/>
  <c r="V30" i="2"/>
  <c r="U30" i="2"/>
  <c r="W29" i="2" a="1"/>
  <c r="W29" i="2" s="1"/>
  <c r="V29" i="2"/>
  <c r="U29" i="2"/>
  <c r="W28" i="2" a="1"/>
  <c r="W28" i="2" s="1"/>
  <c r="U28" i="2"/>
  <c r="V28" i="2"/>
  <c r="W27" i="2" a="1"/>
  <c r="W27" i="2" s="1"/>
  <c r="V27" i="2"/>
  <c r="U27" i="2"/>
  <c r="W26" i="2" a="1"/>
  <c r="W26" i="2" s="1"/>
  <c r="V26" i="2"/>
  <c r="U26" i="2"/>
  <c r="W25" i="2" a="1"/>
  <c r="W25" i="2" s="1"/>
  <c r="V25" i="2"/>
  <c r="U25" i="2"/>
  <c r="W24" i="2"/>
  <c r="W24" i="2" a="1"/>
  <c r="U24" i="2"/>
  <c r="V24" i="2"/>
  <c r="W23" i="2"/>
  <c r="W23" i="2" a="1"/>
  <c r="V23" i="2"/>
  <c r="U23" i="2"/>
  <c r="W22" i="2" a="1"/>
  <c r="W22" i="2" s="1"/>
  <c r="V22" i="2"/>
  <c r="U22" i="2"/>
  <c r="W21" i="2" a="1"/>
  <c r="W21" i="2" s="1"/>
  <c r="V21" i="2"/>
  <c r="U21" i="2"/>
  <c r="W20" i="2" a="1"/>
  <c r="W20" i="2" s="1"/>
  <c r="U20" i="2"/>
  <c r="V20" i="2"/>
  <c r="W19" i="2" a="1"/>
  <c r="W19" i="2" s="1"/>
  <c r="V19" i="2"/>
  <c r="U19" i="2"/>
  <c r="W18" i="2" a="1"/>
  <c r="W18" i="2" s="1"/>
  <c r="V18" i="2"/>
  <c r="U18" i="2"/>
  <c r="W17" i="2" a="1"/>
  <c r="W17" i="2" s="1"/>
  <c r="V17" i="2"/>
  <c r="U17" i="2"/>
  <c r="W16" i="2" a="1"/>
  <c r="W16" i="2" s="1"/>
  <c r="V16" i="2"/>
  <c r="U16" i="2"/>
  <c r="W15" i="2" a="1"/>
  <c r="W15" i="2" s="1"/>
  <c r="U15" i="2"/>
  <c r="V15" i="2"/>
  <c r="W14" i="2" a="1"/>
  <c r="W14" i="2" s="1"/>
  <c r="V14" i="2"/>
  <c r="U14" i="2"/>
  <c r="W13" i="2" a="1"/>
  <c r="W13" i="2" s="1"/>
  <c r="V13" i="2"/>
  <c r="U13" i="2"/>
  <c r="W12" i="2"/>
  <c r="W12" i="2" a="1"/>
  <c r="V12" i="2"/>
  <c r="U12" i="2"/>
  <c r="W11" i="2"/>
  <c r="W11" i="2" a="1"/>
  <c r="U11" i="2"/>
  <c r="V11" i="2"/>
  <c r="W10" i="2"/>
  <c r="W10" i="2" a="1"/>
  <c r="V10" i="2"/>
  <c r="U10" i="2"/>
  <c r="W9" i="2"/>
  <c r="W9" i="2" a="1"/>
  <c r="V9" i="2"/>
  <c r="W8" i="2" a="1"/>
  <c r="W8" i="2" s="1"/>
  <c r="V8" i="2"/>
  <c r="U8" i="2"/>
  <c r="W7" i="2" a="1"/>
  <c r="W7" i="2" s="1"/>
  <c r="V7" i="2"/>
  <c r="U7" i="2"/>
  <c r="W6" i="2" a="1"/>
  <c r="W6" i="2" s="1"/>
  <c r="V6" i="2"/>
  <c r="U6" i="2"/>
  <c r="W5" i="2" a="1"/>
  <c r="W5" i="2" s="1"/>
  <c r="R1" i="2"/>
  <c r="V5" i="2"/>
  <c r="W4" i="2" a="1"/>
  <c r="W4" i="2" s="1"/>
  <c r="V4" i="2"/>
  <c r="U4" i="2"/>
  <c r="W3" i="2" a="1"/>
  <c r="W3" i="2" s="1"/>
  <c r="V3" i="2"/>
  <c r="R3" i="2"/>
  <c r="Q3" i="2"/>
  <c r="M3" i="2"/>
  <c r="I3" i="2"/>
  <c r="U3" i="2" s="1"/>
  <c r="F3" i="2"/>
  <c r="S1" i="2"/>
  <c r="G1" i="2"/>
  <c r="E1" i="2"/>
  <c r="D100" i="5" l="1"/>
  <c r="E100" i="5"/>
  <c r="C48" i="5"/>
  <c r="E48" i="5"/>
  <c r="C45" i="5"/>
  <c r="E45" i="5"/>
  <c r="C41" i="5"/>
  <c r="E41" i="5"/>
  <c r="C37" i="5"/>
  <c r="E37" i="5"/>
  <c r="D33" i="5"/>
  <c r="C33" i="5"/>
  <c r="E33" i="5"/>
  <c r="C29" i="5"/>
  <c r="E29" i="5"/>
  <c r="C25" i="5"/>
  <c r="E25" i="5"/>
  <c r="C21" i="5"/>
  <c r="E21" i="5"/>
  <c r="C17" i="5"/>
  <c r="E17" i="5"/>
  <c r="C13" i="5"/>
  <c r="E13" i="5"/>
  <c r="C9" i="5"/>
  <c r="E9" i="5"/>
  <c r="C5" i="5"/>
  <c r="E5" i="5"/>
  <c r="C4" i="5"/>
  <c r="E4" i="5"/>
  <c r="E130" i="5"/>
  <c r="E118" i="5"/>
  <c r="E114" i="5"/>
  <c r="E102" i="5"/>
  <c r="D137" i="5"/>
  <c r="E137" i="5"/>
  <c r="D121" i="5"/>
  <c r="E121" i="5"/>
  <c r="D117" i="5"/>
  <c r="E117" i="5"/>
  <c r="D105" i="5"/>
  <c r="E105" i="5"/>
  <c r="E98" i="5"/>
  <c r="D144" i="5"/>
  <c r="E144" i="5"/>
  <c r="D140" i="5"/>
  <c r="E140" i="5"/>
  <c r="D132" i="5"/>
  <c r="E132" i="5"/>
  <c r="D128" i="5"/>
  <c r="E128" i="5"/>
  <c r="D124" i="5"/>
  <c r="E124" i="5"/>
  <c r="D120" i="5"/>
  <c r="E120" i="5"/>
  <c r="D116" i="5"/>
  <c r="E116" i="5"/>
  <c r="D112" i="5"/>
  <c r="E112" i="5"/>
  <c r="D108" i="5"/>
  <c r="E108" i="5"/>
  <c r="D93" i="5"/>
  <c r="E93" i="5"/>
  <c r="E51" i="5"/>
  <c r="C51" i="5"/>
  <c r="E47" i="5"/>
  <c r="C47" i="5"/>
  <c r="C44" i="5"/>
  <c r="E44" i="5"/>
  <c r="C40" i="5"/>
  <c r="E40" i="5"/>
  <c r="C36" i="5"/>
  <c r="E36" i="5"/>
  <c r="C32" i="5"/>
  <c r="E32" i="5"/>
  <c r="C28" i="5"/>
  <c r="E28" i="5"/>
  <c r="C24" i="5"/>
  <c r="E24" i="5"/>
  <c r="C20" i="5"/>
  <c r="E20" i="5"/>
  <c r="C16" i="5"/>
  <c r="E16" i="5"/>
  <c r="C12" i="5"/>
  <c r="E12" i="5"/>
  <c r="C8" i="5"/>
  <c r="E8" i="5"/>
  <c r="D96" i="5"/>
  <c r="E96" i="5"/>
  <c r="D84" i="5"/>
  <c r="E84" i="5"/>
  <c r="D80" i="5"/>
  <c r="E80" i="5"/>
  <c r="E50" i="5"/>
  <c r="C50" i="5"/>
  <c r="E43" i="5"/>
  <c r="C43" i="5"/>
  <c r="E39" i="5"/>
  <c r="C39" i="5"/>
  <c r="E35" i="5"/>
  <c r="C35" i="5"/>
  <c r="E31" i="5"/>
  <c r="C31" i="5"/>
  <c r="D27" i="5"/>
  <c r="E27" i="5"/>
  <c r="C27" i="5"/>
  <c r="E23" i="5"/>
  <c r="C23" i="5"/>
  <c r="E19" i="5"/>
  <c r="C19" i="5"/>
  <c r="E15" i="5"/>
  <c r="C15" i="5"/>
  <c r="E11" i="5"/>
  <c r="C11" i="5"/>
  <c r="E7" i="5"/>
  <c r="C7" i="5"/>
  <c r="E3" i="5"/>
  <c r="C3" i="5"/>
  <c r="C49" i="5"/>
  <c r="E49" i="5"/>
  <c r="D46" i="5"/>
  <c r="C46" i="5"/>
  <c r="E46" i="5"/>
  <c r="D42" i="5"/>
  <c r="E42" i="5"/>
  <c r="C42" i="5"/>
  <c r="D38" i="5"/>
  <c r="E38" i="5"/>
  <c r="C38" i="5"/>
  <c r="E34" i="5"/>
  <c r="C34" i="5"/>
  <c r="C30" i="5"/>
  <c r="E30" i="5"/>
  <c r="E26" i="5"/>
  <c r="C26" i="5"/>
  <c r="C22" i="5"/>
  <c r="E22" i="5"/>
  <c r="C18" i="5"/>
  <c r="E18" i="5"/>
  <c r="C14" i="5"/>
  <c r="E14" i="5"/>
  <c r="E10" i="5"/>
  <c r="C10" i="5"/>
  <c r="C6" i="5"/>
  <c r="E6" i="5"/>
  <c r="C2" i="5"/>
  <c r="E2" i="5"/>
  <c r="D49" i="5"/>
  <c r="D24" i="5"/>
  <c r="D50" i="5"/>
  <c r="D26" i="5"/>
  <c r="D145" i="5"/>
  <c r="D148" i="5"/>
  <c r="D18" i="5"/>
  <c r="D10" i="5"/>
  <c r="D147" i="5"/>
  <c r="D131" i="5"/>
  <c r="D141" i="5"/>
  <c r="D135" i="5"/>
  <c r="D113" i="5"/>
  <c r="D109" i="5"/>
  <c r="D103" i="5"/>
  <c r="D45" i="5"/>
  <c r="D51" i="5"/>
  <c r="D115" i="5"/>
  <c r="D129" i="5"/>
  <c r="D125" i="5"/>
  <c r="D119" i="5"/>
  <c r="D97" i="5"/>
  <c r="D99" i="5"/>
  <c r="D143" i="5"/>
  <c r="D139" i="5"/>
  <c r="D134" i="5"/>
  <c r="D146" i="5"/>
  <c r="D138" i="5"/>
  <c r="D127" i="5"/>
  <c r="D122" i="5"/>
  <c r="D111" i="5"/>
  <c r="D106" i="5"/>
  <c r="D95" i="5"/>
  <c r="D59" i="5"/>
  <c r="D56" i="5"/>
  <c r="D54" i="5"/>
  <c r="D52" i="5"/>
  <c r="D22" i="5"/>
  <c r="D19" i="5"/>
  <c r="D15" i="5"/>
  <c r="D13" i="5"/>
  <c r="D11" i="5"/>
  <c r="D142" i="5"/>
  <c r="D126" i="5"/>
  <c r="D110" i="5"/>
  <c r="D94" i="5"/>
  <c r="D89" i="5"/>
  <c r="D85" i="5"/>
  <c r="D81" i="5"/>
  <c r="D77" i="5"/>
  <c r="D73" i="5"/>
  <c r="D69" i="5"/>
  <c r="D65" i="5"/>
  <c r="D55" i="5"/>
  <c r="D44" i="5"/>
  <c r="D107" i="5"/>
  <c r="D102" i="5"/>
  <c r="D136" i="5"/>
  <c r="D133" i="5"/>
  <c r="D130" i="5"/>
  <c r="D114" i="5"/>
  <c r="D104" i="5"/>
  <c r="D101" i="5"/>
  <c r="D98" i="5"/>
  <c r="D90" i="5"/>
  <c r="D86" i="5"/>
  <c r="D82" i="5"/>
  <c r="D78" i="5"/>
  <c r="D74" i="5"/>
  <c r="D70" i="5"/>
  <c r="D66" i="5"/>
  <c r="D62" i="5"/>
  <c r="D48" i="5"/>
  <c r="D47" i="5"/>
  <c r="D39" i="5"/>
  <c r="D36" i="5"/>
  <c r="D31" i="5"/>
  <c r="D25" i="5"/>
  <c r="D123" i="5"/>
  <c r="D118" i="5"/>
  <c r="D92" i="5"/>
  <c r="D91" i="5"/>
  <c r="D88" i="5"/>
  <c r="D87" i="5"/>
  <c r="D83" i="5"/>
  <c r="D79" i="5"/>
  <c r="D76" i="5"/>
  <c r="D75" i="5"/>
  <c r="D72" i="5"/>
  <c r="D71" i="5"/>
  <c r="D68" i="5"/>
  <c r="D67" i="5"/>
  <c r="D64" i="5"/>
  <c r="D63" i="5"/>
  <c r="D60" i="5"/>
  <c r="D58" i="5"/>
  <c r="D43" i="5"/>
  <c r="D37" i="5"/>
  <c r="D61" i="5"/>
  <c r="D57" i="5"/>
  <c r="D53" i="5"/>
  <c r="D41" i="5"/>
  <c r="D30" i="5"/>
  <c r="D17" i="5"/>
  <c r="D6" i="5"/>
  <c r="D35" i="5"/>
  <c r="D29" i="5"/>
  <c r="D23" i="5"/>
  <c r="D21" i="5"/>
  <c r="D8" i="5"/>
  <c r="D5" i="5"/>
  <c r="D40" i="5"/>
  <c r="D28" i="5"/>
  <c r="D20" i="5"/>
  <c r="D7" i="5"/>
  <c r="D16" i="5"/>
  <c r="D14" i="5"/>
  <c r="D9" i="5"/>
  <c r="D3" i="5"/>
  <c r="D34" i="5"/>
  <c r="D32" i="5"/>
  <c r="D2" i="5"/>
  <c r="D12" i="5"/>
  <c r="D4" i="5"/>
  <c r="Y9" i="2" a="1"/>
  <c r="Y9" i="2" s="1"/>
  <c r="M1" i="2"/>
  <c r="U9" i="2"/>
  <c r="U5" i="2"/>
  <c r="I1" i="2"/>
  <c r="F1"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<sst xmlns="http://schemas.openxmlformats.org/spreadsheetml/2006/main" count="149" uniqueCount="42">
  <si>
    <t>Cust.TR</t>
  </si>
  <si>
    <t>SECOND ITEM NO.</t>
  </si>
  <si>
    <t>iD No.</t>
  </si>
  <si>
    <t>Alt Item Number</t>
  </si>
  <si>
    <t xml:space="preserve"> Card JDE Item Code</t>
  </si>
  <si>
    <t>Description</t>
  </si>
  <si>
    <t>Kanban Qty</t>
  </si>
  <si>
    <t>SPQ</t>
  </si>
  <si>
    <t>Bucket Qty</t>
  </si>
  <si>
    <t>Card Size</t>
  </si>
  <si>
    <t>GSM</t>
  </si>
  <si>
    <t>Card Cost</t>
  </si>
  <si>
    <t>Total Cost</t>
  </si>
  <si>
    <t>Bin Code</t>
  </si>
  <si>
    <t>Supplier Name</t>
  </si>
  <si>
    <t>Monthly Avr Qty</t>
  </si>
  <si>
    <t>ID no</t>
  </si>
  <si>
    <t>LOC For Kanban</t>
  </si>
  <si>
    <t>LOC for Label</t>
  </si>
  <si>
    <t>Forecast Plan</t>
  </si>
  <si>
    <t>Planed SPQ</t>
  </si>
  <si>
    <t>Remaining</t>
  </si>
  <si>
    <t>TAG COLOUR</t>
  </si>
  <si>
    <t>FPO-25</t>
  </si>
  <si>
    <t>LP</t>
  </si>
  <si>
    <t>Grand Total</t>
  </si>
  <si>
    <t>Row Labels</t>
  </si>
  <si>
    <t>ID NO</t>
  </si>
  <si>
    <t>SR NO.</t>
  </si>
  <si>
    <t>(blank)</t>
  </si>
  <si>
    <t>Sum of TRAY QTY</t>
  </si>
  <si>
    <t>TRAY QTY</t>
  </si>
  <si>
    <t xml:space="preserve"> </t>
  </si>
  <si>
    <t>CC MAIL ADDRESS →</t>
  </si>
  <si>
    <t>TO MAIL ADDRESS →</t>
  </si>
  <si>
    <t>ITEM NO</t>
  </si>
  <si>
    <t>sample@123.com</t>
  </si>
  <si>
    <t>sample@456.com</t>
  </si>
  <si>
    <t>Example.1234.bell….</t>
  </si>
  <si>
    <t>BELL….</t>
  </si>
  <si>
    <t>C1234</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</si>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</sst>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b/>
      <sz val="10"/>
      <color theme="0"/>
      <name val="Arial Narrow"/>
      <family val="2"/>
    </font>
    <font>
      <sz val="10"/>
      <name val="Arial"/>
      <family val="2"/>
    </font>
    <font>
      <sz val="10"/>
      <color theme="1"/>
      <name val="Arial Narrow"/>
      <family val="2"/>
    </font>
    <font>
      <b/>
      <sz val="11"/>
      <color rgb="FF00B050"/>
      <name val="Aptos Narrow"/>
      <family val="2"/>
      <scheme val="minor"/>
    </font>
    <font>
      <sz val="11"/>
      <name val="Calibri"/>
      <family val="2"/>
    </font>
    <font>
      <sz val="10"/>
      <color rgb="FF000000"/>
      <name val="Arial"/>
      <family val="2"/>
    </font>
    <font>
      <sz val="11"/>
      <color rgb="FF000000"/>
      <name val="Calibri"/>
      <family val="2"/>
    </font>
    <font>
      <sz val="10"/>
      <color rgb="FF000000"/>
      <name val="Segoe UI"/>
      <family val="2"/>
    </font>
    <font>
      <sz val="9"/>
      <name val="Arial"/>
      <family val="2"/>
    </font>
    <font>
      <u/>
      <sz val="11"/>
      <color theme="10"/>
      <name val="Aptos Narrow"/>
      <family val="2"/>
      <scheme val="minor"/>
    </font>
    <font>
      <b/>
      <sz val="11"/>
      <color theme="1"/>
      <name val="Arial Black"/>
      <family val="2"/>
    </font>
    <font>
      <b/>
      <sz val="11"/>
      <color theme="3" tint="0.89999084444715716"/>
      <name val="Aptos Narrow"/>
      <family val="2"/>
      <scheme val="minor"/>
    </font>
  </fonts>
  <fills count="13">
    <fill>
      <patternFill patternType="none"/>
    </fill>
    <fill>
      <patternFill patternType="gray125"/>
    </fill>
    <fill>
      <patternFill patternType="solid">
        <fgColor theme="9"/>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5" tint="0.79998168889431442"/>
        <bgColor indexed="64"/>
      </patternFill>
    </fill>
  </fills>
  <borders count="12">
    <border>
      <left/>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auto="1"/>
      </left>
      <right style="medium">
        <color auto="1"/>
      </right>
      <top style="medium">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s>
  <cellStyleXfs count="8">
    <xf numFmtId="0" fontId="0" fillId="0" borderId="0"/>
    <xf numFmtId="0" fontId="5" fillId="0" borderId="0"/>
    <xf numFmtId="0" fontId="5" fillId="0" borderId="0"/>
    <xf numFmtId="0" fontId="1" fillId="0" borderId="0"/>
    <xf numFmtId="0" fontId="1" fillId="0" borderId="0"/>
    <xf numFmtId="0" fontId="1" fillId="0" borderId="0"/>
    <xf numFmtId="0" fontId="5" fillId="0" borderId="0"/>
    <xf numFmtId="0" fontId="13" fillId="0" borderId="0" applyNumberFormat="0" applyFill="0" applyBorder="0" applyAlignment="0" applyProtection="0"/>
  </cellStyleXfs>
  <cellXfs count="64">
    <xf numFmtId="0" fontId="0" fillId="0" borderId="0" xfId="0"/>
    <xf numFmtId="0" fontId="0" fillId="0" borderId="0" xfId="0" applyAlignment="1">
      <alignment horizontal="left"/>
    </xf>
    <xf numFmtId="0" fontId="0" fillId="0" borderId="0" xfId="0" applyAlignment="1">
      <alignment horizontal="center"/>
    </xf>
    <xf numFmtId="1"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0" applyNumberFormat="1" applyAlignment="1">
      <alignment horizontal="left"/>
    </xf>
    <xf numFmtId="0" fontId="0" fillId="0" borderId="0" xfId="0" applyAlignment="1">
      <alignment horizontal="left" vertical="center"/>
    </xf>
    <xf numFmtId="0" fontId="4" fillId="2" borderId="0" xfId="0" applyFont="1" applyFill="1" applyAlignment="1">
      <alignment horizontal="left" vertical="center"/>
    </xf>
    <xf numFmtId="0" fontId="4" fillId="2" borderId="0" xfId="1" quotePrefix="1" applyFont="1" applyFill="1" applyAlignment="1">
      <alignment horizontal="left" vertical="center"/>
    </xf>
    <xf numFmtId="0" fontId="4" fillId="2" borderId="0" xfId="1" quotePrefix="1" applyFont="1" applyFill="1" applyAlignment="1">
      <alignment horizontal="center" vertical="center" wrapText="1"/>
    </xf>
    <xf numFmtId="0" fontId="4" fillId="2" borderId="0" xfId="1" applyFont="1" applyFill="1" applyAlignment="1">
      <alignment horizontal="center" vertical="center" wrapText="1"/>
    </xf>
    <xf numFmtId="1" fontId="4" fillId="2" borderId="0" xfId="1" applyNumberFormat="1" applyFont="1" applyFill="1" applyAlignment="1">
      <alignment horizontal="center" vertical="center" wrapText="1"/>
    </xf>
    <xf numFmtId="0" fontId="4" fillId="2" borderId="0" xfId="1" quotePrefix="1" applyFont="1" applyFill="1" applyAlignment="1">
      <alignment horizontal="left" vertical="center" wrapText="1"/>
    </xf>
    <xf numFmtId="1" fontId="4" fillId="3" borderId="0" xfId="1" applyNumberFormat="1" applyFont="1" applyFill="1" applyAlignment="1">
      <alignment horizontal="center" vertical="center" wrapText="1"/>
    </xf>
    <xf numFmtId="1" fontId="4" fillId="4" borderId="0" xfId="1" applyNumberFormat="1" applyFont="1" applyFill="1" applyAlignment="1">
      <alignment horizontal="center" vertical="center" wrapText="1"/>
    </xf>
    <xf numFmtId="0" fontId="6" fillId="0" borderId="0" xfId="0" applyFont="1"/>
    <xf numFmtId="1" fontId="0" fillId="0" borderId="0" xfId="0" applyNumberFormat="1" applyAlignment="1">
      <alignment horizontal="left" vertical="center"/>
    </xf>
    <xf numFmtId="2" fontId="0" fillId="0" borderId="0" xfId="0" applyNumberFormat="1" applyAlignment="1">
      <alignment horizontal="left" vertical="center"/>
    </xf>
    <xf numFmtId="1" fontId="6" fillId="0" borderId="0" xfId="0" applyNumberFormat="1" applyFont="1" applyAlignment="1">
      <alignment horizontal="center" vertical="center"/>
    </xf>
    <xf numFmtId="0" fontId="6" fillId="0" borderId="0" xfId="0" applyFont="1" applyAlignment="1">
      <alignment horizontal="center" vertical="center"/>
    </xf>
    <xf numFmtId="0" fontId="0" fillId="0" borderId="0" xfId="0" applyAlignment="1">
      <alignment wrapText="1"/>
    </xf>
    <xf numFmtId="1" fontId="3" fillId="0" borderId="0" xfId="0" applyNumberFormat="1" applyFont="1" applyAlignment="1">
      <alignment horizontal="center" vertical="center"/>
    </xf>
    <xf numFmtId="49" fontId="0" fillId="0" borderId="0" xfId="0" applyNumberFormat="1" applyAlignment="1">
      <alignment horizontal="left"/>
    </xf>
    <xf numFmtId="0" fontId="0" fillId="0" borderId="0" xfId="0" applyAlignment="1">
      <alignment vertical="center"/>
    </xf>
    <xf numFmtId="0" fontId="0" fillId="0" borderId="0" xfId="0" applyAlignment="1" applyProtection="1">
      <alignment vertical="center"/>
      <protection locked="0"/>
    </xf>
    <xf numFmtId="0" fontId="0" fillId="0" borderId="0" xfId="0" applyProtection="1">
      <protection locked="0"/>
    </xf>
    <xf numFmtId="0" fontId="5" fillId="0" borderId="0" xfId="0" applyFont="1" applyAlignment="1" applyProtection="1">
      <alignment horizontal="left" vertical="center"/>
      <protection locked="0"/>
    </xf>
    <xf numFmtId="0" fontId="5" fillId="0" borderId="0" xfId="0" applyFont="1" applyProtection="1">
      <protection locked="0"/>
    </xf>
    <xf numFmtId="0" fontId="7" fillId="0" borderId="0" xfId="0" applyFont="1"/>
    <xf numFmtId="1" fontId="0" fillId="0" borderId="0" xfId="0" applyNumberFormat="1" applyAlignment="1" applyProtection="1">
      <alignment horizontal="center" vertical="center"/>
      <protection locked="0"/>
    </xf>
    <xf numFmtId="0" fontId="5" fillId="0" borderId="0" xfId="2" applyAlignment="1" applyProtection="1">
      <alignment horizontal="left"/>
      <protection locked="0"/>
    </xf>
    <xf numFmtId="0" fontId="5" fillId="0" borderId="0" xfId="0" applyFont="1" applyAlignment="1" applyProtection="1">
      <alignment horizontal="left"/>
      <protection locked="0"/>
    </xf>
    <xf numFmtId="0" fontId="1" fillId="0" borderId="0" xfId="3"/>
    <xf numFmtId="49" fontId="0" fillId="0" borderId="0" xfId="4" applyNumberFormat="1" applyFont="1"/>
    <xf numFmtId="0" fontId="1" fillId="0" borderId="0" xfId="5"/>
    <xf numFmtId="0" fontId="8" fillId="0" borderId="0" xfId="0" applyFont="1" applyProtection="1">
      <protection locked="0"/>
    </xf>
    <xf numFmtId="0" fontId="8" fillId="0" borderId="0" xfId="0" applyFont="1" applyAlignment="1" applyProtection="1">
      <alignment horizontal="left"/>
      <protection locked="0"/>
    </xf>
    <xf numFmtId="0" fontId="9" fillId="0" borderId="0" xfId="0" applyFont="1"/>
    <xf numFmtId="0" fontId="5" fillId="0" borderId="0" xfId="2" applyAlignment="1">
      <alignment horizontal="left"/>
    </xf>
    <xf numFmtId="0" fontId="0" fillId="0" borderId="0" xfId="0" applyAlignment="1" applyProtection="1">
      <alignment horizontal="left"/>
      <protection locked="0"/>
    </xf>
    <xf numFmtId="0" fontId="0" fillId="0" borderId="0" xfId="0" applyAlignment="1" applyProtection="1">
      <alignment horizontal="center"/>
      <protection locked="0"/>
    </xf>
    <xf numFmtId="0" fontId="5" fillId="0" borderId="0" xfId="6" applyAlignment="1">
      <alignment horizontal="left" vertical="center"/>
    </xf>
    <xf numFmtId="0" fontId="10" fillId="0" borderId="0" xfId="0" applyFont="1" applyAlignment="1">
      <alignment vertical="center"/>
    </xf>
    <xf numFmtId="0" fontId="0" fillId="5" borderId="0" xfId="0" applyFill="1"/>
    <xf numFmtId="0" fontId="11" fillId="0" borderId="0" xfId="0" applyFont="1"/>
    <xf numFmtId="49" fontId="0" fillId="0" borderId="0" xfId="0" applyNumberFormat="1" applyProtection="1">
      <protection locked="0"/>
    </xf>
    <xf numFmtId="0" fontId="12" fillId="0" borderId="0" xfId="0" applyFont="1"/>
    <xf numFmtId="0" fontId="2" fillId="6" borderId="0" xfId="0" applyFont="1" applyFill="1" applyAlignment="1">
      <alignment horizontal="center" vertical="center"/>
    </xf>
    <xf numFmtId="0" fontId="2" fillId="7" borderId="0" xfId="0" applyFont="1" applyFill="1" applyAlignment="1">
      <alignment horizontal="center" vertical="center"/>
    </xf>
    <xf numFmtId="0" fontId="0" fillId="8" borderId="0" xfId="0" applyFill="1" applyAlignment="1">
      <alignment horizontal="center"/>
    </xf>
    <xf numFmtId="0" fontId="0" fillId="0" borderId="0" xfId="0" pivotButton="1"/>
    <xf numFmtId="0" fontId="2" fillId="8" borderId="0" xfId="0" applyFont="1" applyFill="1" applyAlignment="1">
      <alignment horizontal="center" vertical="center"/>
    </xf>
    <xf numFmtId="0" fontId="0" fillId="9" borderId="11" xfId="0" applyFill="1" applyBorder="1"/>
    <xf numFmtId="0" fontId="0" fillId="9" borderId="10" xfId="0" applyFill="1" applyBorder="1"/>
    <xf numFmtId="0" fontId="0" fillId="9" borderId="9" xfId="0" applyFill="1" applyBorder="1"/>
    <xf numFmtId="0" fontId="0" fillId="9" borderId="6" xfId="0" applyFill="1" applyBorder="1"/>
    <xf numFmtId="0" fontId="0" fillId="9" borderId="5" xfId="0" applyFill="1" applyBorder="1"/>
    <xf numFmtId="0" fontId="0" fillId="9" borderId="1" xfId="0" applyFill="1" applyBorder="1"/>
    <xf numFmtId="0" fontId="13" fillId="11" borderId="7" xfId="7" applyFill="1" applyBorder="1" applyAlignment="1">
      <alignment horizontal="left" vertical="center"/>
    </xf>
    <xf numFmtId="0" fontId="13" fillId="11" borderId="3" xfId="7" applyFill="1" applyBorder="1" applyAlignment="1">
      <alignment horizontal="left" vertical="center"/>
    </xf>
    <xf numFmtId="0" fontId="15" fillId="10" borderId="8" xfId="0" applyFont="1" applyFill="1" applyBorder="1"/>
    <xf numFmtId="0" fontId="15" fillId="10" borderId="4" xfId="0" applyFont="1" applyFill="1" applyBorder="1"/>
    <xf numFmtId="0" fontId="14" fillId="12" borderId="2" xfId="0" applyFont="1" applyFill="1" applyBorder="1" applyAlignment="1">
      <alignment horizontal="center"/>
    </xf>
  </cellXfs>
  <cellStyles count="8">
    <cellStyle name="Hyperlink" xfId="7" builtinId="8"/>
    <cellStyle name="Normal" xfId="0" builtinId="0"/>
    <cellStyle name="Normal 132" xfId="5" xr:uid="{0629E1B0-34C5-42CC-BF31-E037955CF640}"/>
    <cellStyle name="Normal 2 2" xfId="6" xr:uid="{444D37E7-D6C6-42FA-ACB3-D216724FBDCB}"/>
    <cellStyle name="Normal 4" xfId="1" xr:uid="{B5EBEDC3-0134-4C8F-9F54-AF2D21711A94}"/>
    <cellStyle name="Normal 5" xfId="2" xr:uid="{791E46B0-7843-4EDA-B7D2-65D4C408DE7E}"/>
    <cellStyle name="Normal_Master1_B" xfId="3" xr:uid="{BC733D3A-FE69-4AEC-B056-0D611944E6EE}"/>
    <cellStyle name="Normal_Master1_D" xfId="4" xr:uid="{822DC13F-A758-4B1E-A912-7D1F041F6EDB}"/>
  </cellStyles>
  <dxfs count="8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133350</xdr:colOff>
      <xdr:row>0</xdr:row>
      <xdr:rowOff>104775</xdr:rowOff>
    </xdr:from>
    <xdr:to>
      <xdr:col>9</xdr:col>
      <xdr:colOff>371475</xdr:colOff>
      <xdr:row>5</xdr:row>
      <xdr:rowOff>104775</xdr:rowOff>
    </xdr:to>
    <xdr:sp macro="" textlink="">
      <xdr:nvSpPr>
        <xdr:cNvPr id="2" name="Speech Bubble: Rectangle with Corners Rounded 1">
          <a:extLst>
            <a:ext uri="{FF2B5EF4-FFF2-40B4-BE49-F238E27FC236}">
              <a16:creationId xmlns:a16="http://schemas.microsoft.com/office/drawing/2014/main" id="{A365BB38-7A5D-4EFC-F261-2C914CD9EC15}"/>
            </a:ext>
          </a:extLst>
        </xdr:cNvPr>
        <xdr:cNvSpPr/>
      </xdr:nvSpPr>
      <xdr:spPr>
        <a:xfrm>
          <a:off x="3095625" y="104775"/>
          <a:ext cx="1457325" cy="952500"/>
        </a:xfrm>
        <a:prstGeom prst="wedgeRoundRectCallout">
          <a:avLst>
            <a:gd name="adj1" fmla="val -84885"/>
            <a:gd name="adj2" fmla="val 10000"/>
            <a:gd name="adj3" fmla="val 16667"/>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u="sng">
              <a:solidFill>
                <a:schemeClr val="tx1"/>
              </a:solidFill>
            </a:rPr>
            <a:t>Step 1:</a:t>
          </a:r>
        </a:p>
        <a:p>
          <a:pPr algn="l"/>
          <a:endParaRPr lang="en-IN" sz="1100" b="1" u="sng">
            <a:solidFill>
              <a:schemeClr val="tx1"/>
            </a:solidFill>
          </a:endParaRPr>
        </a:p>
        <a:p>
          <a:pPr algn="l"/>
          <a:r>
            <a:rPr lang="en-IN" sz="1100" b="0">
              <a:solidFill>
                <a:schemeClr val="tx1"/>
              </a:solidFill>
            </a:rPr>
            <a:t>Type</a:t>
          </a:r>
          <a:r>
            <a:rPr lang="en-IN" sz="1100" b="0" baseline="0">
              <a:solidFill>
                <a:schemeClr val="tx1"/>
              </a:solidFill>
            </a:rPr>
            <a:t> in Id numbers in B column.</a:t>
          </a:r>
          <a:endParaRPr lang="en-IN" sz="1100" b="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85724</xdr:colOff>
      <xdr:row>0</xdr:row>
      <xdr:rowOff>66675</xdr:rowOff>
    </xdr:from>
    <xdr:to>
      <xdr:col>16</xdr:col>
      <xdr:colOff>476249</xdr:colOff>
      <xdr:row>1</xdr:row>
      <xdr:rowOff>114300</xdr:rowOff>
    </xdr:to>
    <xdr:sp macro="[0]!ExportTableAndPrepareEmail" textlink="">
      <xdr:nvSpPr>
        <xdr:cNvPr id="2" name="Rectangle: Rounded Corners 1">
          <a:extLst>
            <a:ext uri="{FF2B5EF4-FFF2-40B4-BE49-F238E27FC236}">
              <a16:creationId xmlns:a16="http://schemas.microsoft.com/office/drawing/2014/main" id="{838C0E86-15F8-4E75-98C9-8BA9E973DA66}"/>
            </a:ext>
          </a:extLst>
        </xdr:cNvPr>
        <xdr:cNvSpPr/>
      </xdr:nvSpPr>
      <xdr:spPr>
        <a:xfrm>
          <a:off x="8620124" y="66675"/>
          <a:ext cx="1609725" cy="23812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SET</a:t>
          </a:r>
          <a:r>
            <a:rPr lang="en-IN" sz="1400" b="1" baseline="0"/>
            <a:t>UP MAIL</a:t>
          </a:r>
          <a:endParaRPr lang="en-IN" sz="1400" b="1"/>
        </a:p>
      </xdr:txBody>
    </xdr:sp>
    <xdr:clientData/>
  </xdr:twoCellAnchor>
  <xdr:twoCellAnchor>
    <xdr:from>
      <xdr:col>14</xdr:col>
      <xdr:colOff>57150</xdr:colOff>
      <xdr:row>4</xdr:row>
      <xdr:rowOff>123825</xdr:rowOff>
    </xdr:from>
    <xdr:to>
      <xdr:col>16</xdr:col>
      <xdr:colOff>466725</xdr:colOff>
      <xdr:row>9</xdr:row>
      <xdr:rowOff>123825</xdr:rowOff>
    </xdr:to>
    <xdr:sp macro="" textlink="">
      <xdr:nvSpPr>
        <xdr:cNvPr id="3" name="Speech Bubble: Rectangle with Corners Rounded 2">
          <a:extLst>
            <a:ext uri="{FF2B5EF4-FFF2-40B4-BE49-F238E27FC236}">
              <a16:creationId xmlns:a16="http://schemas.microsoft.com/office/drawing/2014/main" id="{E0367230-2552-4EA3-B1CF-E98E0834FA88}"/>
            </a:ext>
          </a:extLst>
        </xdr:cNvPr>
        <xdr:cNvSpPr/>
      </xdr:nvSpPr>
      <xdr:spPr>
        <a:xfrm>
          <a:off x="6391275" y="952500"/>
          <a:ext cx="1457325" cy="952500"/>
        </a:xfrm>
        <a:prstGeom prst="wedgeRoundRectCallout">
          <a:avLst>
            <a:gd name="adj1" fmla="val -9721"/>
            <a:gd name="adj2" fmla="val -95000"/>
            <a:gd name="adj3" fmla="val 16667"/>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u="sng">
              <a:solidFill>
                <a:schemeClr val="tx1"/>
              </a:solidFill>
            </a:rPr>
            <a:t>Step 2:</a:t>
          </a:r>
        </a:p>
        <a:p>
          <a:pPr algn="l"/>
          <a:endParaRPr lang="en-IN" sz="1100" b="1" u="sng">
            <a:solidFill>
              <a:schemeClr val="tx1"/>
            </a:solidFill>
          </a:endParaRPr>
        </a:p>
        <a:p>
          <a:pPr algn="l"/>
          <a:r>
            <a:rPr lang="en-IN" sz="1100" b="0">
              <a:solidFill>
                <a:schemeClr val="tx1"/>
              </a:solidFill>
            </a:rPr>
            <a:t>Click on Setup mail button.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kar, Shuvadip" refreshedDate="45876.746940740741" createdVersion="8" refreshedVersion="8" minRefreshableVersion="3" recordCount="251" xr:uid="{A5EEA6B4-51B9-450E-B878-137BDD2D42B9}">
  <cacheSource type="worksheet">
    <worksheetSource ref="B1:C1048576" sheet="BOOK ENTRY"/>
  </cacheSource>
  <cacheFields count="2">
    <cacheField name="ID NO" numFmtId="0">
      <sharedItems containsString="0" containsBlank="1" containsNumber="1" containsInteger="1" minValue="0" maxValue="2068" count="149">
        <n v="1"/>
        <m/>
        <n v="153" u="1"/>
        <n v="1029" u="1"/>
        <n v="1460" u="1"/>
        <n v="1057" u="1"/>
        <n v="1118" u="1"/>
        <n v="865" u="1"/>
        <n v="160" u="1"/>
        <n v="328" u="1"/>
        <n v="3" u="1"/>
        <n v="905" u="1"/>
        <n v="1266" u="1"/>
        <n v="327" u="1"/>
        <n v="7" u="1"/>
        <n v="903" u="1"/>
        <n v="1117" u="1"/>
        <n v="951" u="1"/>
        <n v="11" u="1"/>
        <n v="306" u="1"/>
        <n v="845" u="1"/>
        <n v="189" u="1"/>
        <n v="1454" u="1"/>
        <n v="15" u="1"/>
        <n v="2068" u="1"/>
        <n v="1238" u="1"/>
        <n v="212" u="1"/>
        <n v="1013" u="1"/>
        <n v="1464" u="1"/>
        <n v="1365" u="1"/>
        <n v="1371" u="1"/>
        <n v="61" u="1"/>
        <n v="1305" u="1"/>
        <n v="5" u="1"/>
        <n v="510" u="1"/>
        <n v="952" u="1"/>
        <n v="1926" u="1"/>
        <n v="1364" u="1"/>
        <n v="301" u="1"/>
        <n v="995" u="1"/>
        <n v="1048" u="1"/>
        <n v="140" u="1"/>
        <n v="125" u="1"/>
        <n v="1457" u="1"/>
        <n v="968" u="1"/>
        <n v="127" u="1"/>
        <n v="1229" u="1"/>
        <n v="172" u="1"/>
        <n v="155" u="1"/>
        <n v="157" u="1"/>
        <n v="970" u="1"/>
        <n v="818" u="1"/>
        <n v="991" u="1"/>
        <n v="993" u="1"/>
        <n v="180" u="1"/>
        <n v="248" u="1"/>
        <n v="1034" u="1"/>
        <n v="1052" u="1"/>
        <n v="954" u="1"/>
        <n v="918" u="1"/>
        <n v="340" u="1"/>
        <n v="20" u="1"/>
        <n v="1067" u="1"/>
        <n v="972" u="1"/>
        <n v="953" u="1"/>
        <n v="18" u="1"/>
        <n v="984" u="1"/>
        <n v="934" u="1"/>
        <n v="1450" u="1"/>
        <n v="1318" u="1"/>
        <n v="916" u="1"/>
        <n v="308" u="1"/>
        <n v="309" u="1"/>
        <n v="804" u="1"/>
        <n v="944" u="1"/>
        <n v="889" u="1"/>
        <n v="23" u="1"/>
        <n v="1332" u="1"/>
        <n v="847" u="1"/>
        <n v="987" u="1"/>
        <n v="146" u="1"/>
        <n v="159" u="1"/>
        <n v="122" u="1"/>
        <n v="1228" u="1"/>
        <n v="832" u="1"/>
        <n v="303" u="1"/>
        <n v="41" u="1"/>
        <n v="307" u="1"/>
        <n v="617" u="1"/>
        <n v="317" u="1"/>
        <n v="867" u="1"/>
        <n v="1203" u="1"/>
        <n v="1462" u="1"/>
        <n v="824" u="1"/>
        <n v="989" u="1"/>
        <n v="939" u="1"/>
        <n v="33" u="1"/>
        <n v="1000" u="1"/>
        <n v="1001" u="1"/>
        <n v="165" u="1"/>
        <n v="314" u="1"/>
        <n v="313" u="1"/>
        <n v="1342" u="1"/>
        <n v="812" u="1"/>
        <n v="838" u="1"/>
        <n v="837" u="1"/>
        <n v="246" u="1"/>
        <n v="850" u="1"/>
        <n v="810" u="1"/>
        <n v="825" u="1"/>
        <n v="861" u="1"/>
        <n v="321" u="1"/>
        <n v="1017" u="1"/>
        <n v="0" u="1"/>
        <n v="37" u="1"/>
        <n v="922" u="1"/>
        <n v="928" u="1"/>
        <n v="1234" u="1"/>
        <n v="1309" u="1"/>
        <n v="39" u="1"/>
        <n v="312" u="1"/>
        <n v="31" u="1"/>
        <n v="341" u="1"/>
        <n v="310" u="1"/>
        <n v="562" u="1"/>
        <n v="47" u="1"/>
        <n v="1453" u="1"/>
        <n v="242" u="1"/>
        <n v="924" u="1"/>
        <n v="1012" u="1"/>
        <n v="129" u="1"/>
        <n v="828" u="1"/>
        <n v="813" u="1"/>
        <n v="868" u="1"/>
        <n v="801" u="1"/>
        <n v="852" u="1"/>
        <n v="126" u="1"/>
        <n v="959" u="1"/>
        <n v="913" u="1"/>
        <n v="186" u="1"/>
        <n v="57" u="1"/>
        <n v="956" u="1"/>
        <n v="338" u="1"/>
        <n v="35" u="1"/>
        <n v="238" u="1"/>
        <n v="1383" u="1"/>
        <n v="144" u="1"/>
        <n v="957" u="1"/>
        <n v="1061" u="1"/>
      </sharedItems>
    </cacheField>
    <cacheField name="TRAY QTY" numFmtId="0">
      <sharedItems containsBlank="1"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
  <r>
    <x v="0"/>
    <n v="1"/>
  </r>
  <r>
    <x v="0"/>
    <n v="1"/>
  </r>
  <r>
    <x v="0"/>
    <n v="1"/>
  </r>
  <r>
    <x v="0"/>
    <n v="1"/>
  </r>
  <r>
    <x v="0"/>
    <n v="1"/>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F8B0AD-0350-45B4-A31C-C03EACAE0E88}" name="kc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G4" firstHeaderRow="1" firstDataRow="1" firstDataCol="1"/>
  <pivotFields count="2">
    <pivotField axis="axisRow" showAll="0" sortType="ascending">
      <items count="150">
        <item m="1" x="113"/>
        <item x="0"/>
        <item m="1" x="10"/>
        <item m="1" x="33"/>
        <item m="1" x="14"/>
        <item m="1" x="18"/>
        <item m="1" x="23"/>
        <item m="1" x="65"/>
        <item m="1" x="61"/>
        <item m="1" x="76"/>
        <item m="1" x="121"/>
        <item m="1" x="96"/>
        <item m="1" x="143"/>
        <item m="1" x="114"/>
        <item m="1" x="119"/>
        <item m="1" x="86"/>
        <item m="1" x="125"/>
        <item m="1" x="140"/>
        <item m="1" x="31"/>
        <item m="1" x="82"/>
        <item m="1" x="42"/>
        <item m="1" x="136"/>
        <item m="1" x="45"/>
        <item m="1" x="130"/>
        <item m="1" x="41"/>
        <item m="1" x="146"/>
        <item m="1" x="80"/>
        <item m="1" x="2"/>
        <item m="1" x="48"/>
        <item m="1" x="49"/>
        <item m="1" x="81"/>
        <item m="1" x="8"/>
        <item m="1" x="99"/>
        <item m="1" x="47"/>
        <item m="1" x="54"/>
        <item m="1" x="139"/>
        <item m="1" x="21"/>
        <item m="1" x="26"/>
        <item m="1" x="144"/>
        <item m="1" x="127"/>
        <item m="1" x="106"/>
        <item m="1" x="55"/>
        <item m="1" x="38"/>
        <item m="1" x="85"/>
        <item m="1" x="19"/>
        <item m="1" x="87"/>
        <item m="1" x="71"/>
        <item m="1" x="72"/>
        <item m="1" x="123"/>
        <item m="1" x="120"/>
        <item m="1" x="101"/>
        <item m="1" x="100"/>
        <item m="1" x="89"/>
        <item m="1" x="111"/>
        <item m="1" x="13"/>
        <item m="1" x="9"/>
        <item m="1" x="142"/>
        <item m="1" x="60"/>
        <item m="1" x="122"/>
        <item m="1" x="34"/>
        <item m="1" x="124"/>
        <item m="1" x="88"/>
        <item m="1" x="134"/>
        <item m="1" x="73"/>
        <item m="1" x="108"/>
        <item m="1" x="103"/>
        <item m="1" x="132"/>
        <item m="1" x="51"/>
        <item m="1" x="93"/>
        <item m="1" x="109"/>
        <item m="1" x="131"/>
        <item m="1" x="84"/>
        <item m="1" x="105"/>
        <item m="1" x="104"/>
        <item m="1" x="20"/>
        <item m="1" x="78"/>
        <item m="1" x="107"/>
        <item m="1" x="135"/>
        <item m="1" x="110"/>
        <item m="1" x="7"/>
        <item m="1" x="90"/>
        <item m="1" x="133"/>
        <item m="1" x="75"/>
        <item m="1" x="15"/>
        <item m="1" x="11"/>
        <item m="1" x="138"/>
        <item m="1" x="70"/>
        <item m="1" x="59"/>
        <item m="1" x="115"/>
        <item m="1" x="128"/>
        <item m="1" x="116"/>
        <item m="1" x="67"/>
        <item m="1" x="95"/>
        <item m="1" x="74"/>
        <item m="1" x="17"/>
        <item m="1" x="35"/>
        <item m="1" x="64"/>
        <item m="1" x="58"/>
        <item m="1" x="141"/>
        <item m="1" x="147"/>
        <item m="1" x="137"/>
        <item m="1" x="44"/>
        <item m="1" x="50"/>
        <item m="1" x="63"/>
        <item m="1" x="66"/>
        <item m="1" x="79"/>
        <item m="1" x="94"/>
        <item m="1" x="52"/>
        <item m="1" x="53"/>
        <item m="1" x="39"/>
        <item m="1" x="97"/>
        <item m="1" x="98"/>
        <item m="1" x="129"/>
        <item m="1" x="27"/>
        <item m="1" x="112"/>
        <item m="1" x="3"/>
        <item m="1" x="56"/>
        <item m="1" x="40"/>
        <item m="1" x="57"/>
        <item m="1" x="5"/>
        <item m="1" x="148"/>
        <item m="1" x="62"/>
        <item m="1" x="16"/>
        <item m="1" x="6"/>
        <item m="1" x="91"/>
        <item m="1" x="83"/>
        <item m="1" x="46"/>
        <item m="1" x="117"/>
        <item m="1" x="25"/>
        <item m="1" x="12"/>
        <item m="1" x="32"/>
        <item m="1" x="118"/>
        <item m="1" x="69"/>
        <item m="1" x="77"/>
        <item m="1" x="102"/>
        <item m="1" x="37"/>
        <item m="1" x="29"/>
        <item m="1" x="30"/>
        <item m="1" x="145"/>
        <item m="1" x="68"/>
        <item m="1" x="126"/>
        <item m="1" x="22"/>
        <item m="1" x="43"/>
        <item m="1" x="4"/>
        <item m="1" x="92"/>
        <item m="1" x="28"/>
        <item m="1" x="36"/>
        <item m="1" x="24"/>
        <item x="1"/>
        <item t="default"/>
      </items>
    </pivotField>
    <pivotField dataField="1" showAll="0"/>
  </pivotFields>
  <rowFields count="1">
    <field x="0"/>
  </rowFields>
  <rowItems count="3">
    <i>
      <x v="1"/>
    </i>
    <i>
      <x v="148"/>
    </i>
    <i t="grand">
      <x/>
    </i>
  </rowItems>
  <colItems count="1">
    <i/>
  </colItems>
  <dataFields count="1">
    <dataField name="Sum of TRAY QTY"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sample@456.com" TargetMode="External"/><Relationship Id="rId1" Type="http://schemas.openxmlformats.org/officeDocument/2006/relationships/hyperlink" Target="mailto:sample@123.com" TargetMode="Externa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5A3EB-906D-47E2-B304-B7DF5E3D0C33}">
  <sheetPr codeName="Sheet3">
    <tabColor rgb="FF3366FF"/>
  </sheetPr>
  <dimension ref="A1:Y1856"/>
  <sheetViews>
    <sheetView workbookViewId="0">
      <pane xSplit="3" ySplit="2" topLeftCell="D3" activePane="bottomRight" state="frozen"/>
      <selection pane="topRight" activeCell="B1" sqref="B1"/>
      <selection pane="bottomLeft" activeCell="A2" sqref="A2"/>
      <selection pane="bottomRight" activeCell="D4" sqref="D4"/>
    </sheetView>
  </sheetViews>
  <sheetFormatPr defaultColWidth="9.140625" defaultRowHeight="15" x14ac:dyDescent="0.25"/>
  <cols>
    <col min="1" max="1" width="9.28515625" style="1" bestFit="1" customWidth="1"/>
    <col min="2" max="2" width="26" style="1" bestFit="1" customWidth="1"/>
    <col min="3" max="3" width="8.5703125" style="2" customWidth="1"/>
    <col min="4" max="5" width="23.5703125" bestFit="1" customWidth="1"/>
    <col min="6" max="6" width="32.140625" customWidth="1"/>
    <col min="7" max="7" width="11.42578125" style="4" bestFit="1" customWidth="1"/>
    <col min="8" max="8" width="8.85546875" style="4" customWidth="1"/>
    <col min="9" max="9" width="8.28515625" style="2" customWidth="1"/>
    <col min="10" max="13" width="8.28515625" style="1" customWidth="1"/>
    <col min="14" max="14" width="8.28515625" style="7" customWidth="1"/>
    <col min="15" max="15" width="7.28515625" style="1" customWidth="1"/>
    <col min="16" max="16" width="7.42578125" customWidth="1"/>
    <col min="17" max="17" width="8.140625" customWidth="1"/>
    <col min="18" max="18" width="10" style="2" bestFit="1" customWidth="1"/>
    <col min="19" max="19" width="9.140625" style="4"/>
    <col min="20" max="20" width="15.85546875" style="4" bestFit="1" customWidth="1"/>
    <col min="21" max="21" width="14.42578125" style="4" bestFit="1" customWidth="1"/>
    <col min="22" max="22" width="10" style="4" customWidth="1"/>
    <col min="23" max="23" width="14.28515625" customWidth="1"/>
  </cols>
  <sheetData>
    <row r="1" spans="1:25" x14ac:dyDescent="0.25">
      <c r="E1">
        <f>COUNTA(E3:E5008)</f>
        <v>1</v>
      </c>
      <c r="G1" s="3">
        <f>SUM(G3:G1530)</f>
        <v>24</v>
      </c>
      <c r="I1" s="5">
        <f>SUM(I3:I1856)</f>
        <v>50400</v>
      </c>
      <c r="J1" s="6"/>
      <c r="K1" s="6"/>
      <c r="L1" s="6"/>
      <c r="M1" s="6">
        <f>SUBTOTAL(9,M3:M1747)</f>
        <v>5544</v>
      </c>
      <c r="R1" s="3">
        <f>SUM(R3:R1530)</f>
        <v>8</v>
      </c>
      <c r="S1" s="3">
        <f>SUM(S3:S1530)</f>
        <v>1</v>
      </c>
      <c r="T1" s="3"/>
      <c r="U1" s="3"/>
    </row>
    <row r="2" spans="1:25" s="16" customFormat="1" ht="25.5" x14ac:dyDescent="0.2">
      <c r="A2" s="8" t="s">
        <v>0</v>
      </c>
      <c r="B2" s="9" t="s">
        <v>1</v>
      </c>
      <c r="C2" s="10" t="s">
        <v>2</v>
      </c>
      <c r="D2" s="11" t="s">
        <v>3</v>
      </c>
      <c r="E2" s="11" t="s">
        <v>4</v>
      </c>
      <c r="F2" s="11" t="s">
        <v>5</v>
      </c>
      <c r="G2" s="12" t="s">
        <v>6</v>
      </c>
      <c r="H2" s="12" t="s">
        <v>7</v>
      </c>
      <c r="I2" s="12" t="s">
        <v>8</v>
      </c>
      <c r="J2" s="10" t="s">
        <v>9</v>
      </c>
      <c r="K2" s="10" t="s">
        <v>10</v>
      </c>
      <c r="L2" s="10" t="s">
        <v>11</v>
      </c>
      <c r="M2" s="10" t="s">
        <v>12</v>
      </c>
      <c r="N2" s="13" t="s">
        <v>13</v>
      </c>
      <c r="O2" s="13" t="s">
        <v>14</v>
      </c>
      <c r="P2" s="11" t="s">
        <v>15</v>
      </c>
      <c r="Q2" s="11" t="s">
        <v>16</v>
      </c>
      <c r="R2" s="11" t="s">
        <v>17</v>
      </c>
      <c r="S2" s="11" t="s">
        <v>18</v>
      </c>
      <c r="T2" s="14" t="s">
        <v>19</v>
      </c>
      <c r="U2" s="15" t="s">
        <v>20</v>
      </c>
      <c r="V2" s="15" t="s">
        <v>21</v>
      </c>
      <c r="W2" s="16" t="s">
        <v>22</v>
      </c>
    </row>
    <row r="3" spans="1:25" x14ac:dyDescent="0.25">
      <c r="A3" s="7" t="s">
        <v>39</v>
      </c>
      <c r="B3" s="7" t="s">
        <v>38</v>
      </c>
      <c r="C3" s="4">
        <v>1</v>
      </c>
      <c r="D3">
        <v>1234</v>
      </c>
      <c r="E3" t="s">
        <v>40</v>
      </c>
      <c r="F3" t="str">
        <f t="shared" ref="F3" si="0">"Card For"&amp;"_"&amp;E3</f>
        <v>Card For_C1234</v>
      </c>
      <c r="G3" s="3">
        <v>24</v>
      </c>
      <c r="H3" s="4">
        <v>2100</v>
      </c>
      <c r="I3" s="3">
        <f t="shared" ref="I3" si="1">G3*H3</f>
        <v>50400</v>
      </c>
      <c r="J3" s="17"/>
      <c r="K3" s="17"/>
      <c r="L3" s="18">
        <v>0.11</v>
      </c>
      <c r="M3" s="3">
        <f>(H3*G3)*L3</f>
        <v>5544</v>
      </c>
      <c r="N3" s="7" t="s">
        <v>23</v>
      </c>
      <c r="O3" s="1" t="s">
        <v>24</v>
      </c>
      <c r="P3" s="3">
        <v>62658.333333333336</v>
      </c>
      <c r="Q3" s="4">
        <f t="shared" ref="Q3" si="2">C3</f>
        <v>1</v>
      </c>
      <c r="R3" s="19">
        <f t="shared" ref="R3" si="3">G3/3</f>
        <v>8</v>
      </c>
      <c r="S3" s="20">
        <v>1</v>
      </c>
      <c r="T3" s="3">
        <v>60000</v>
      </c>
      <c r="U3" s="3">
        <f>IF(T3="","",IF(T3&gt;I3,H3,T3/G3))</f>
        <v>2100</v>
      </c>
      <c r="V3" s="4">
        <f>IF(T3&gt;I3,T3-I3,"")</f>
        <v>9600</v>
      </c>
      <c r="W3" s="21" t="e" cm="1">
        <f t="array" ref="W3">_xlfn.IFS(
  A3="BELL", "WHITE",
  A3="GAMP", "ORANGE",
  A3="GAMM", "GREEN",
  A3="BWF", "YELLOW",
  OR(A3="TNBE", A3="TNBL", A3="TNBD", A3="TNWC", A3="TNBW", A3="THBS"), "PINK",
  A3="CRWD", "BLUE",
  A3="PASS", "WHITE"
)</f>
        <v>#N/A</v>
      </c>
    </row>
    <row r="4" spans="1:25" x14ac:dyDescent="0.25">
      <c r="A4" s="7"/>
      <c r="B4" s="7"/>
      <c r="C4" s="4"/>
      <c r="G4" s="3"/>
      <c r="I4" s="3"/>
      <c r="J4" s="17"/>
      <c r="K4" s="17"/>
      <c r="L4" s="18"/>
      <c r="M4" s="18"/>
      <c r="P4" s="3"/>
      <c r="Q4" s="4"/>
      <c r="R4" s="19"/>
      <c r="S4" s="20"/>
      <c r="T4" s="3"/>
      <c r="U4" s="3" t="str">
        <f t="shared" ref="U4:U67" si="4">IF(T4="","",IF(T4&gt;I4,H4,T4/G4))</f>
        <v/>
      </c>
      <c r="V4" s="4" t="str">
        <f t="shared" ref="V4:V67" si="5">IF(T4&gt;I4,T4-I4,"")</f>
        <v/>
      </c>
      <c r="W4" s="21" t="e" cm="1">
        <f t="array" ref="W4">_xlfn.IFS(
  A4="BELL", "WHITE",
  A4="GAMP", "ORANGE",
  A4="GAMM", "GREEN",
  A4="BWF", "YELLOW",
  OR(A4="TNBE", A4="TNBL", A4="TNBD", A4="TNWC", A4="TNBW", A4="THBS"), "PINK",
  A4="CRWD", "BLUE",
  A4="PASS", "WHITE"
)</f>
        <v>#N/A</v>
      </c>
    </row>
    <row r="5" spans="1:25" x14ac:dyDescent="0.25">
      <c r="A5" s="7"/>
      <c r="B5" s="7"/>
      <c r="C5" s="4"/>
      <c r="G5" s="3"/>
      <c r="I5" s="3"/>
      <c r="J5" s="17"/>
      <c r="K5" s="17"/>
      <c r="L5" s="18"/>
      <c r="M5" s="3"/>
      <c r="P5" s="3"/>
      <c r="Q5" s="4"/>
      <c r="R5" s="19"/>
      <c r="S5" s="20"/>
      <c r="T5" s="3">
        <v>9000</v>
      </c>
      <c r="U5" s="3">
        <f t="shared" si="4"/>
        <v>0</v>
      </c>
      <c r="V5" s="4">
        <f t="shared" si="5"/>
        <v>9000</v>
      </c>
      <c r="W5" s="21" t="e" cm="1">
        <f t="array" ref="W5">_xlfn.IFS(
  A5="BELL", "WHITE",
  A5="GAMP", "ORANGE",
  A5="GAMM", "GREEN",
  A5="BWF", "YELLOW",
  OR(A5="TNBE", A5="TNBL", A5="TNBD", A5="TNWC", A5="TNBW", A5="THBS"), "PINK",
  A5="CRWD", "BLUE",
  A5="PASS", "WHITE"
)</f>
        <v>#N/A</v>
      </c>
    </row>
    <row r="6" spans="1:25" x14ac:dyDescent="0.25">
      <c r="A6" s="7"/>
      <c r="B6" s="7"/>
      <c r="C6" s="4"/>
      <c r="G6" s="3"/>
      <c r="I6" s="3"/>
      <c r="J6" s="17"/>
      <c r="K6" s="17"/>
      <c r="L6" s="18"/>
      <c r="M6" s="18"/>
      <c r="P6" s="3"/>
      <c r="Q6" s="4"/>
      <c r="R6" s="19"/>
      <c r="S6" s="20"/>
      <c r="T6" s="3"/>
      <c r="U6" s="3" t="str">
        <f t="shared" si="4"/>
        <v/>
      </c>
      <c r="V6" s="4" t="str">
        <f t="shared" si="5"/>
        <v/>
      </c>
      <c r="W6" s="21" t="e" cm="1">
        <f t="array" ref="W6">_xlfn.IFS(
  A6="BELL", "WHITE",
  A6="GAMP", "ORANGE",
  A6="GAMM", "GREEN",
  A6="BWF", "YELLOW",
  OR(A6="TNBE", A6="TNBL", A6="TNBD", A6="TNWC", A6="TNBW", A6="THBS"), "PINK",
  A6="CRWD", "BLUE",
  A6="PASS", "WHITE"
)</f>
        <v>#N/A</v>
      </c>
    </row>
    <row r="7" spans="1:25" x14ac:dyDescent="0.25">
      <c r="A7" s="7"/>
      <c r="B7" s="7"/>
      <c r="C7" s="4"/>
      <c r="G7" s="3"/>
      <c r="I7" s="3"/>
      <c r="J7" s="17"/>
      <c r="K7" s="17"/>
      <c r="L7" s="18"/>
      <c r="M7" s="3"/>
      <c r="P7" s="3"/>
      <c r="Q7" s="4"/>
      <c r="R7" s="19"/>
      <c r="S7" s="20"/>
      <c r="T7" s="3">
        <v>15000</v>
      </c>
      <c r="U7" s="3">
        <f t="shared" si="4"/>
        <v>0</v>
      </c>
      <c r="V7" s="4">
        <f t="shared" si="5"/>
        <v>15000</v>
      </c>
      <c r="W7" s="21" t="e" cm="1">
        <f t="array" ref="W7">_xlfn.IFS(
  A7="BELL", "WHITE",
  A7="GAMP", "ORANGE",
  A7="GAMM", "GREEN",
  A7="BWF", "YELLOW",
  OR(A7="TNBE", A7="TNBL", A7="TNBD", A7="TNWC", A7="TNBW", A7="THBS"), "PINK",
  A7="CRWD", "BLUE",
  A7="PASS", "WHITE"
)</f>
        <v>#N/A</v>
      </c>
    </row>
    <row r="8" spans="1:25" x14ac:dyDescent="0.25">
      <c r="A8" s="7"/>
      <c r="B8" s="7"/>
      <c r="C8" s="4"/>
      <c r="G8" s="3"/>
      <c r="I8" s="3"/>
      <c r="J8" s="17"/>
      <c r="K8" s="17"/>
      <c r="L8" s="18"/>
      <c r="M8" s="18"/>
      <c r="P8" s="3"/>
      <c r="Q8" s="4"/>
      <c r="R8" s="19"/>
      <c r="S8" s="20"/>
      <c r="T8" s="3"/>
      <c r="U8" s="3" t="str">
        <f t="shared" si="4"/>
        <v/>
      </c>
      <c r="V8" s="4" t="str">
        <f t="shared" si="5"/>
        <v/>
      </c>
      <c r="W8" s="21" t="e" cm="1">
        <f t="array" ref="W8">_xlfn.IFS(
  A8="BELL", "WHITE",
  A8="GAMP", "ORANGE",
  A8="GAMM", "GREEN",
  A8="BWF", "YELLOW",
  OR(A8="TNBE", A8="TNBL", A8="TNBD", A8="TNWC", A8="TNBW", A8="THBS"), "PINK",
  A8="CRWD", "BLUE",
  A8="PASS", "WHITE"
)</f>
        <v>#N/A</v>
      </c>
    </row>
    <row r="9" spans="1:25" x14ac:dyDescent="0.25">
      <c r="A9" s="7"/>
      <c r="B9" s="7"/>
      <c r="C9" s="4"/>
      <c r="G9" s="3"/>
      <c r="I9" s="3"/>
      <c r="J9" s="17"/>
      <c r="K9" s="17"/>
      <c r="L9" s="18"/>
      <c r="M9" s="3"/>
      <c r="P9" s="3"/>
      <c r="Q9" s="4"/>
      <c r="R9" s="19"/>
      <c r="S9" s="20"/>
      <c r="T9" s="3">
        <v>6000</v>
      </c>
      <c r="U9" s="3">
        <f t="shared" si="4"/>
        <v>0</v>
      </c>
      <c r="V9" s="4">
        <f t="shared" si="5"/>
        <v>6000</v>
      </c>
      <c r="W9" s="21" t="e" cm="1">
        <f t="array" ref="W9">_xlfn.IFS(
  A9="BELL", "WHITE",
  A9="GAMP", "ORANGE",
  A9="GAMM", "GREEN",
  A9="BWF", "YELLOW",
  OR(A9="TNBE", A9="TNBL", A9="TNBD", A9="TNWC", A9="TNBW", A9="THBS"), "PINK",
  A9="CRWD", "BLUE",
  A9="PASS", "WHITE"
)</f>
        <v>#N/A</v>
      </c>
      <c r="Y9" cm="1">
        <f t="array" ref="Y9:Y11">_xlfn.UNIQUE(A:A,0,0)</f>
        <v>0</v>
      </c>
    </row>
    <row r="10" spans="1:25" x14ac:dyDescent="0.25">
      <c r="A10" s="7"/>
      <c r="B10" s="7"/>
      <c r="C10" s="4"/>
      <c r="G10" s="3"/>
      <c r="I10" s="3"/>
      <c r="J10" s="17"/>
      <c r="K10" s="17"/>
      <c r="L10" s="18"/>
      <c r="M10" s="18"/>
      <c r="P10" s="3"/>
      <c r="Q10" s="4"/>
      <c r="R10" s="19"/>
      <c r="S10" s="20"/>
      <c r="T10" s="3"/>
      <c r="U10" s="3" t="str">
        <f t="shared" si="4"/>
        <v/>
      </c>
      <c r="V10" s="4" t="str">
        <f t="shared" si="5"/>
        <v/>
      </c>
      <c r="W10" s="21" t="e" cm="1">
        <f t="array" ref="W10">_xlfn.IFS(
  A10="BELL", "WHITE",
  A10="GAMP", "ORANGE",
  A10="GAMM", "GREEN",
  A10="BWF", "YELLOW",
  OR(A10="TNBE", A10="TNBL", A10="TNBD", A10="TNWC", A10="TNBW", A10="THBS"), "PINK",
  A10="CRWD", "BLUE",
  A10="PASS", "WHITE"
)</f>
        <v>#N/A</v>
      </c>
      <c r="Y10" t="str">
        <v>Cust.TR</v>
      </c>
    </row>
    <row r="11" spans="1:25" x14ac:dyDescent="0.25">
      <c r="A11" s="7"/>
      <c r="B11" s="7"/>
      <c r="C11" s="4"/>
      <c r="G11" s="3"/>
      <c r="I11" s="3"/>
      <c r="J11" s="17"/>
      <c r="K11" s="17"/>
      <c r="L11" s="18"/>
      <c r="M11" s="3"/>
      <c r="P11" s="3"/>
      <c r="Q11" s="4"/>
      <c r="R11" s="19"/>
      <c r="S11" s="20"/>
      <c r="T11" s="3"/>
      <c r="U11" s="3" t="str">
        <f t="shared" si="4"/>
        <v/>
      </c>
      <c r="V11" s="4" t="str">
        <f t="shared" si="5"/>
        <v/>
      </c>
      <c r="W11" s="21" t="e" cm="1">
        <f t="array" ref="W11">_xlfn.IFS(
  A11="BELL", "WHITE",
  A11="GAMP", "ORANGE",
  A11="GAMM", "GREEN",
  A11="BWF", "YELLOW",
  OR(A11="TNBE", A11="TNBL", A11="TNBD", A11="TNWC", A11="TNBW", A11="THBS"), "PINK",
  A11="CRWD", "BLUE",
  A11="PASS", "WHITE"
)</f>
        <v>#N/A</v>
      </c>
      <c r="Y11" t="str">
        <v>BELL….</v>
      </c>
    </row>
    <row r="12" spans="1:25" x14ac:dyDescent="0.25">
      <c r="A12" s="7"/>
      <c r="B12" s="7"/>
      <c r="C12" s="4"/>
      <c r="G12" s="3"/>
      <c r="I12" s="3"/>
      <c r="J12" s="17"/>
      <c r="K12" s="17"/>
      <c r="L12" s="18"/>
      <c r="M12" s="3"/>
      <c r="P12" s="3"/>
      <c r="Q12" s="4"/>
      <c r="R12" s="19"/>
      <c r="S12" s="20"/>
      <c r="T12" s="3"/>
      <c r="U12" s="3" t="str">
        <f t="shared" si="4"/>
        <v/>
      </c>
      <c r="V12" s="4" t="str">
        <f t="shared" si="5"/>
        <v/>
      </c>
      <c r="W12" s="21" t="e" cm="1">
        <f t="array" ref="W12">_xlfn.IFS(
  A12="BELL", "WHITE",
  A12="GAMP", "ORANGE",
  A12="GAMM", "GREEN",
  A12="BWF", "YELLOW",
  OR(A12="TNBE", A12="TNBL", A12="TNBD", A12="TNWC", A12="TNBW", A12="THBS"), "PINK",
  A12="CRWD", "BLUE",
  A12="PASS", "WHITE"
)</f>
        <v>#N/A</v>
      </c>
    </row>
    <row r="13" spans="1:25" x14ac:dyDescent="0.25">
      <c r="A13" s="7"/>
      <c r="B13" s="7"/>
      <c r="C13" s="4"/>
      <c r="G13" s="3"/>
      <c r="I13" s="3"/>
      <c r="J13" s="17"/>
      <c r="K13" s="17"/>
      <c r="L13" s="18"/>
      <c r="M13" s="3"/>
      <c r="P13" s="3"/>
      <c r="Q13" s="4"/>
      <c r="R13" s="19"/>
      <c r="S13" s="20"/>
      <c r="T13" s="3"/>
      <c r="U13" s="3" t="str">
        <f t="shared" si="4"/>
        <v/>
      </c>
      <c r="V13" s="4" t="str">
        <f t="shared" si="5"/>
        <v/>
      </c>
      <c r="W13" s="21" t="e" cm="1">
        <f t="array" ref="W13">_xlfn.IFS(
  A13="BELL", "WHITE",
  A13="GAMP", "ORANGE",
  A13="GAMM", "GREEN",
  A13="BWF", "YELLOW",
  OR(A13="TNBE", A13="TNBL", A13="TNBD", A13="TNWC", A13="TNBW", A13="THBS"), "PINK",
  A13="CRWD", "BLUE",
  A13="PASS", "WHITE"
)</f>
        <v>#N/A</v>
      </c>
    </row>
    <row r="14" spans="1:25" x14ac:dyDescent="0.25">
      <c r="A14" s="7"/>
      <c r="B14" s="7"/>
      <c r="C14" s="4"/>
      <c r="G14" s="3"/>
      <c r="I14" s="3"/>
      <c r="J14" s="17"/>
      <c r="K14" s="17"/>
      <c r="L14" s="18"/>
      <c r="M14" s="18"/>
      <c r="P14" s="3"/>
      <c r="Q14" s="4"/>
      <c r="R14" s="19"/>
      <c r="S14" s="20"/>
      <c r="T14" s="3"/>
      <c r="U14" s="3" t="str">
        <f t="shared" si="4"/>
        <v/>
      </c>
      <c r="V14" s="4" t="str">
        <f t="shared" si="5"/>
        <v/>
      </c>
      <c r="W14" s="21" t="e" cm="1">
        <f t="array" ref="W14">_xlfn.IFS(
  A14="BELL", "WHITE",
  A14="GAMP", "ORANGE",
  A14="GAMM", "GREEN",
  A14="BWF", "YELLOW",
  OR(A14="TNBE", A14="TNBL", A14="TNBD", A14="TNWC", A14="TNBW", A14="THBS"), "PINK",
  A14="CRWD", "BLUE",
  A14="PASS", "WHITE"
)</f>
        <v>#N/A</v>
      </c>
    </row>
    <row r="15" spans="1:25" x14ac:dyDescent="0.25">
      <c r="A15" s="7"/>
      <c r="B15" s="7"/>
      <c r="C15" s="4"/>
      <c r="G15" s="3"/>
      <c r="I15" s="3"/>
      <c r="J15" s="17"/>
      <c r="K15" s="17"/>
      <c r="L15" s="18"/>
      <c r="M15" s="3"/>
      <c r="P15" s="3"/>
      <c r="Q15" s="4"/>
      <c r="R15" s="19"/>
      <c r="S15" s="20"/>
      <c r="T15" s="3"/>
      <c r="U15" s="3" t="str">
        <f t="shared" si="4"/>
        <v/>
      </c>
      <c r="V15" s="4" t="str">
        <f t="shared" si="5"/>
        <v/>
      </c>
      <c r="W15" s="21" t="e" cm="1">
        <f t="array" ref="W15">_xlfn.IFS(
  A15="BELL", "WHITE",
  A15="GAMP", "ORANGE",
  A15="GAMM", "GREEN",
  A15="BWF", "YELLOW",
  OR(A15="TNBE", A15="TNBL", A15="TNBD", A15="TNWC", A15="TNBW", A15="THBS"), "PINK",
  A15="CRWD", "BLUE",
  A15="PASS", "WHITE"
)</f>
        <v>#N/A</v>
      </c>
    </row>
    <row r="16" spans="1:25" x14ac:dyDescent="0.25">
      <c r="A16" s="7"/>
      <c r="B16" s="7"/>
      <c r="C16" s="4"/>
      <c r="G16" s="3"/>
      <c r="I16" s="3"/>
      <c r="J16" s="17"/>
      <c r="K16" s="17"/>
      <c r="L16" s="18"/>
      <c r="M16" s="18"/>
      <c r="P16" s="3"/>
      <c r="Q16" s="4"/>
      <c r="R16" s="19"/>
      <c r="S16" s="20"/>
      <c r="T16" s="3"/>
      <c r="U16" s="3" t="str">
        <f t="shared" si="4"/>
        <v/>
      </c>
      <c r="V16" s="4" t="str">
        <f t="shared" si="5"/>
        <v/>
      </c>
      <c r="W16" s="21" t="e" cm="1">
        <f t="array" ref="W16">_xlfn.IFS(
  A16="BELL", "WHITE",
  A16="GAMP", "ORANGE",
  A16="GAMM", "GREEN",
  A16="BWF", "YELLOW",
  OR(A16="TNBE", A16="TNBL", A16="TNBD", A16="TNWC", A16="TNBW", A16="THBS"), "PINK",
  A16="CRWD", "BLUE",
  A16="PASS", "WHITE"
)</f>
        <v>#N/A</v>
      </c>
    </row>
    <row r="17" spans="1:23" x14ac:dyDescent="0.25">
      <c r="A17" s="7"/>
      <c r="B17" s="7"/>
      <c r="C17" s="4"/>
      <c r="G17" s="3"/>
      <c r="I17" s="3"/>
      <c r="J17" s="17"/>
      <c r="K17" s="17"/>
      <c r="L17" s="18"/>
      <c r="M17" s="3"/>
      <c r="P17" s="3"/>
      <c r="Q17" s="4"/>
      <c r="R17" s="19"/>
      <c r="S17" s="20"/>
      <c r="T17" s="3"/>
      <c r="U17" s="3" t="str">
        <f t="shared" si="4"/>
        <v/>
      </c>
      <c r="V17" s="4" t="str">
        <f t="shared" si="5"/>
        <v/>
      </c>
      <c r="W17" s="21" t="e" cm="1">
        <f t="array" ref="W17">_xlfn.IFS(
  A17="BELL", "WHITE",
  A17="GAMP", "ORANGE",
  A17="GAMM", "GREEN",
  A17="BWF", "YELLOW",
  OR(A17="TNBE", A17="TNBL", A17="TNBD", A17="TNWC", A17="TNBW", A17="THBS"), "PINK",
  A17="CRWD", "BLUE",
  A17="PASS", "WHITE"
)</f>
        <v>#N/A</v>
      </c>
    </row>
    <row r="18" spans="1:23" x14ac:dyDescent="0.25">
      <c r="A18" s="7"/>
      <c r="B18" s="7"/>
      <c r="C18" s="4"/>
      <c r="G18" s="3"/>
      <c r="I18" s="3"/>
      <c r="J18" s="17"/>
      <c r="K18" s="17"/>
      <c r="L18" s="18"/>
      <c r="M18" s="18"/>
      <c r="P18" s="3"/>
      <c r="Q18" s="4"/>
      <c r="R18" s="19"/>
      <c r="S18" s="20"/>
      <c r="T18" s="3"/>
      <c r="U18" s="3" t="str">
        <f t="shared" si="4"/>
        <v/>
      </c>
      <c r="V18" s="4" t="str">
        <f t="shared" si="5"/>
        <v/>
      </c>
      <c r="W18" s="21" t="e" cm="1">
        <f t="array" ref="W18">_xlfn.IFS(
  A18="BELL", "WHITE",
  A18="GAMP", "ORANGE",
  A18="GAMM", "GREEN",
  A18="BWF", "YELLOW",
  OR(A18="TNBE", A18="TNBL", A18="TNBD", A18="TNWC", A18="TNBW", A18="THBS"), "PINK",
  A18="CRWD", "BLUE",
  A18="PASS", "WHITE"
)</f>
        <v>#N/A</v>
      </c>
    </row>
    <row r="19" spans="1:23" x14ac:dyDescent="0.25">
      <c r="A19" s="7"/>
      <c r="B19" s="7"/>
      <c r="C19" s="4"/>
      <c r="G19" s="3"/>
      <c r="I19" s="3"/>
      <c r="J19" s="17"/>
      <c r="K19" s="17"/>
      <c r="L19" s="18"/>
      <c r="M19" s="3"/>
      <c r="P19" s="3"/>
      <c r="Q19" s="4"/>
      <c r="R19" s="19"/>
      <c r="S19" s="20"/>
      <c r="T19" s="3"/>
      <c r="U19" s="3" t="str">
        <f t="shared" si="4"/>
        <v/>
      </c>
      <c r="V19" s="4" t="str">
        <f t="shared" si="5"/>
        <v/>
      </c>
      <c r="W19" s="21" t="e" cm="1">
        <f t="array" ref="W19">_xlfn.IFS(
  A19="BELL", "WHITE",
  A19="GAMP", "ORANGE",
  A19="GAMM", "GREEN",
  A19="BWF", "YELLOW",
  OR(A19="TNBE", A19="TNBL", A19="TNBD", A19="TNWC", A19="TNBW", A19="THBS"), "PINK",
  A19="CRWD", "BLUE",
  A19="PASS", "WHITE"
)</f>
        <v>#N/A</v>
      </c>
    </row>
    <row r="20" spans="1:23" x14ac:dyDescent="0.25">
      <c r="A20" s="7"/>
      <c r="B20" s="7"/>
      <c r="C20" s="4"/>
      <c r="G20" s="3"/>
      <c r="I20" s="3"/>
      <c r="J20" s="17"/>
      <c r="K20" s="17"/>
      <c r="L20" s="18"/>
      <c r="M20" s="3"/>
      <c r="P20" s="3"/>
      <c r="Q20" s="4"/>
      <c r="R20" s="19"/>
      <c r="S20" s="20"/>
      <c r="T20" s="3"/>
      <c r="U20" s="3" t="str">
        <f t="shared" si="4"/>
        <v/>
      </c>
      <c r="V20" s="4" t="str">
        <f t="shared" si="5"/>
        <v/>
      </c>
      <c r="W20" s="21" t="e" cm="1">
        <f t="array" ref="W20">_xlfn.IFS(
  A20="BELL", "WHITE",
  A20="GAMP", "ORANGE",
  A20="GAMM", "GREEN",
  A20="BWF", "YELLOW",
  OR(A20="TNBE", A20="TNBL", A20="TNBD", A20="TNWC", A20="TNBW", A20="THBS"), "PINK",
  A20="CRWD", "BLUE",
  A20="PASS", "WHITE"
)</f>
        <v>#N/A</v>
      </c>
    </row>
    <row r="21" spans="1:23" x14ac:dyDescent="0.25">
      <c r="A21" s="7"/>
      <c r="B21" s="7"/>
      <c r="C21" s="4"/>
      <c r="G21" s="3"/>
      <c r="I21" s="3"/>
      <c r="J21" s="17"/>
      <c r="K21" s="17"/>
      <c r="L21" s="18"/>
      <c r="M21" s="18"/>
      <c r="P21" s="3"/>
      <c r="Q21" s="4"/>
      <c r="R21" s="19"/>
      <c r="S21" s="20"/>
      <c r="T21" s="3"/>
      <c r="U21" s="3" t="str">
        <f t="shared" si="4"/>
        <v/>
      </c>
      <c r="V21" s="4" t="str">
        <f t="shared" si="5"/>
        <v/>
      </c>
      <c r="W21" s="21" t="e" cm="1">
        <f t="array" ref="W21">_xlfn.IFS(
  A21="BELL", "WHITE",
  A21="GAMP", "ORANGE",
  A21="GAMM", "GREEN",
  A21="BWF", "YELLOW",
  OR(A21="TNBE", A21="TNBL", A21="TNBD", A21="TNWC", A21="TNBW", A21="THBS"), "PINK",
  A21="CRWD", "BLUE",
  A21="PASS", "WHITE"
)</f>
        <v>#N/A</v>
      </c>
    </row>
    <row r="22" spans="1:23" x14ac:dyDescent="0.25">
      <c r="A22" s="7"/>
      <c r="B22" s="7"/>
      <c r="C22" s="4"/>
      <c r="G22" s="3"/>
      <c r="I22" s="3"/>
      <c r="J22" s="17"/>
      <c r="K22" s="17"/>
      <c r="L22" s="18"/>
      <c r="M22" s="3"/>
      <c r="P22" s="3"/>
      <c r="Q22" s="4"/>
      <c r="R22" s="19"/>
      <c r="S22" s="20"/>
      <c r="T22" s="3"/>
      <c r="U22" s="3" t="str">
        <f t="shared" si="4"/>
        <v/>
      </c>
      <c r="V22" s="4" t="str">
        <f t="shared" si="5"/>
        <v/>
      </c>
      <c r="W22" s="21" t="e" cm="1">
        <f t="array" ref="W22">_xlfn.IFS(
  A22="BELL", "WHITE",
  A22="GAMP", "ORANGE",
  A22="GAMM", "GREEN",
  A22="BWF", "YELLOW",
  OR(A22="TNBE", A22="TNBL", A22="TNBD", A22="TNWC", A22="TNBW", A22="THBS"), "PINK",
  A22="CRWD", "BLUE",
  A22="PASS", "WHITE"
)</f>
        <v>#N/A</v>
      </c>
    </row>
    <row r="23" spans="1:23" x14ac:dyDescent="0.25">
      <c r="A23" s="7"/>
      <c r="B23" s="7"/>
      <c r="C23" s="4"/>
      <c r="G23" s="3"/>
      <c r="I23" s="3"/>
      <c r="J23" s="17"/>
      <c r="K23" s="17"/>
      <c r="L23" s="18"/>
      <c r="M23" s="18"/>
      <c r="P23" s="3"/>
      <c r="Q23" s="4"/>
      <c r="R23" s="19"/>
      <c r="S23" s="20"/>
      <c r="T23" s="3"/>
      <c r="U23" s="3" t="str">
        <f t="shared" si="4"/>
        <v/>
      </c>
      <c r="V23" s="4" t="str">
        <f t="shared" si="5"/>
        <v/>
      </c>
      <c r="W23" s="21" t="e" cm="1">
        <f t="array" ref="W23">_xlfn.IFS(
  A23="BELL", "WHITE",
  A23="GAMP", "ORANGE",
  A23="GAMM", "GREEN",
  A23="BWF", "YELLOW",
  OR(A23="TNBE", A23="TNBL", A23="TNBD", A23="TNWC", A23="TNBW", A23="THBS"), "PINK",
  A23="CRWD", "BLUE",
  A23="PASS", "WHITE"
)</f>
        <v>#N/A</v>
      </c>
    </row>
    <row r="24" spans="1:23" x14ac:dyDescent="0.25">
      <c r="A24" s="7"/>
      <c r="B24" s="7"/>
      <c r="C24" s="4"/>
      <c r="G24" s="3"/>
      <c r="I24" s="3"/>
      <c r="J24" s="17"/>
      <c r="K24" s="17"/>
      <c r="L24" s="18"/>
      <c r="M24" s="3"/>
      <c r="P24" s="3"/>
      <c r="Q24" s="4"/>
      <c r="R24" s="19"/>
      <c r="S24" s="20"/>
      <c r="T24" s="3"/>
      <c r="U24" s="3" t="str">
        <f t="shared" si="4"/>
        <v/>
      </c>
      <c r="V24" s="4" t="str">
        <f t="shared" si="5"/>
        <v/>
      </c>
      <c r="W24" s="21" t="e" cm="1">
        <f t="array" ref="W24">_xlfn.IFS(
  A24="BELL", "WHITE",
  A24="GAMP", "ORANGE",
  A24="GAMM", "GREEN",
  A24="BWF", "YELLOW",
  OR(A24="TNBE", A24="TNBL", A24="TNBD", A24="TNWC", A24="TNBW", A24="THBS"), "PINK",
  A24="CRWD", "BLUE",
  A24="PASS", "WHITE"
)</f>
        <v>#N/A</v>
      </c>
    </row>
    <row r="25" spans="1:23" x14ac:dyDescent="0.25">
      <c r="A25" s="7"/>
      <c r="B25" s="7"/>
      <c r="C25" s="4"/>
      <c r="G25" s="3"/>
      <c r="I25" s="3"/>
      <c r="J25" s="17"/>
      <c r="K25" s="17"/>
      <c r="L25" s="18"/>
      <c r="M25" s="3"/>
      <c r="P25" s="3"/>
      <c r="Q25" s="4"/>
      <c r="R25" s="19"/>
      <c r="S25" s="20"/>
      <c r="T25" s="3"/>
      <c r="U25" s="3" t="str">
        <f t="shared" si="4"/>
        <v/>
      </c>
      <c r="V25" s="4" t="str">
        <f t="shared" si="5"/>
        <v/>
      </c>
      <c r="W25" s="21" t="e" cm="1">
        <f t="array" ref="W25">_xlfn.IFS(
  A25="BELL", "WHITE",
  A25="GAMP", "ORANGE",
  A25="GAMM", "GREEN",
  A25="BWF", "YELLOW",
  OR(A25="TNBE", A25="TNBL", A25="TNBD", A25="TNWC", A25="TNBW", A25="THBS"), "PINK",
  A25="CRWD", "BLUE",
  A25="PASS", "WHITE"
)</f>
        <v>#N/A</v>
      </c>
    </row>
    <row r="26" spans="1:23" x14ac:dyDescent="0.25">
      <c r="A26" s="7"/>
      <c r="B26" s="7"/>
      <c r="C26" s="4"/>
      <c r="G26" s="3"/>
      <c r="I26" s="3"/>
      <c r="J26" s="17"/>
      <c r="K26" s="17"/>
      <c r="L26" s="18"/>
      <c r="M26" s="18"/>
      <c r="P26" s="3"/>
      <c r="Q26" s="4"/>
      <c r="R26" s="19"/>
      <c r="S26" s="20"/>
      <c r="T26" s="3"/>
      <c r="U26" s="3" t="str">
        <f t="shared" si="4"/>
        <v/>
      </c>
      <c r="V26" s="4" t="str">
        <f t="shared" si="5"/>
        <v/>
      </c>
      <c r="W26" s="21" t="e" cm="1">
        <f t="array" ref="W26">_xlfn.IFS(
  A26="BELL", "WHITE",
  A26="GAMP", "ORANGE",
  A26="GAMM", "GREEN",
  A26="BWF", "YELLOW",
  OR(A26="TNBE", A26="TNBL", A26="TNBD", A26="TNWC", A26="TNBW", A26="THBS"), "PINK",
  A26="CRWD", "BLUE",
  A26="PASS", "WHITE"
)</f>
        <v>#N/A</v>
      </c>
    </row>
    <row r="27" spans="1:23" x14ac:dyDescent="0.25">
      <c r="A27" s="7"/>
      <c r="B27" s="7"/>
      <c r="C27" s="4"/>
      <c r="G27" s="3"/>
      <c r="I27" s="3"/>
      <c r="J27" s="17"/>
      <c r="K27" s="17"/>
      <c r="L27" s="18"/>
      <c r="M27" s="3"/>
      <c r="P27" s="3"/>
      <c r="Q27" s="4"/>
      <c r="R27" s="19"/>
      <c r="S27" s="20"/>
      <c r="T27" s="3"/>
      <c r="U27" s="3" t="str">
        <f t="shared" si="4"/>
        <v/>
      </c>
      <c r="V27" s="4" t="str">
        <f t="shared" si="5"/>
        <v/>
      </c>
      <c r="W27" s="21" t="e" cm="1">
        <f t="array" ref="W27">_xlfn.IFS(
  A27="BELL", "WHITE",
  A27="GAMP", "ORANGE",
  A27="GAMM", "GREEN",
  A27="BWF", "YELLOW",
  OR(A27="TNBE", A27="TNBL", A27="TNBD", A27="TNWC", A27="TNBW", A27="THBS"), "PINK",
  A27="CRWD", "BLUE",
  A27="PASS", "WHITE"
)</f>
        <v>#N/A</v>
      </c>
    </row>
    <row r="28" spans="1:23" x14ac:dyDescent="0.25">
      <c r="A28" s="7"/>
      <c r="B28" s="7"/>
      <c r="C28" s="4"/>
      <c r="G28" s="3"/>
      <c r="I28" s="3"/>
      <c r="J28" s="17"/>
      <c r="K28" s="17"/>
      <c r="L28" s="18"/>
      <c r="M28" s="3"/>
      <c r="P28" s="3"/>
      <c r="Q28" s="4"/>
      <c r="R28" s="19"/>
      <c r="S28" s="20"/>
      <c r="T28" s="3"/>
      <c r="U28" s="3" t="str">
        <f t="shared" si="4"/>
        <v/>
      </c>
      <c r="V28" s="4" t="str">
        <f t="shared" si="5"/>
        <v/>
      </c>
      <c r="W28" s="21" t="e" cm="1">
        <f t="array" ref="W28">_xlfn.IFS(
  A28="BELL", "WHITE",
  A28="GAMP", "ORANGE",
  A28="GAMM", "GREEN",
  A28="BWF", "YELLOW",
  OR(A28="TNBE", A28="TNBL", A28="TNBD", A28="TNWC", A28="TNBW", A28="THBS"), "PINK",
  A28="CRWD", "BLUE",
  A28="PASS", "WHITE"
)</f>
        <v>#N/A</v>
      </c>
    </row>
    <row r="29" spans="1:23" x14ac:dyDescent="0.25">
      <c r="A29" s="7"/>
      <c r="B29" s="7"/>
      <c r="C29" s="4"/>
      <c r="G29" s="3"/>
      <c r="I29" s="3"/>
      <c r="J29" s="17"/>
      <c r="K29" s="17"/>
      <c r="L29" s="18"/>
      <c r="M29" s="3"/>
      <c r="P29" s="3"/>
      <c r="Q29" s="4"/>
      <c r="R29" s="19"/>
      <c r="S29" s="20"/>
      <c r="T29" s="3"/>
      <c r="U29" s="3" t="str">
        <f t="shared" si="4"/>
        <v/>
      </c>
      <c r="V29" s="4" t="str">
        <f t="shared" si="5"/>
        <v/>
      </c>
      <c r="W29" s="21" t="e" cm="1">
        <f t="array" ref="W29">_xlfn.IFS(
  A29="BELL", "WHITE",
  A29="GAMP", "ORANGE",
  A29="GAMM", "GREEN",
  A29="BWF", "YELLOW",
  OR(A29="TNBE", A29="TNBL", A29="TNBD", A29="TNWC", A29="TNBW", A29="THBS"), "PINK",
  A29="CRWD", "BLUE",
  A29="PASS", "WHITE"
)</f>
        <v>#N/A</v>
      </c>
    </row>
    <row r="30" spans="1:23" x14ac:dyDescent="0.25">
      <c r="A30" s="7"/>
      <c r="B30" s="7"/>
      <c r="C30" s="4"/>
      <c r="G30" s="3"/>
      <c r="I30" s="3"/>
      <c r="J30" s="17"/>
      <c r="K30" s="17"/>
      <c r="L30" s="18"/>
      <c r="M30" s="18"/>
      <c r="P30" s="3"/>
      <c r="Q30" s="4"/>
      <c r="R30" s="19"/>
      <c r="S30" s="20"/>
      <c r="T30" s="3"/>
      <c r="U30" s="3" t="str">
        <f t="shared" si="4"/>
        <v/>
      </c>
      <c r="V30" s="4" t="str">
        <f t="shared" si="5"/>
        <v/>
      </c>
      <c r="W30" s="21" t="e" cm="1">
        <f t="array" ref="W30">_xlfn.IFS(
  A30="BELL", "WHITE",
  A30="GAMP", "ORANGE",
  A30="GAMM", "GREEN",
  A30="BWF", "YELLOW",
  OR(A30="TNBE", A30="TNBL", A30="TNBD", A30="TNWC", A30="TNBW", A30="THBS"), "PINK",
  A30="CRWD", "BLUE",
  A30="PASS", "WHITE"
)</f>
        <v>#N/A</v>
      </c>
    </row>
    <row r="31" spans="1:23" x14ac:dyDescent="0.25">
      <c r="A31" s="7"/>
      <c r="B31" s="7"/>
      <c r="C31" s="4"/>
      <c r="G31" s="3"/>
      <c r="I31" s="3"/>
      <c r="J31" s="17"/>
      <c r="K31" s="17"/>
      <c r="L31" s="18"/>
      <c r="M31" s="3"/>
      <c r="P31" s="3"/>
      <c r="Q31" s="4"/>
      <c r="R31" s="19"/>
      <c r="S31" s="20"/>
      <c r="T31" s="3"/>
      <c r="U31" s="3" t="str">
        <f t="shared" si="4"/>
        <v/>
      </c>
      <c r="V31" s="4" t="str">
        <f t="shared" si="5"/>
        <v/>
      </c>
      <c r="W31" s="21" t="e" cm="1">
        <f t="array" ref="W31">_xlfn.IFS(
  A31="BELL", "WHITE",
  A31="GAMP", "ORANGE",
  A31="GAMM", "GREEN",
  A31="BWF", "YELLOW",
  OR(A31="TNBE", A31="TNBL", A31="TNBD", A31="TNWC", A31="TNBW", A31="THBS"), "PINK",
  A31="CRWD", "BLUE",
  A31="PASS", "WHITE"
)</f>
        <v>#N/A</v>
      </c>
    </row>
    <row r="32" spans="1:23" x14ac:dyDescent="0.25">
      <c r="A32" s="7"/>
      <c r="B32" s="7"/>
      <c r="C32" s="4"/>
      <c r="G32" s="3"/>
      <c r="I32" s="3"/>
      <c r="J32" s="17"/>
      <c r="K32" s="17"/>
      <c r="L32" s="18"/>
      <c r="M32" s="3"/>
      <c r="P32" s="3"/>
      <c r="Q32" s="4"/>
      <c r="R32" s="19"/>
      <c r="S32" s="20"/>
      <c r="T32" s="3"/>
      <c r="U32" s="3" t="str">
        <f t="shared" si="4"/>
        <v/>
      </c>
      <c r="V32" s="4" t="str">
        <f t="shared" si="5"/>
        <v/>
      </c>
      <c r="W32" s="21" t="e" cm="1">
        <f t="array" ref="W32">_xlfn.IFS(
  A32="BELL", "WHITE",
  A32="GAMP", "ORANGE",
  A32="GAMM", "GREEN",
  A32="BWF", "YELLOW",
  OR(A32="TNBE", A32="TNBL", A32="TNBD", A32="TNWC", A32="TNBW", A32="THBS"), "PINK",
  A32="CRWD", "BLUE",
  A32="PASS", "WHITE"
)</f>
        <v>#N/A</v>
      </c>
    </row>
    <row r="33" spans="1:23" x14ac:dyDescent="0.25">
      <c r="A33" s="7"/>
      <c r="B33" s="7"/>
      <c r="C33" s="4"/>
      <c r="G33" s="3"/>
      <c r="I33" s="3"/>
      <c r="J33" s="17"/>
      <c r="K33" s="17"/>
      <c r="L33" s="18"/>
      <c r="M33" s="3"/>
      <c r="P33" s="3"/>
      <c r="Q33" s="4"/>
      <c r="R33" s="19"/>
      <c r="S33" s="20"/>
      <c r="T33" s="3"/>
      <c r="U33" s="3" t="str">
        <f t="shared" si="4"/>
        <v/>
      </c>
      <c r="V33" s="4" t="str">
        <f t="shared" si="5"/>
        <v/>
      </c>
      <c r="W33" s="21" t="e" cm="1">
        <f t="array" ref="W33">_xlfn.IFS(
  A33="BELL", "WHITE",
  A33="GAMP", "ORANGE",
  A33="GAMM", "GREEN",
  A33="BWF", "YELLOW",
  OR(A33="TNBE", A33="TNBL", A33="TNBD", A33="TNWC", A33="TNBW", A33="THBS"), "PINK",
  A33="CRWD", "BLUE",
  A33="PASS", "WHITE"
)</f>
        <v>#N/A</v>
      </c>
    </row>
    <row r="34" spans="1:23" x14ac:dyDescent="0.25">
      <c r="A34" s="7"/>
      <c r="B34" s="7"/>
      <c r="C34" s="4"/>
      <c r="G34" s="3"/>
      <c r="I34" s="3"/>
      <c r="J34" s="17"/>
      <c r="K34" s="17"/>
      <c r="L34" s="18"/>
      <c r="M34" s="18"/>
      <c r="P34" s="3"/>
      <c r="Q34" s="4"/>
      <c r="R34" s="19"/>
      <c r="S34" s="20"/>
      <c r="T34" s="3"/>
      <c r="U34" s="3" t="str">
        <f t="shared" si="4"/>
        <v/>
      </c>
      <c r="V34" s="4" t="str">
        <f t="shared" si="5"/>
        <v/>
      </c>
      <c r="W34" s="21" t="e" cm="1">
        <f t="array" ref="W34">_xlfn.IFS(
  A34="BELL", "WHITE",
  A34="GAMP", "ORANGE",
  A34="GAMM", "GREEN",
  A34="BWF", "YELLOW",
  OR(A34="TNBE", A34="TNBL", A34="TNBD", A34="TNWC", A34="TNBW", A34="THBS"), "PINK",
  A34="CRWD", "BLUE",
  A34="PASS", "WHITE"
)</f>
        <v>#N/A</v>
      </c>
    </row>
    <row r="35" spans="1:23" x14ac:dyDescent="0.25">
      <c r="A35" s="7"/>
      <c r="B35" s="7"/>
      <c r="C35" s="4"/>
      <c r="G35" s="3"/>
      <c r="I35" s="3"/>
      <c r="J35" s="17"/>
      <c r="K35" s="17"/>
      <c r="L35" s="18"/>
      <c r="M35" s="3"/>
      <c r="P35" s="3"/>
      <c r="Q35" s="4"/>
      <c r="R35" s="19"/>
      <c r="S35" s="20"/>
      <c r="T35" s="3"/>
      <c r="U35" s="3" t="str">
        <f t="shared" si="4"/>
        <v/>
      </c>
      <c r="V35" s="4" t="str">
        <f t="shared" si="5"/>
        <v/>
      </c>
      <c r="W35" s="21" t="e" cm="1">
        <f t="array" ref="W35">_xlfn.IFS(
  A35="BELL", "WHITE",
  A35="GAMP", "ORANGE",
  A35="GAMM", "GREEN",
  A35="BWF", "YELLOW",
  OR(A35="TNBE", A35="TNBL", A35="TNBD", A35="TNWC", A35="TNBW", A35="THBS"), "PINK",
  A35="CRWD", "BLUE",
  A35="PASS", "WHITE"
)</f>
        <v>#N/A</v>
      </c>
    </row>
    <row r="36" spans="1:23" x14ac:dyDescent="0.25">
      <c r="A36" s="7"/>
      <c r="B36" s="7"/>
      <c r="C36" s="4"/>
      <c r="G36" s="3"/>
      <c r="I36" s="3"/>
      <c r="J36" s="17"/>
      <c r="K36" s="17"/>
      <c r="L36" s="18"/>
      <c r="M36" s="18"/>
      <c r="P36" s="3"/>
      <c r="Q36" s="4"/>
      <c r="R36" s="19"/>
      <c r="S36" s="20"/>
      <c r="T36" s="3"/>
      <c r="U36" s="3" t="str">
        <f t="shared" si="4"/>
        <v/>
      </c>
      <c r="V36" s="4" t="str">
        <f t="shared" si="5"/>
        <v/>
      </c>
      <c r="W36" s="21" t="e" cm="1">
        <f t="array" ref="W36">_xlfn.IFS(
  A36="BELL", "WHITE",
  A36="GAMP", "ORANGE",
  A36="GAMM", "GREEN",
  A36="BWF", "YELLOW",
  OR(A36="TNBE", A36="TNBL", A36="TNBD", A36="TNWC", A36="TNBW", A36="THBS"), "PINK",
  A36="CRWD", "BLUE",
  A36="PASS", "WHITE"
)</f>
        <v>#N/A</v>
      </c>
    </row>
    <row r="37" spans="1:23" x14ac:dyDescent="0.25">
      <c r="A37" s="7"/>
      <c r="B37" s="7"/>
      <c r="C37" s="4"/>
      <c r="G37" s="3"/>
      <c r="I37" s="3"/>
      <c r="J37" s="17"/>
      <c r="K37" s="17"/>
      <c r="L37" s="18"/>
      <c r="M37" s="3"/>
      <c r="P37" s="3"/>
      <c r="Q37" s="4"/>
      <c r="R37" s="19"/>
      <c r="S37" s="20"/>
      <c r="T37" s="3"/>
      <c r="U37" s="3" t="str">
        <f t="shared" si="4"/>
        <v/>
      </c>
      <c r="V37" s="4" t="str">
        <f t="shared" si="5"/>
        <v/>
      </c>
      <c r="W37" s="21" t="e" cm="1">
        <f t="array" ref="W37">_xlfn.IFS(
  A37="BELL", "WHITE",
  A37="GAMP", "ORANGE",
  A37="GAMM", "GREEN",
  A37="BWF", "YELLOW",
  OR(A37="TNBE", A37="TNBL", A37="TNBD", A37="TNWC", A37="TNBW", A37="THBS"), "PINK",
  A37="CRWD", "BLUE",
  A37="PASS", "WHITE"
)</f>
        <v>#N/A</v>
      </c>
    </row>
    <row r="38" spans="1:23" x14ac:dyDescent="0.25">
      <c r="A38" s="7"/>
      <c r="B38" s="7"/>
      <c r="C38" s="4"/>
      <c r="G38" s="3"/>
      <c r="I38" s="3"/>
      <c r="J38" s="17"/>
      <c r="K38" s="17"/>
      <c r="L38" s="18"/>
      <c r="M38" s="3"/>
      <c r="P38" s="3"/>
      <c r="Q38" s="4"/>
      <c r="R38" s="19"/>
      <c r="S38" s="20"/>
      <c r="T38" s="3"/>
      <c r="U38" s="3" t="str">
        <f t="shared" si="4"/>
        <v/>
      </c>
      <c r="V38" s="4" t="str">
        <f t="shared" si="5"/>
        <v/>
      </c>
      <c r="W38" s="21" t="e" cm="1">
        <f t="array" ref="W38">_xlfn.IFS(
  A38="BELL", "WHITE",
  A38="GAMP", "ORANGE",
  A38="GAMM", "GREEN",
  A38="BWF", "YELLOW",
  OR(A38="TNBE", A38="TNBL", A38="TNBD", A38="TNWC", A38="TNBW", A38="THBS"), "PINK",
  A38="CRWD", "BLUE",
  A38="PASS", "WHITE"
)</f>
        <v>#N/A</v>
      </c>
    </row>
    <row r="39" spans="1:23" x14ac:dyDescent="0.25">
      <c r="A39" s="7"/>
      <c r="B39" s="7"/>
      <c r="C39" s="4"/>
      <c r="G39" s="3"/>
      <c r="I39" s="3"/>
      <c r="J39" s="17"/>
      <c r="K39" s="17"/>
      <c r="L39" s="18"/>
      <c r="M39" s="3"/>
      <c r="P39" s="3"/>
      <c r="Q39" s="4"/>
      <c r="R39" s="19"/>
      <c r="S39" s="20"/>
      <c r="T39" s="3"/>
      <c r="U39" s="3" t="str">
        <f t="shared" si="4"/>
        <v/>
      </c>
      <c r="V39" s="4" t="str">
        <f t="shared" si="5"/>
        <v/>
      </c>
      <c r="W39" s="21" t="e" cm="1">
        <f t="array" ref="W39">_xlfn.IFS(
  A39="BELL", "WHITE",
  A39="GAMP", "ORANGE",
  A39="GAMM", "GREEN",
  A39="BWF", "YELLOW",
  OR(A39="TNBE", A39="TNBL", A39="TNBD", A39="TNWC", A39="TNBW", A39="THBS"), "PINK",
  A39="CRWD", "BLUE",
  A39="PASS", "WHITE"
)</f>
        <v>#N/A</v>
      </c>
    </row>
    <row r="40" spans="1:23" x14ac:dyDescent="0.25">
      <c r="A40" s="7"/>
      <c r="B40" s="7"/>
      <c r="C40" s="4"/>
      <c r="G40" s="3"/>
      <c r="I40" s="3"/>
      <c r="J40" s="17"/>
      <c r="K40" s="17"/>
      <c r="L40" s="18"/>
      <c r="M40" s="18"/>
      <c r="P40" s="3"/>
      <c r="Q40" s="4"/>
      <c r="R40" s="19"/>
      <c r="S40" s="20"/>
      <c r="T40" s="3"/>
      <c r="U40" s="3" t="str">
        <f t="shared" si="4"/>
        <v/>
      </c>
      <c r="V40" s="4" t="str">
        <f t="shared" si="5"/>
        <v/>
      </c>
      <c r="W40" s="21" t="e" cm="1">
        <f t="array" ref="W40">_xlfn.IFS(
  A40="BELL", "WHITE",
  A40="GAMP", "ORANGE",
  A40="GAMM", "GREEN",
  A40="BWF", "YELLOW",
  OR(A40="TNBE", A40="TNBL", A40="TNBD", A40="TNWC", A40="TNBW", A40="THBS"), "PINK",
  A40="CRWD", "BLUE",
  A40="PASS", "WHITE"
)</f>
        <v>#N/A</v>
      </c>
    </row>
    <row r="41" spans="1:23" x14ac:dyDescent="0.25">
      <c r="A41" s="7"/>
      <c r="B41" s="7"/>
      <c r="C41" s="4"/>
      <c r="G41" s="3"/>
      <c r="I41" s="3"/>
      <c r="J41" s="17"/>
      <c r="K41" s="17"/>
      <c r="L41" s="18"/>
      <c r="M41" s="3"/>
      <c r="P41" s="3"/>
      <c r="Q41" s="4"/>
      <c r="R41" s="19"/>
      <c r="S41" s="20"/>
      <c r="T41" s="3"/>
      <c r="U41" s="3" t="str">
        <f t="shared" si="4"/>
        <v/>
      </c>
      <c r="V41" s="4" t="str">
        <f t="shared" si="5"/>
        <v/>
      </c>
      <c r="W41" s="21" t="e" cm="1">
        <f t="array" ref="W41">_xlfn.IFS(
  A41="BELL", "WHITE",
  A41="GAMP", "ORANGE",
  A41="GAMM", "GREEN",
  A41="BWF", "YELLOW",
  OR(A41="TNBE", A41="TNBL", A41="TNBD", A41="TNWC", A41="TNBW", A41="THBS"), "PINK",
  A41="CRWD", "BLUE",
  A41="PASS", "WHITE"
)</f>
        <v>#N/A</v>
      </c>
    </row>
    <row r="42" spans="1:23" x14ac:dyDescent="0.25">
      <c r="A42" s="7"/>
      <c r="B42" s="7"/>
      <c r="C42" s="4"/>
      <c r="G42" s="3"/>
      <c r="I42" s="3"/>
      <c r="J42" s="17"/>
      <c r="K42" s="17"/>
      <c r="L42" s="18"/>
      <c r="M42" s="18"/>
      <c r="P42" s="3"/>
      <c r="Q42" s="4"/>
      <c r="R42" s="19"/>
      <c r="S42" s="20"/>
      <c r="T42" s="3"/>
      <c r="U42" s="3" t="str">
        <f t="shared" si="4"/>
        <v/>
      </c>
      <c r="V42" s="4" t="str">
        <f t="shared" si="5"/>
        <v/>
      </c>
      <c r="W42" s="21" t="e" cm="1">
        <f t="array" ref="W42">_xlfn.IFS(
  A42="BELL", "WHITE",
  A42="GAMP", "ORANGE",
  A42="GAMM", "GREEN",
  A42="BWF", "YELLOW",
  OR(A42="TNBE", A42="TNBL", A42="TNBD", A42="TNWC", A42="TNBW", A42="THBS"), "PINK",
  A42="CRWD", "BLUE",
  A42="PASS", "WHITE"
)</f>
        <v>#N/A</v>
      </c>
    </row>
    <row r="43" spans="1:23" x14ac:dyDescent="0.25">
      <c r="A43" s="7"/>
      <c r="B43" s="7"/>
      <c r="C43" s="4"/>
      <c r="G43" s="3"/>
      <c r="I43" s="3"/>
      <c r="J43" s="17"/>
      <c r="K43" s="17"/>
      <c r="L43" s="18"/>
      <c r="M43" s="3"/>
      <c r="P43" s="3"/>
      <c r="Q43" s="4"/>
      <c r="R43" s="19"/>
      <c r="S43" s="20"/>
      <c r="T43" s="3"/>
      <c r="U43" s="3" t="str">
        <f t="shared" si="4"/>
        <v/>
      </c>
      <c r="V43" s="4" t="str">
        <f t="shared" si="5"/>
        <v/>
      </c>
      <c r="W43" s="21" t="e" cm="1">
        <f t="array" ref="W43">_xlfn.IFS(
  A43="BELL", "WHITE",
  A43="GAMP", "ORANGE",
  A43="GAMM", "GREEN",
  A43="BWF", "YELLOW",
  OR(A43="TNBE", A43="TNBL", A43="TNBD", A43="TNWC", A43="TNBW", A43="THBS"), "PINK",
  A43="CRWD", "BLUE",
  A43="PASS", "WHITE"
)</f>
        <v>#N/A</v>
      </c>
    </row>
    <row r="44" spans="1:23" x14ac:dyDescent="0.25">
      <c r="A44" s="7"/>
      <c r="B44" s="7"/>
      <c r="C44" s="4"/>
      <c r="G44" s="3"/>
      <c r="I44" s="3"/>
      <c r="J44" s="17"/>
      <c r="K44" s="17"/>
      <c r="L44" s="18"/>
      <c r="M44" s="18"/>
      <c r="P44" s="3"/>
      <c r="Q44" s="4"/>
      <c r="R44" s="19"/>
      <c r="S44" s="20"/>
      <c r="T44" s="3"/>
      <c r="U44" s="3" t="str">
        <f t="shared" si="4"/>
        <v/>
      </c>
      <c r="V44" s="4" t="str">
        <f t="shared" si="5"/>
        <v/>
      </c>
      <c r="W44" s="21" t="e" cm="1">
        <f t="array" ref="W44">_xlfn.IFS(
  A44="BELL", "WHITE",
  A44="GAMP", "ORANGE",
  A44="GAMM", "GREEN",
  A44="BWF", "YELLOW",
  OR(A44="TNBE", A44="TNBL", A44="TNBD", A44="TNWC", A44="TNBW", A44="THBS"), "PINK",
  A44="CRWD", "BLUE",
  A44="PASS", "WHITE"
)</f>
        <v>#N/A</v>
      </c>
    </row>
    <row r="45" spans="1:23" x14ac:dyDescent="0.25">
      <c r="A45" s="7"/>
      <c r="B45" s="7"/>
      <c r="C45" s="4"/>
      <c r="G45" s="3"/>
      <c r="I45" s="3"/>
      <c r="J45" s="17"/>
      <c r="K45" s="17"/>
      <c r="L45" s="18"/>
      <c r="M45" s="3"/>
      <c r="P45" s="3"/>
      <c r="Q45" s="4"/>
      <c r="R45" s="19"/>
      <c r="S45" s="20"/>
      <c r="T45" s="3"/>
      <c r="U45" s="3" t="str">
        <f t="shared" si="4"/>
        <v/>
      </c>
      <c r="V45" s="4" t="str">
        <f t="shared" si="5"/>
        <v/>
      </c>
      <c r="W45" s="21" t="e" cm="1">
        <f t="array" ref="W45">_xlfn.IFS(
  A45="BELL", "WHITE",
  A45="GAMP", "ORANGE",
  A45="GAMM", "GREEN",
  A45="BWF", "YELLOW",
  OR(A45="TNBE", A45="TNBL", A45="TNBD", A45="TNWC", A45="TNBW", A45="THBS"), "PINK",
  A45="CRWD", "BLUE",
  A45="PASS", "WHITE"
)</f>
        <v>#N/A</v>
      </c>
    </row>
    <row r="46" spans="1:23" x14ac:dyDescent="0.25">
      <c r="A46" s="7"/>
      <c r="B46" s="7"/>
      <c r="C46" s="4"/>
      <c r="G46" s="3"/>
      <c r="I46" s="3"/>
      <c r="J46" s="17"/>
      <c r="K46" s="17"/>
      <c r="L46" s="18"/>
      <c r="M46" s="18"/>
      <c r="P46" s="3"/>
      <c r="Q46" s="4"/>
      <c r="R46" s="19"/>
      <c r="S46" s="20"/>
      <c r="T46" s="3"/>
      <c r="U46" s="3" t="str">
        <f t="shared" si="4"/>
        <v/>
      </c>
      <c r="V46" s="4" t="str">
        <f t="shared" si="5"/>
        <v/>
      </c>
      <c r="W46" s="21" t="e" cm="1">
        <f t="array" ref="W46">_xlfn.IFS(
  A46="BELL", "WHITE",
  A46="GAMP", "ORANGE",
  A46="GAMM", "GREEN",
  A46="BWF", "YELLOW",
  OR(A46="TNBE", A46="TNBL", A46="TNBD", A46="TNWC", A46="TNBW", A46="THBS"), "PINK",
  A46="CRWD", "BLUE",
  A46="PASS", "WHITE"
)</f>
        <v>#N/A</v>
      </c>
    </row>
    <row r="47" spans="1:23" x14ac:dyDescent="0.25">
      <c r="A47" s="7"/>
      <c r="B47" s="7"/>
      <c r="C47" s="4"/>
      <c r="G47" s="3"/>
      <c r="I47" s="3"/>
      <c r="J47" s="17"/>
      <c r="K47" s="17"/>
      <c r="L47" s="18"/>
      <c r="M47" s="3"/>
      <c r="P47" s="3"/>
      <c r="Q47" s="4"/>
      <c r="R47" s="19"/>
      <c r="S47" s="20"/>
      <c r="T47" s="3"/>
      <c r="U47" s="3" t="str">
        <f t="shared" si="4"/>
        <v/>
      </c>
      <c r="V47" s="4" t="str">
        <f t="shared" si="5"/>
        <v/>
      </c>
      <c r="W47" s="21" t="e" cm="1">
        <f t="array" ref="W47">_xlfn.IFS(
  A47="BELL", "WHITE",
  A47="GAMP", "ORANGE",
  A47="GAMM", "GREEN",
  A47="BWF", "YELLOW",
  OR(A47="TNBE", A47="TNBL", A47="TNBD", A47="TNWC", A47="TNBW", A47="THBS"), "PINK",
  A47="CRWD", "BLUE",
  A47="PASS", "WHITE"
)</f>
        <v>#N/A</v>
      </c>
    </row>
    <row r="48" spans="1:23" x14ac:dyDescent="0.25">
      <c r="A48" s="7"/>
      <c r="B48" s="7"/>
      <c r="C48" s="4"/>
      <c r="G48" s="3"/>
      <c r="I48" s="3"/>
      <c r="J48" s="17"/>
      <c r="K48" s="17"/>
      <c r="L48" s="18"/>
      <c r="M48" s="18"/>
      <c r="P48" s="3"/>
      <c r="Q48" s="4"/>
      <c r="R48" s="19"/>
      <c r="S48" s="20"/>
      <c r="T48" s="3"/>
      <c r="U48" s="3" t="str">
        <f t="shared" si="4"/>
        <v/>
      </c>
      <c r="V48" s="4" t="str">
        <f t="shared" si="5"/>
        <v/>
      </c>
      <c r="W48" s="21" t="e" cm="1">
        <f t="array" ref="W48">_xlfn.IFS(
  A48="BELL", "WHITE",
  A48="GAMP", "ORANGE",
  A48="GAMM", "GREEN",
  A48="BWF", "YELLOW",
  OR(A48="TNBE", A48="TNBL", A48="TNBD", A48="TNWC", A48="TNBW", A48="THBS"), "PINK",
  A48="CRWD", "BLUE",
  A48="PASS", "WHITE"
)</f>
        <v>#N/A</v>
      </c>
    </row>
    <row r="49" spans="1:23" x14ac:dyDescent="0.25">
      <c r="A49" s="7"/>
      <c r="B49" s="7"/>
      <c r="C49" s="4"/>
      <c r="G49" s="3"/>
      <c r="I49" s="3"/>
      <c r="J49" s="17"/>
      <c r="K49" s="17"/>
      <c r="L49" s="18"/>
      <c r="M49" s="3"/>
      <c r="P49" s="3"/>
      <c r="Q49" s="4"/>
      <c r="R49" s="19"/>
      <c r="S49" s="20"/>
      <c r="T49" s="3"/>
      <c r="U49" s="3" t="str">
        <f t="shared" si="4"/>
        <v/>
      </c>
      <c r="V49" s="4" t="str">
        <f t="shared" si="5"/>
        <v/>
      </c>
      <c r="W49" s="21" t="e" cm="1">
        <f t="array" ref="W49">_xlfn.IFS(
  A49="BELL", "WHITE",
  A49="GAMP", "ORANGE",
  A49="GAMM", "GREEN",
  A49="BWF", "YELLOW",
  OR(A49="TNBE", A49="TNBL", A49="TNBD", A49="TNWC", A49="TNBW", A49="THBS"), "PINK",
  A49="CRWD", "BLUE",
  A49="PASS", "WHITE"
)</f>
        <v>#N/A</v>
      </c>
    </row>
    <row r="50" spans="1:23" x14ac:dyDescent="0.25">
      <c r="A50" s="7"/>
      <c r="B50" s="7"/>
      <c r="C50" s="4"/>
      <c r="G50" s="3"/>
      <c r="I50" s="3"/>
      <c r="J50" s="17"/>
      <c r="K50" s="17"/>
      <c r="L50" s="18"/>
      <c r="M50" s="18"/>
      <c r="P50" s="3"/>
      <c r="Q50" s="4"/>
      <c r="R50" s="19"/>
      <c r="S50" s="20"/>
      <c r="T50" s="3"/>
      <c r="U50" s="3" t="str">
        <f t="shared" si="4"/>
        <v/>
      </c>
      <c r="V50" s="4" t="str">
        <f t="shared" si="5"/>
        <v/>
      </c>
      <c r="W50" s="21" t="e" cm="1">
        <f t="array" ref="W50">_xlfn.IFS(
  A50="BELL", "WHITE",
  A50="GAMP", "ORANGE",
  A50="GAMM", "GREEN",
  A50="BWF", "YELLOW",
  OR(A50="TNBE", A50="TNBL", A50="TNBD", A50="TNWC", A50="TNBW", A50="THBS"), "PINK",
  A50="CRWD", "BLUE",
  A50="PASS", "WHITE"
)</f>
        <v>#N/A</v>
      </c>
    </row>
    <row r="51" spans="1:23" x14ac:dyDescent="0.25">
      <c r="A51" s="7"/>
      <c r="B51" s="7"/>
      <c r="C51" s="4"/>
      <c r="G51" s="3"/>
      <c r="I51" s="3"/>
      <c r="J51" s="17"/>
      <c r="K51" s="17"/>
      <c r="L51" s="18"/>
      <c r="M51" s="3"/>
      <c r="P51" s="3"/>
      <c r="Q51" s="4"/>
      <c r="R51" s="19"/>
      <c r="S51" s="20"/>
      <c r="T51" s="3"/>
      <c r="U51" s="3" t="str">
        <f t="shared" si="4"/>
        <v/>
      </c>
      <c r="V51" s="4" t="str">
        <f t="shared" si="5"/>
        <v/>
      </c>
      <c r="W51" s="21" t="e" cm="1">
        <f t="array" ref="W51">_xlfn.IFS(
  A51="BELL", "WHITE",
  A51="GAMP", "ORANGE",
  A51="GAMM", "GREEN",
  A51="BWF", "YELLOW",
  OR(A51="TNBE", A51="TNBL", A51="TNBD", A51="TNWC", A51="TNBW", A51="THBS"), "PINK",
  A51="CRWD", "BLUE",
  A51="PASS", "WHITE"
)</f>
        <v>#N/A</v>
      </c>
    </row>
    <row r="52" spans="1:23" x14ac:dyDescent="0.25">
      <c r="A52" s="7"/>
      <c r="B52" s="7"/>
      <c r="C52" s="4"/>
      <c r="G52" s="3"/>
      <c r="I52" s="3"/>
      <c r="J52" s="17"/>
      <c r="K52" s="17"/>
      <c r="L52" s="18"/>
      <c r="M52" s="18"/>
      <c r="P52" s="3"/>
      <c r="Q52" s="4"/>
      <c r="R52" s="19"/>
      <c r="S52" s="20"/>
      <c r="T52" s="3"/>
      <c r="U52" s="3" t="str">
        <f t="shared" si="4"/>
        <v/>
      </c>
      <c r="V52" s="4" t="str">
        <f t="shared" si="5"/>
        <v/>
      </c>
      <c r="W52" s="21" t="e" cm="1">
        <f t="array" ref="W52">_xlfn.IFS(
  A52="BELL", "WHITE",
  A52="GAMP", "ORANGE",
  A52="GAMM", "GREEN",
  A52="BWF", "YELLOW",
  OR(A52="TNBE", A52="TNBL", A52="TNBD", A52="TNWC", A52="TNBW", A52="THBS"), "PINK",
  A52="CRWD", "BLUE",
  A52="PASS", "WHITE"
)</f>
        <v>#N/A</v>
      </c>
    </row>
    <row r="53" spans="1:23" x14ac:dyDescent="0.25">
      <c r="A53" s="7"/>
      <c r="B53" s="7"/>
      <c r="C53" s="4"/>
      <c r="G53" s="3"/>
      <c r="I53" s="3"/>
      <c r="J53" s="17"/>
      <c r="K53" s="17"/>
      <c r="L53" s="18"/>
      <c r="M53" s="3"/>
      <c r="P53" s="3"/>
      <c r="Q53" s="4"/>
      <c r="R53" s="19"/>
      <c r="S53" s="20"/>
      <c r="T53" s="3"/>
      <c r="U53" s="3" t="str">
        <f t="shared" si="4"/>
        <v/>
      </c>
      <c r="V53" s="4" t="str">
        <f t="shared" si="5"/>
        <v/>
      </c>
      <c r="W53" s="21" t="e" cm="1">
        <f t="array" ref="W53">_xlfn.IFS(
  A53="BELL", "WHITE",
  A53="GAMP", "ORANGE",
  A53="GAMM", "GREEN",
  A53="BWF", "YELLOW",
  OR(A53="TNBE", A53="TNBL", A53="TNBD", A53="TNWC", A53="TNBW", A53="THBS"), "PINK",
  A53="CRWD", "BLUE",
  A53="PASS", "WHITE"
)</f>
        <v>#N/A</v>
      </c>
    </row>
    <row r="54" spans="1:23" x14ac:dyDescent="0.25">
      <c r="A54" s="7"/>
      <c r="B54" s="7"/>
      <c r="C54" s="4"/>
      <c r="G54" s="3"/>
      <c r="I54" s="3"/>
      <c r="J54" s="17"/>
      <c r="K54" s="17"/>
      <c r="L54" s="18"/>
      <c r="M54" s="18"/>
      <c r="P54" s="3"/>
      <c r="Q54" s="4"/>
      <c r="R54" s="19"/>
      <c r="S54" s="20"/>
      <c r="T54" s="3"/>
      <c r="U54" s="3" t="str">
        <f t="shared" si="4"/>
        <v/>
      </c>
      <c r="V54" s="4" t="str">
        <f t="shared" si="5"/>
        <v/>
      </c>
      <c r="W54" s="21" t="e" cm="1">
        <f t="array" ref="W54">_xlfn.IFS(
  A54="BELL", "WHITE",
  A54="GAMP", "ORANGE",
  A54="GAMM", "GREEN",
  A54="BWF", "YELLOW",
  OR(A54="TNBE", A54="TNBL", A54="TNBD", A54="TNWC", A54="TNBW", A54="THBS"), "PINK",
  A54="CRWD", "BLUE",
  A54="PASS", "WHITE"
)</f>
        <v>#N/A</v>
      </c>
    </row>
    <row r="55" spans="1:23" x14ac:dyDescent="0.25">
      <c r="A55" s="7"/>
      <c r="B55" s="7"/>
      <c r="C55" s="4"/>
      <c r="G55" s="3"/>
      <c r="I55" s="3"/>
      <c r="J55" s="17"/>
      <c r="K55" s="17"/>
      <c r="L55" s="18"/>
      <c r="M55" s="3"/>
      <c r="P55" s="3"/>
      <c r="Q55" s="4"/>
      <c r="R55" s="19"/>
      <c r="S55" s="20"/>
      <c r="T55" s="3"/>
      <c r="U55" s="3" t="str">
        <f t="shared" si="4"/>
        <v/>
      </c>
      <c r="V55" s="4" t="str">
        <f t="shared" si="5"/>
        <v/>
      </c>
      <c r="W55" s="21" t="e" cm="1">
        <f t="array" ref="W55">_xlfn.IFS(
  A55="BELL", "WHITE",
  A55="GAMP", "ORANGE",
  A55="GAMM", "GREEN",
  A55="BWF", "YELLOW",
  OR(A55="TNBE", A55="TNBL", A55="TNBD", A55="TNWC", A55="TNBW", A55="THBS"), "PINK",
  A55="CRWD", "BLUE",
  A55="PASS", "WHITE"
)</f>
        <v>#N/A</v>
      </c>
    </row>
    <row r="56" spans="1:23" x14ac:dyDescent="0.25">
      <c r="A56" s="7"/>
      <c r="B56" s="7"/>
      <c r="C56" s="4"/>
      <c r="G56" s="3"/>
      <c r="I56" s="3"/>
      <c r="J56" s="17"/>
      <c r="K56" s="17"/>
      <c r="L56" s="18"/>
      <c r="M56" s="18"/>
      <c r="P56" s="3"/>
      <c r="Q56" s="4"/>
      <c r="R56" s="19"/>
      <c r="S56" s="20"/>
      <c r="T56" s="3"/>
      <c r="U56" s="3" t="str">
        <f t="shared" si="4"/>
        <v/>
      </c>
      <c r="V56" s="4" t="str">
        <f t="shared" si="5"/>
        <v/>
      </c>
      <c r="W56" s="21" t="e" cm="1">
        <f t="array" ref="W56">_xlfn.IFS(
  A56="BELL", "WHITE",
  A56="GAMP", "ORANGE",
  A56="GAMM", "GREEN",
  A56="BWF", "YELLOW",
  OR(A56="TNBE", A56="TNBL", A56="TNBD", A56="TNWC", A56="TNBW", A56="THBS"), "PINK",
  A56="CRWD", "BLUE",
  A56="PASS", "WHITE"
)</f>
        <v>#N/A</v>
      </c>
    </row>
    <row r="57" spans="1:23" x14ac:dyDescent="0.25">
      <c r="A57" s="7"/>
      <c r="B57" s="7"/>
      <c r="C57" s="4"/>
      <c r="G57" s="3"/>
      <c r="I57" s="3"/>
      <c r="J57" s="17"/>
      <c r="K57" s="17"/>
      <c r="L57" s="18"/>
      <c r="M57" s="3"/>
      <c r="P57" s="3"/>
      <c r="Q57" s="4"/>
      <c r="R57" s="19"/>
      <c r="S57" s="20"/>
      <c r="T57" s="3"/>
      <c r="U57" s="3" t="str">
        <f t="shared" si="4"/>
        <v/>
      </c>
      <c r="V57" s="4" t="str">
        <f t="shared" si="5"/>
        <v/>
      </c>
      <c r="W57" s="21" t="e" cm="1">
        <f t="array" ref="W57">_xlfn.IFS(
  A57="BELL", "WHITE",
  A57="GAMP", "ORANGE",
  A57="GAMM", "GREEN",
  A57="BWF", "YELLOW",
  OR(A57="TNBE", A57="TNBL", A57="TNBD", A57="TNWC", A57="TNBW", A57="THBS"), "PINK",
  A57="CRWD", "BLUE",
  A57="PASS", "WHITE"
)</f>
        <v>#N/A</v>
      </c>
    </row>
    <row r="58" spans="1:23" x14ac:dyDescent="0.25">
      <c r="A58" s="7"/>
      <c r="B58" s="7"/>
      <c r="C58" s="4"/>
      <c r="G58" s="3"/>
      <c r="I58" s="3"/>
      <c r="J58" s="17"/>
      <c r="K58" s="17"/>
      <c r="L58" s="18"/>
      <c r="M58" s="18"/>
      <c r="P58" s="3"/>
      <c r="Q58" s="4"/>
      <c r="R58" s="19"/>
      <c r="S58" s="20"/>
      <c r="T58" s="3"/>
      <c r="U58" s="3" t="str">
        <f t="shared" si="4"/>
        <v/>
      </c>
      <c r="V58" s="4" t="str">
        <f t="shared" si="5"/>
        <v/>
      </c>
      <c r="W58" s="21" t="e" cm="1">
        <f t="array" ref="W58">_xlfn.IFS(
  A58="BELL", "WHITE",
  A58="GAMP", "ORANGE",
  A58="GAMM", "GREEN",
  A58="BWF", "YELLOW",
  OR(A58="TNBE", A58="TNBL", A58="TNBD", A58="TNWC", A58="TNBW", A58="THBS"), "PINK",
  A58="CRWD", "BLUE",
  A58="PASS", "WHITE"
)</f>
        <v>#N/A</v>
      </c>
    </row>
    <row r="59" spans="1:23" x14ac:dyDescent="0.25">
      <c r="A59" s="7"/>
      <c r="B59" s="7"/>
      <c r="C59" s="4"/>
      <c r="G59" s="3"/>
      <c r="I59" s="3"/>
      <c r="J59" s="17"/>
      <c r="K59" s="17"/>
      <c r="L59" s="18"/>
      <c r="M59" s="3"/>
      <c r="P59" s="3"/>
      <c r="Q59" s="4"/>
      <c r="R59" s="19"/>
      <c r="S59" s="20"/>
      <c r="T59" s="3"/>
      <c r="U59" s="3" t="str">
        <f t="shared" si="4"/>
        <v/>
      </c>
      <c r="V59" s="4" t="str">
        <f t="shared" si="5"/>
        <v/>
      </c>
      <c r="W59" s="21" t="e" cm="1">
        <f t="array" ref="W59">_xlfn.IFS(
  A59="BELL", "WHITE",
  A59="GAMP", "ORANGE",
  A59="GAMM", "GREEN",
  A59="BWF", "YELLOW",
  OR(A59="TNBE", A59="TNBL", A59="TNBD", A59="TNWC", A59="TNBW", A59="THBS"), "PINK",
  A59="CRWD", "BLUE",
  A59="PASS", "WHITE"
)</f>
        <v>#N/A</v>
      </c>
    </row>
    <row r="60" spans="1:23" x14ac:dyDescent="0.25">
      <c r="A60" s="7"/>
      <c r="B60" s="7"/>
      <c r="C60" s="4"/>
      <c r="G60" s="3"/>
      <c r="I60" s="3"/>
      <c r="J60" s="17"/>
      <c r="K60" s="17"/>
      <c r="L60" s="18"/>
      <c r="M60" s="18"/>
      <c r="P60" s="3"/>
      <c r="Q60" s="4"/>
      <c r="R60" s="19"/>
      <c r="S60" s="20"/>
      <c r="T60" s="3"/>
      <c r="U60" s="3" t="str">
        <f t="shared" si="4"/>
        <v/>
      </c>
      <c r="V60" s="4" t="str">
        <f t="shared" si="5"/>
        <v/>
      </c>
      <c r="W60" s="21" t="e" cm="1">
        <f t="array" ref="W60">_xlfn.IFS(
  A60="BELL", "WHITE",
  A60="GAMP", "ORANGE",
  A60="GAMM", "GREEN",
  A60="BWF", "YELLOW",
  OR(A60="TNBE", A60="TNBL", A60="TNBD", A60="TNWC", A60="TNBW", A60="THBS"), "PINK",
  A60="CRWD", "BLUE",
  A60="PASS", "WHITE"
)</f>
        <v>#N/A</v>
      </c>
    </row>
    <row r="61" spans="1:23" x14ac:dyDescent="0.25">
      <c r="A61" s="7"/>
      <c r="B61" s="7"/>
      <c r="C61" s="4"/>
      <c r="G61" s="3"/>
      <c r="I61" s="3"/>
      <c r="J61" s="17"/>
      <c r="K61" s="17"/>
      <c r="L61" s="18"/>
      <c r="M61" s="3"/>
      <c r="P61" s="3"/>
      <c r="Q61" s="4"/>
      <c r="R61" s="19"/>
      <c r="S61" s="20"/>
      <c r="T61" s="3"/>
      <c r="U61" s="3" t="str">
        <f t="shared" si="4"/>
        <v/>
      </c>
      <c r="V61" s="4" t="str">
        <f t="shared" si="5"/>
        <v/>
      </c>
      <c r="W61" s="21" t="e" cm="1">
        <f t="array" ref="W61">_xlfn.IFS(
  A61="BELL", "WHITE",
  A61="GAMP", "ORANGE",
  A61="GAMM", "GREEN",
  A61="BWF", "YELLOW",
  OR(A61="TNBE", A61="TNBL", A61="TNBD", A61="TNWC", A61="TNBW", A61="THBS"), "PINK",
  A61="CRWD", "BLUE",
  A61="PASS", "WHITE"
)</f>
        <v>#N/A</v>
      </c>
    </row>
    <row r="62" spans="1:23" x14ac:dyDescent="0.25">
      <c r="A62" s="7"/>
      <c r="B62" s="7"/>
      <c r="C62" s="4"/>
      <c r="G62" s="3"/>
      <c r="I62" s="3"/>
      <c r="J62" s="17"/>
      <c r="K62" s="17"/>
      <c r="L62" s="18"/>
      <c r="M62" s="18"/>
      <c r="P62" s="3"/>
      <c r="Q62" s="4"/>
      <c r="R62" s="19"/>
      <c r="S62" s="20"/>
      <c r="T62" s="3"/>
      <c r="U62" s="3" t="str">
        <f t="shared" si="4"/>
        <v/>
      </c>
      <c r="V62" s="4" t="str">
        <f t="shared" si="5"/>
        <v/>
      </c>
      <c r="W62" s="21" t="e" cm="1">
        <f t="array" ref="W62">_xlfn.IFS(
  A62="BELL", "WHITE",
  A62="GAMP", "ORANGE",
  A62="GAMM", "GREEN",
  A62="BWF", "YELLOW",
  OR(A62="TNBE", A62="TNBL", A62="TNBD", A62="TNWC", A62="TNBW", A62="THBS"), "PINK",
  A62="CRWD", "BLUE",
  A62="PASS", "WHITE"
)</f>
        <v>#N/A</v>
      </c>
    </row>
    <row r="63" spans="1:23" x14ac:dyDescent="0.25">
      <c r="A63" s="7"/>
      <c r="B63" s="7"/>
      <c r="C63" s="4"/>
      <c r="G63" s="3"/>
      <c r="I63" s="3"/>
      <c r="J63" s="17"/>
      <c r="K63" s="17"/>
      <c r="L63" s="18"/>
      <c r="M63" s="3"/>
      <c r="P63" s="3"/>
      <c r="Q63" s="4"/>
      <c r="R63" s="19"/>
      <c r="S63" s="20"/>
      <c r="T63" s="3"/>
      <c r="U63" s="3" t="str">
        <f t="shared" si="4"/>
        <v/>
      </c>
      <c r="V63" s="4" t="str">
        <f t="shared" si="5"/>
        <v/>
      </c>
      <c r="W63" s="21" t="e" cm="1">
        <f t="array" ref="W63">_xlfn.IFS(
  A63="BELL", "WHITE",
  A63="GAMP", "ORANGE",
  A63="GAMM", "GREEN",
  A63="BWF", "YELLOW",
  OR(A63="TNBE", A63="TNBL", A63="TNBD", A63="TNWC", A63="TNBW", A63="THBS"), "PINK",
  A63="CRWD", "BLUE",
  A63="PASS", "WHITE"
)</f>
        <v>#N/A</v>
      </c>
    </row>
    <row r="64" spans="1:23" x14ac:dyDescent="0.25">
      <c r="A64" s="7"/>
      <c r="B64" s="7"/>
      <c r="C64" s="4"/>
      <c r="G64" s="3"/>
      <c r="I64" s="3"/>
      <c r="J64" s="17"/>
      <c r="K64" s="17"/>
      <c r="L64" s="18"/>
      <c r="M64" s="3"/>
      <c r="P64" s="3"/>
      <c r="Q64" s="4"/>
      <c r="R64" s="19"/>
      <c r="S64" s="20"/>
      <c r="T64" s="3"/>
      <c r="U64" s="3" t="str">
        <f t="shared" si="4"/>
        <v/>
      </c>
      <c r="V64" s="4" t="str">
        <f t="shared" si="5"/>
        <v/>
      </c>
      <c r="W64" s="21" t="e" cm="1">
        <f t="array" ref="W64">_xlfn.IFS(
  A64="BELL", "WHITE",
  A64="GAMP", "ORANGE",
  A64="GAMM", "GREEN",
  A64="BWF", "YELLOW",
  OR(A64="TNBE", A64="TNBL", A64="TNBD", A64="TNWC", A64="TNBW", A64="THBS"), "PINK",
  A64="CRWD", "BLUE",
  A64="PASS", "WHITE"
)</f>
        <v>#N/A</v>
      </c>
    </row>
    <row r="65" spans="1:23" x14ac:dyDescent="0.25">
      <c r="A65" s="7"/>
      <c r="B65" s="7"/>
      <c r="C65" s="4"/>
      <c r="G65" s="3"/>
      <c r="I65" s="3"/>
      <c r="J65" s="17"/>
      <c r="K65" s="17"/>
      <c r="L65" s="18"/>
      <c r="M65" s="18"/>
      <c r="P65" s="3"/>
      <c r="Q65" s="4"/>
      <c r="R65" s="19"/>
      <c r="S65" s="20"/>
      <c r="T65" s="3"/>
      <c r="U65" s="3" t="str">
        <f t="shared" si="4"/>
        <v/>
      </c>
      <c r="V65" s="4" t="str">
        <f t="shared" si="5"/>
        <v/>
      </c>
      <c r="W65" s="21" t="e" cm="1">
        <f t="array" ref="W65">_xlfn.IFS(
  A65="BELL", "WHITE",
  A65="GAMP", "ORANGE",
  A65="GAMM", "GREEN",
  A65="BWF", "YELLOW",
  OR(A65="TNBE", A65="TNBL", A65="TNBD", A65="TNWC", A65="TNBW", A65="THBS"), "PINK",
  A65="CRWD", "BLUE",
  A65="PASS", "WHITE"
)</f>
        <v>#N/A</v>
      </c>
    </row>
    <row r="66" spans="1:23" x14ac:dyDescent="0.25">
      <c r="A66" s="7"/>
      <c r="B66" s="7"/>
      <c r="C66" s="4"/>
      <c r="H66" s="2"/>
      <c r="I66" s="3"/>
      <c r="J66" s="17"/>
      <c r="K66" s="17"/>
      <c r="L66" s="18"/>
      <c r="M66" s="18"/>
      <c r="P66" s="3"/>
      <c r="Q66" s="4"/>
      <c r="R66" s="19"/>
      <c r="S66" s="20"/>
      <c r="U66" s="3" t="str">
        <f t="shared" si="4"/>
        <v/>
      </c>
      <c r="V66" s="4" t="str">
        <f t="shared" si="5"/>
        <v/>
      </c>
      <c r="W66" s="21" t="e" cm="1">
        <f t="array" ref="W66">_xlfn.IFS(
  A66="BELL", "WHITE",
  A66="GAMP", "ORANGE",
  A66="GAMM", "GREEN",
  A66="BWF", "YELLOW",
  OR(A66="TNBE", A66="TNBL", A66="TNBD", A66="TNWC", A66="TNBW", A66="THBS"), "PINK",
  A66="CRWD", "BLUE",
  A66="PASS", "WHITE"
)</f>
        <v>#N/A</v>
      </c>
    </row>
    <row r="67" spans="1:23" x14ac:dyDescent="0.25">
      <c r="A67" s="7"/>
      <c r="B67" s="7"/>
      <c r="C67" s="4"/>
      <c r="G67" s="3"/>
      <c r="I67" s="3"/>
      <c r="J67" s="17"/>
      <c r="K67" s="17"/>
      <c r="L67" s="18"/>
      <c r="M67" s="3"/>
      <c r="P67" s="3"/>
      <c r="Q67" s="4"/>
      <c r="R67" s="19"/>
      <c r="S67" s="20"/>
      <c r="T67" s="3"/>
      <c r="U67" s="3" t="str">
        <f t="shared" si="4"/>
        <v/>
      </c>
      <c r="V67" s="4" t="str">
        <f t="shared" si="5"/>
        <v/>
      </c>
      <c r="W67" s="21" t="e" cm="1">
        <f t="array" ref="W67">_xlfn.IFS(
  A67="BELL", "WHITE",
  A67="GAMP", "ORANGE",
  A67="GAMM", "GREEN",
  A67="BWF", "YELLOW",
  OR(A67="TNBE", A67="TNBL", A67="TNBD", A67="TNWC", A67="TNBW", A67="THBS"), "PINK",
  A67="CRWD", "BLUE",
  A67="PASS", "WHITE"
)</f>
        <v>#N/A</v>
      </c>
    </row>
    <row r="68" spans="1:23" x14ac:dyDescent="0.25">
      <c r="A68" s="7"/>
      <c r="B68" s="7"/>
      <c r="C68" s="4"/>
      <c r="G68" s="3"/>
      <c r="I68" s="3"/>
      <c r="J68" s="17"/>
      <c r="K68" s="17"/>
      <c r="L68" s="18"/>
      <c r="M68" s="18"/>
      <c r="P68" s="3"/>
      <c r="Q68" s="4"/>
      <c r="R68" s="19"/>
      <c r="S68" s="20"/>
      <c r="T68" s="3"/>
      <c r="U68" s="3" t="str">
        <f t="shared" ref="U68:U131" si="6">IF(T68="","",IF(T68&gt;I68,H68,T68/G68))</f>
        <v/>
      </c>
      <c r="V68" s="4" t="str">
        <f t="shared" ref="V68:V131" si="7">IF(T68&gt;I68,T68-I68,"")</f>
        <v/>
      </c>
      <c r="W68" s="21" t="e" cm="1">
        <f t="array" ref="W68">_xlfn.IFS(
  A68="BELL", "WHITE",
  A68="GAMP", "ORANGE",
  A68="GAMM", "GREEN",
  A68="BWF", "YELLOW",
  OR(A68="TNBE", A68="TNBL", A68="TNBD", A68="TNWC", A68="TNBW", A68="THBS"), "PINK",
  A68="CRWD", "BLUE",
  A68="PASS", "WHITE"
)</f>
        <v>#N/A</v>
      </c>
    </row>
    <row r="69" spans="1:23" x14ac:dyDescent="0.25">
      <c r="A69" s="7"/>
      <c r="B69" s="7"/>
      <c r="C69" s="4"/>
      <c r="G69" s="3"/>
      <c r="I69" s="3"/>
      <c r="J69" s="17"/>
      <c r="K69" s="17"/>
      <c r="L69" s="18"/>
      <c r="M69" s="3"/>
      <c r="P69" s="3"/>
      <c r="Q69" s="4"/>
      <c r="R69" s="19"/>
      <c r="S69" s="20"/>
      <c r="T69" s="3"/>
      <c r="U69" s="3" t="str">
        <f t="shared" si="6"/>
        <v/>
      </c>
      <c r="V69" s="4" t="str">
        <f t="shared" si="7"/>
        <v/>
      </c>
      <c r="W69" s="21" t="e" cm="1">
        <f t="array" ref="W69">_xlfn.IFS(
  A69="BELL", "WHITE",
  A69="GAMP", "ORANGE",
  A69="GAMM", "GREEN",
  A69="BWF", "YELLOW",
  OR(A69="TNBE", A69="TNBL", A69="TNBD", A69="TNWC", A69="TNBW", A69="THBS"), "PINK",
  A69="CRWD", "BLUE",
  A69="PASS", "WHITE"
)</f>
        <v>#N/A</v>
      </c>
    </row>
    <row r="70" spans="1:23" x14ac:dyDescent="0.25">
      <c r="A70" s="7"/>
      <c r="B70" s="7"/>
      <c r="C70" s="4"/>
      <c r="G70" s="3"/>
      <c r="I70" s="3"/>
      <c r="J70" s="17"/>
      <c r="K70" s="17"/>
      <c r="L70" s="18"/>
      <c r="M70" s="18"/>
      <c r="P70" s="3"/>
      <c r="Q70" s="4"/>
      <c r="R70" s="19"/>
      <c r="S70" s="20"/>
      <c r="T70" s="3"/>
      <c r="U70" s="3" t="str">
        <f t="shared" si="6"/>
        <v/>
      </c>
      <c r="V70" s="4" t="str">
        <f t="shared" si="7"/>
        <v/>
      </c>
      <c r="W70" s="21" t="e" cm="1">
        <f t="array" ref="W70">_xlfn.IFS(
  A70="BELL", "WHITE",
  A70="GAMP", "ORANGE",
  A70="GAMM", "GREEN",
  A70="BWF", "YELLOW",
  OR(A70="TNBE", A70="TNBL", A70="TNBD", A70="TNWC", A70="TNBW", A70="THBS"), "PINK",
  A70="CRWD", "BLUE",
  A70="PASS", "WHITE"
)</f>
        <v>#N/A</v>
      </c>
    </row>
    <row r="71" spans="1:23" x14ac:dyDescent="0.25">
      <c r="A71" s="7"/>
      <c r="B71" s="7"/>
      <c r="C71" s="4"/>
      <c r="G71" s="3"/>
      <c r="I71" s="3"/>
      <c r="J71" s="17"/>
      <c r="K71" s="17"/>
      <c r="L71" s="18"/>
      <c r="M71" s="3"/>
      <c r="P71" s="3"/>
      <c r="Q71" s="4"/>
      <c r="R71" s="19"/>
      <c r="S71" s="20"/>
      <c r="T71" s="3"/>
      <c r="U71" s="3" t="str">
        <f t="shared" si="6"/>
        <v/>
      </c>
      <c r="V71" s="4" t="str">
        <f t="shared" si="7"/>
        <v/>
      </c>
      <c r="W71" s="21" t="e" cm="1">
        <f t="array" ref="W71">_xlfn.IFS(
  A71="BELL", "WHITE",
  A71="GAMP", "ORANGE",
  A71="GAMM", "GREEN",
  A71="BWF", "YELLOW",
  OR(A71="TNBE", A71="TNBL", A71="TNBD", A71="TNWC", A71="TNBW", A71="THBS"), "PINK",
  A71="CRWD", "BLUE",
  A71="PASS", "WHITE"
)</f>
        <v>#N/A</v>
      </c>
    </row>
    <row r="72" spans="1:23" x14ac:dyDescent="0.25">
      <c r="A72" s="7"/>
      <c r="B72" s="7"/>
      <c r="C72" s="4"/>
      <c r="G72" s="3"/>
      <c r="I72" s="3"/>
      <c r="J72" s="17"/>
      <c r="K72" s="17"/>
      <c r="L72" s="18"/>
      <c r="M72" s="3"/>
      <c r="P72" s="3"/>
      <c r="Q72" s="4"/>
      <c r="R72" s="19"/>
      <c r="S72" s="20"/>
      <c r="T72" s="3"/>
      <c r="U72" s="3" t="str">
        <f t="shared" si="6"/>
        <v/>
      </c>
      <c r="V72" s="4" t="str">
        <f t="shared" si="7"/>
        <v/>
      </c>
      <c r="W72" s="21" t="e" cm="1">
        <f t="array" ref="W72">_xlfn.IFS(
  A72="BELL", "WHITE",
  A72="GAMP", "ORANGE",
  A72="GAMM", "GREEN",
  A72="BWF", "YELLOW",
  OR(A72="TNBE", A72="TNBL", A72="TNBD", A72="TNWC", A72="TNBW", A72="THBS"), "PINK",
  A72="CRWD", "BLUE",
  A72="PASS", "WHITE"
)</f>
        <v>#N/A</v>
      </c>
    </row>
    <row r="73" spans="1:23" x14ac:dyDescent="0.25">
      <c r="A73" s="7"/>
      <c r="B73" s="7"/>
      <c r="C73" s="4"/>
      <c r="G73" s="3"/>
      <c r="I73" s="3"/>
      <c r="J73" s="17"/>
      <c r="K73" s="17"/>
      <c r="L73" s="18"/>
      <c r="M73" s="18"/>
      <c r="P73" s="3"/>
      <c r="Q73" s="4"/>
      <c r="R73" s="19"/>
      <c r="S73" s="20"/>
      <c r="T73" s="3"/>
      <c r="U73" s="3" t="str">
        <f t="shared" si="6"/>
        <v/>
      </c>
      <c r="V73" s="4" t="str">
        <f t="shared" si="7"/>
        <v/>
      </c>
      <c r="W73" s="21" t="e" cm="1">
        <f t="array" ref="W73">_xlfn.IFS(
  A73="BELL", "WHITE",
  A73="GAMP", "ORANGE",
  A73="GAMM", "GREEN",
  A73="BWF", "YELLOW",
  OR(A73="TNBE", A73="TNBL", A73="TNBD", A73="TNWC", A73="TNBW", A73="THBS"), "PINK",
  A73="CRWD", "BLUE",
  A73="PASS", "WHITE"
)</f>
        <v>#N/A</v>
      </c>
    </row>
    <row r="74" spans="1:23" x14ac:dyDescent="0.25">
      <c r="A74" s="7"/>
      <c r="B74" s="7"/>
      <c r="C74" s="4"/>
      <c r="G74" s="3"/>
      <c r="I74" s="3"/>
      <c r="J74" s="17"/>
      <c r="K74" s="17"/>
      <c r="L74" s="18"/>
      <c r="M74" s="3"/>
      <c r="P74" s="3"/>
      <c r="Q74" s="4"/>
      <c r="R74" s="19"/>
      <c r="S74" s="20"/>
      <c r="T74" s="3"/>
      <c r="U74" s="3" t="str">
        <f t="shared" si="6"/>
        <v/>
      </c>
      <c r="V74" s="4" t="str">
        <f t="shared" si="7"/>
        <v/>
      </c>
      <c r="W74" s="21" t="e" cm="1">
        <f t="array" ref="W74">_xlfn.IFS(
  A74="BELL", "WHITE",
  A74="GAMP", "ORANGE",
  A74="GAMM", "GREEN",
  A74="BWF", "YELLOW",
  OR(A74="TNBE", A74="TNBL", A74="TNBD", A74="TNWC", A74="TNBW", A74="THBS"), "PINK",
  A74="CRWD", "BLUE",
  A74="PASS", "WHITE"
)</f>
        <v>#N/A</v>
      </c>
    </row>
    <row r="75" spans="1:23" x14ac:dyDescent="0.25">
      <c r="A75" s="7"/>
      <c r="B75" s="7"/>
      <c r="C75" s="4"/>
      <c r="G75" s="3"/>
      <c r="I75" s="3"/>
      <c r="J75" s="17"/>
      <c r="K75" s="17"/>
      <c r="L75" s="18"/>
      <c r="M75" s="18"/>
      <c r="P75" s="3"/>
      <c r="Q75" s="4"/>
      <c r="R75" s="19"/>
      <c r="S75" s="20"/>
      <c r="T75" s="3"/>
      <c r="U75" s="3" t="str">
        <f t="shared" si="6"/>
        <v/>
      </c>
      <c r="V75" s="4" t="str">
        <f t="shared" si="7"/>
        <v/>
      </c>
      <c r="W75" s="21" t="e" cm="1">
        <f t="array" ref="W75">_xlfn.IFS(
  A75="BELL", "WHITE",
  A75="GAMP", "ORANGE",
  A75="GAMM", "GREEN",
  A75="BWF", "YELLOW",
  OR(A75="TNBE", A75="TNBL", A75="TNBD", A75="TNWC", A75="TNBW", A75="THBS"), "PINK",
  A75="CRWD", "BLUE",
  A75="PASS", "WHITE"
)</f>
        <v>#N/A</v>
      </c>
    </row>
    <row r="76" spans="1:23" x14ac:dyDescent="0.25">
      <c r="A76" s="7"/>
      <c r="B76" s="7"/>
      <c r="C76" s="4"/>
      <c r="G76" s="3"/>
      <c r="I76" s="3"/>
      <c r="J76" s="17"/>
      <c r="K76" s="17"/>
      <c r="L76" s="18"/>
      <c r="M76" s="3"/>
      <c r="P76" s="3"/>
      <c r="Q76" s="4"/>
      <c r="R76" s="19"/>
      <c r="S76" s="20"/>
      <c r="T76" s="3"/>
      <c r="U76" s="3" t="str">
        <f t="shared" si="6"/>
        <v/>
      </c>
      <c r="V76" s="4" t="str">
        <f t="shared" si="7"/>
        <v/>
      </c>
      <c r="W76" s="21" t="e" cm="1">
        <f t="array" ref="W76">_xlfn.IFS(
  A76="BELL", "WHITE",
  A76="GAMP", "ORANGE",
  A76="GAMM", "GREEN",
  A76="BWF", "YELLOW",
  OR(A76="TNBE", A76="TNBL", A76="TNBD", A76="TNWC", A76="TNBW", A76="THBS"), "PINK",
  A76="CRWD", "BLUE",
  A76="PASS", "WHITE"
)</f>
        <v>#N/A</v>
      </c>
    </row>
    <row r="77" spans="1:23" x14ac:dyDescent="0.25">
      <c r="A77" s="7"/>
      <c r="B77" s="7"/>
      <c r="C77" s="4"/>
      <c r="G77" s="3"/>
      <c r="I77" s="3"/>
      <c r="J77" s="17"/>
      <c r="K77" s="17"/>
      <c r="L77" s="18"/>
      <c r="M77" s="18"/>
      <c r="P77" s="3"/>
      <c r="Q77" s="4"/>
      <c r="R77" s="19"/>
      <c r="S77" s="20"/>
      <c r="T77" s="3"/>
      <c r="U77" s="3" t="str">
        <f t="shared" si="6"/>
        <v/>
      </c>
      <c r="V77" s="4" t="str">
        <f t="shared" si="7"/>
        <v/>
      </c>
      <c r="W77" s="21" t="e" cm="1">
        <f t="array" ref="W77">_xlfn.IFS(
  A77="BELL", "WHITE",
  A77="GAMP", "ORANGE",
  A77="GAMM", "GREEN",
  A77="BWF", "YELLOW",
  OR(A77="TNBE", A77="TNBL", A77="TNBD", A77="TNWC", A77="TNBW", A77="THBS"), "PINK",
  A77="CRWD", "BLUE",
  A77="PASS", "WHITE"
)</f>
        <v>#N/A</v>
      </c>
    </row>
    <row r="78" spans="1:23" x14ac:dyDescent="0.25">
      <c r="A78" s="7"/>
      <c r="B78" s="7"/>
      <c r="C78" s="4"/>
      <c r="G78" s="3"/>
      <c r="I78" s="3"/>
      <c r="J78" s="17"/>
      <c r="K78" s="17"/>
      <c r="L78" s="18"/>
      <c r="M78" s="3"/>
      <c r="P78" s="3"/>
      <c r="Q78" s="4"/>
      <c r="R78" s="19"/>
      <c r="S78" s="20"/>
      <c r="T78" s="3"/>
      <c r="U78" s="3" t="str">
        <f t="shared" si="6"/>
        <v/>
      </c>
      <c r="V78" s="4" t="str">
        <f t="shared" si="7"/>
        <v/>
      </c>
      <c r="W78" s="21" t="e" cm="1">
        <f t="array" ref="W78">_xlfn.IFS(
  A78="BELL", "WHITE",
  A78="GAMP", "ORANGE",
  A78="GAMM", "GREEN",
  A78="BWF", "YELLOW",
  OR(A78="TNBE", A78="TNBL", A78="TNBD", A78="TNWC", A78="TNBW", A78="THBS"), "PINK",
  A78="CRWD", "BLUE",
  A78="PASS", "WHITE"
)</f>
        <v>#N/A</v>
      </c>
    </row>
    <row r="79" spans="1:23" x14ac:dyDescent="0.25">
      <c r="A79" s="7"/>
      <c r="B79" s="7"/>
      <c r="C79" s="4"/>
      <c r="G79" s="3"/>
      <c r="I79" s="3"/>
      <c r="J79" s="17"/>
      <c r="K79" s="17"/>
      <c r="L79" s="18"/>
      <c r="M79" s="3"/>
      <c r="P79" s="3"/>
      <c r="Q79" s="4"/>
      <c r="R79" s="19"/>
      <c r="S79" s="20"/>
      <c r="T79" s="3"/>
      <c r="U79" s="3" t="str">
        <f t="shared" si="6"/>
        <v/>
      </c>
      <c r="V79" s="4" t="str">
        <f t="shared" si="7"/>
        <v/>
      </c>
      <c r="W79" s="21" t="e" cm="1">
        <f t="array" ref="W79">_xlfn.IFS(
  A79="BELL", "WHITE",
  A79="GAMP", "ORANGE",
  A79="GAMM", "GREEN",
  A79="BWF", "YELLOW",
  OR(A79="TNBE", A79="TNBL", A79="TNBD", A79="TNWC", A79="TNBW", A79="THBS"), "PINK",
  A79="CRWD", "BLUE",
  A79="PASS", "WHITE"
)</f>
        <v>#N/A</v>
      </c>
    </row>
    <row r="80" spans="1:23" x14ac:dyDescent="0.25">
      <c r="A80" s="7"/>
      <c r="B80" s="7"/>
      <c r="C80" s="4"/>
      <c r="G80" s="3"/>
      <c r="I80" s="3"/>
      <c r="J80" s="17"/>
      <c r="K80" s="17"/>
      <c r="L80" s="18"/>
      <c r="M80" s="3"/>
      <c r="P80" s="3"/>
      <c r="Q80" s="4"/>
      <c r="R80" s="19"/>
      <c r="S80" s="20"/>
      <c r="T80" s="3"/>
      <c r="U80" s="3" t="str">
        <f t="shared" si="6"/>
        <v/>
      </c>
      <c r="V80" s="4" t="str">
        <f t="shared" si="7"/>
        <v/>
      </c>
      <c r="W80" s="21" t="e" cm="1">
        <f t="array" ref="W80">_xlfn.IFS(
  A80="BELL", "WHITE",
  A80="GAMP", "ORANGE",
  A80="GAMM", "GREEN",
  A80="BWF", "YELLOW",
  OR(A80="TNBE", A80="TNBL", A80="TNBD", A80="TNWC", A80="TNBW", A80="THBS"), "PINK",
  A80="CRWD", "BLUE",
  A80="PASS", "WHITE"
)</f>
        <v>#N/A</v>
      </c>
    </row>
    <row r="81" spans="1:23" x14ac:dyDescent="0.25">
      <c r="A81" s="7"/>
      <c r="B81" s="7"/>
      <c r="C81" s="4"/>
      <c r="G81" s="3"/>
      <c r="I81" s="3"/>
      <c r="J81" s="17"/>
      <c r="K81" s="17"/>
      <c r="L81" s="18"/>
      <c r="M81" s="3"/>
      <c r="P81" s="3"/>
      <c r="Q81" s="4"/>
      <c r="R81" s="19"/>
      <c r="S81" s="20"/>
      <c r="T81" s="3"/>
      <c r="U81" s="3" t="str">
        <f t="shared" si="6"/>
        <v/>
      </c>
      <c r="V81" s="4" t="str">
        <f t="shared" si="7"/>
        <v/>
      </c>
      <c r="W81" s="21" t="e" cm="1">
        <f t="array" ref="W81">_xlfn.IFS(
  A81="BELL", "WHITE",
  A81="GAMP", "ORANGE",
  A81="GAMM", "GREEN",
  A81="BWF", "YELLOW",
  OR(A81="TNBE", A81="TNBL", A81="TNBD", A81="TNWC", A81="TNBW", A81="THBS"), "PINK",
  A81="CRWD", "BLUE",
  A81="PASS", "WHITE"
)</f>
        <v>#N/A</v>
      </c>
    </row>
    <row r="82" spans="1:23" x14ac:dyDescent="0.25">
      <c r="A82" s="7"/>
      <c r="B82" s="7"/>
      <c r="C82" s="4"/>
      <c r="H82" s="2"/>
      <c r="I82" s="3"/>
      <c r="J82" s="17"/>
      <c r="K82" s="17"/>
      <c r="L82" s="18"/>
      <c r="M82" s="18"/>
      <c r="P82" s="3"/>
      <c r="Q82" s="4"/>
      <c r="R82" s="19"/>
      <c r="S82" s="20"/>
      <c r="U82" s="3" t="str">
        <f t="shared" si="6"/>
        <v/>
      </c>
      <c r="V82" s="4" t="str">
        <f t="shared" si="7"/>
        <v/>
      </c>
      <c r="W82" s="21" t="e" cm="1">
        <f t="array" ref="W82">_xlfn.IFS(
  A82="BELL", "WHITE",
  A82="GAMP", "ORANGE",
  A82="GAMM", "GREEN",
  A82="BWF", "YELLOW",
  OR(A82="TNBE", A82="TNBL", A82="TNBD", A82="TNWC", A82="TNBW", A82="THBS"), "PINK",
  A82="CRWD", "BLUE",
  A82="PASS", "WHITE"
)</f>
        <v>#N/A</v>
      </c>
    </row>
    <row r="83" spans="1:23" x14ac:dyDescent="0.25">
      <c r="A83" s="7"/>
      <c r="B83" s="7"/>
      <c r="C83" s="4"/>
      <c r="H83" s="2"/>
      <c r="I83" s="3"/>
      <c r="J83" s="17"/>
      <c r="K83" s="17"/>
      <c r="L83" s="18"/>
      <c r="M83" s="18"/>
      <c r="P83" s="3"/>
      <c r="Q83" s="4"/>
      <c r="R83" s="19"/>
      <c r="S83" s="20"/>
      <c r="U83" s="3" t="str">
        <f t="shared" si="6"/>
        <v/>
      </c>
      <c r="V83" s="4" t="str">
        <f t="shared" si="7"/>
        <v/>
      </c>
      <c r="W83" s="21" t="e" cm="1">
        <f t="array" ref="W83">_xlfn.IFS(
  A83="BELL", "WHITE",
  A83="GAMP", "ORANGE",
  A83="GAMM", "GREEN",
  A83="BWF", "YELLOW",
  OR(A83="TNBE", A83="TNBL", A83="TNBD", A83="TNWC", A83="TNBW", A83="THBS"), "PINK",
  A83="CRWD", "BLUE",
  A83="PASS", "WHITE"
)</f>
        <v>#N/A</v>
      </c>
    </row>
    <row r="84" spans="1:23" x14ac:dyDescent="0.25">
      <c r="A84" s="7"/>
      <c r="B84" s="7"/>
      <c r="C84" s="4"/>
      <c r="H84" s="2"/>
      <c r="I84" s="3"/>
      <c r="J84" s="17"/>
      <c r="K84" s="17"/>
      <c r="L84" s="18"/>
      <c r="M84" s="18"/>
      <c r="P84" s="3"/>
      <c r="Q84" s="4"/>
      <c r="R84" s="19"/>
      <c r="S84" s="20"/>
      <c r="U84" s="3" t="str">
        <f t="shared" si="6"/>
        <v/>
      </c>
      <c r="V84" s="4" t="str">
        <f t="shared" si="7"/>
        <v/>
      </c>
      <c r="W84" s="21" t="e" cm="1">
        <f t="array" ref="W84">_xlfn.IFS(
  A84="BELL", "WHITE",
  A84="GAMP", "ORANGE",
  A84="GAMM", "GREEN",
  A84="BWF", "YELLOW",
  OR(A84="TNBE", A84="TNBL", A84="TNBD", A84="TNWC", A84="TNBW", A84="THBS"), "PINK",
  A84="CRWD", "BLUE",
  A84="PASS", "WHITE"
)</f>
        <v>#N/A</v>
      </c>
    </row>
    <row r="85" spans="1:23" x14ac:dyDescent="0.25">
      <c r="A85" s="7"/>
      <c r="B85" s="7"/>
      <c r="C85" s="4"/>
      <c r="H85" s="2"/>
      <c r="I85" s="3"/>
      <c r="J85" s="17"/>
      <c r="K85" s="17"/>
      <c r="L85" s="18"/>
      <c r="M85" s="18"/>
      <c r="P85" s="3"/>
      <c r="Q85" s="4"/>
      <c r="R85" s="19"/>
      <c r="S85" s="20"/>
      <c r="U85" s="3" t="str">
        <f t="shared" si="6"/>
        <v/>
      </c>
      <c r="V85" s="4" t="str">
        <f t="shared" si="7"/>
        <v/>
      </c>
      <c r="W85" s="21" t="e" cm="1">
        <f t="array" ref="W85">_xlfn.IFS(
  A85="BELL", "WHITE",
  A85="GAMP", "ORANGE",
  A85="GAMM", "GREEN",
  A85="BWF", "YELLOW",
  OR(A85="TNBE", A85="TNBL", A85="TNBD", A85="TNWC", A85="TNBW", A85="THBS"), "PINK",
  A85="CRWD", "BLUE",
  A85="PASS", "WHITE"
)</f>
        <v>#N/A</v>
      </c>
    </row>
    <row r="86" spans="1:23" x14ac:dyDescent="0.25">
      <c r="A86" s="7"/>
      <c r="B86" s="7"/>
      <c r="C86" s="4"/>
      <c r="H86" s="2"/>
      <c r="I86" s="3"/>
      <c r="J86" s="17"/>
      <c r="K86" s="17"/>
      <c r="L86" s="18"/>
      <c r="M86" s="18"/>
      <c r="P86" s="3"/>
      <c r="Q86" s="4"/>
      <c r="R86" s="19"/>
      <c r="S86" s="20"/>
      <c r="U86" s="3" t="str">
        <f t="shared" si="6"/>
        <v/>
      </c>
      <c r="V86" s="4" t="str">
        <f t="shared" si="7"/>
        <v/>
      </c>
      <c r="W86" s="21" t="e" cm="1">
        <f t="array" ref="W86">_xlfn.IFS(
  A86="BELL", "WHITE",
  A86="GAMP", "ORANGE",
  A86="GAMM", "GREEN",
  A86="BWF", "YELLOW",
  OR(A86="TNBE", A86="TNBL", A86="TNBD", A86="TNWC", A86="TNBW", A86="THBS"), "PINK",
  A86="CRWD", "BLUE",
  A86="PASS", "WHITE"
)</f>
        <v>#N/A</v>
      </c>
    </row>
    <row r="87" spans="1:23" x14ac:dyDescent="0.25">
      <c r="A87" s="7"/>
      <c r="B87" s="7"/>
      <c r="C87" s="4"/>
      <c r="H87" s="2"/>
      <c r="I87" s="3"/>
      <c r="J87" s="17"/>
      <c r="K87" s="17"/>
      <c r="L87" s="18"/>
      <c r="M87" s="18"/>
      <c r="P87" s="3"/>
      <c r="Q87" s="4"/>
      <c r="R87" s="19"/>
      <c r="S87" s="20"/>
      <c r="U87" s="3" t="str">
        <f t="shared" si="6"/>
        <v/>
      </c>
      <c r="V87" s="4" t="str">
        <f t="shared" si="7"/>
        <v/>
      </c>
      <c r="W87" s="21" t="e" cm="1">
        <f t="array" ref="W87">_xlfn.IFS(
  A87="BELL", "WHITE",
  A87="GAMP", "ORANGE",
  A87="GAMM", "GREEN",
  A87="BWF", "YELLOW",
  OR(A87="TNBE", A87="TNBL", A87="TNBD", A87="TNWC", A87="TNBW", A87="THBS"), "PINK",
  A87="CRWD", "BLUE",
  A87="PASS", "WHITE"
)</f>
        <v>#N/A</v>
      </c>
    </row>
    <row r="88" spans="1:23" x14ac:dyDescent="0.25">
      <c r="A88" s="7"/>
      <c r="B88" s="7"/>
      <c r="C88" s="4"/>
      <c r="H88" s="2"/>
      <c r="I88" s="3"/>
      <c r="J88" s="17"/>
      <c r="K88" s="17"/>
      <c r="L88" s="18"/>
      <c r="M88" s="18"/>
      <c r="P88" s="3"/>
      <c r="Q88" s="4"/>
      <c r="R88" s="19"/>
      <c r="S88" s="20"/>
      <c r="U88" s="3" t="str">
        <f t="shared" si="6"/>
        <v/>
      </c>
      <c r="V88" s="4" t="str">
        <f t="shared" si="7"/>
        <v/>
      </c>
      <c r="W88" s="21" t="e" cm="1">
        <f t="array" ref="W88">_xlfn.IFS(
  A88="BELL", "WHITE",
  A88="GAMP", "ORANGE",
  A88="GAMM", "GREEN",
  A88="BWF", "YELLOW",
  OR(A88="TNBE", A88="TNBL", A88="TNBD", A88="TNWC", A88="TNBW", A88="THBS"), "PINK",
  A88="CRWD", "BLUE",
  A88="PASS", "WHITE"
)</f>
        <v>#N/A</v>
      </c>
    </row>
    <row r="89" spans="1:23" x14ac:dyDescent="0.25">
      <c r="A89" s="7"/>
      <c r="B89" s="7"/>
      <c r="C89" s="4"/>
      <c r="H89" s="2"/>
      <c r="I89" s="3"/>
      <c r="J89" s="17"/>
      <c r="K89" s="17"/>
      <c r="L89" s="18"/>
      <c r="M89" s="18"/>
      <c r="P89" s="3"/>
      <c r="Q89" s="4"/>
      <c r="R89" s="19"/>
      <c r="S89" s="20"/>
      <c r="U89" s="3" t="str">
        <f t="shared" si="6"/>
        <v/>
      </c>
      <c r="V89" s="4" t="str">
        <f t="shared" si="7"/>
        <v/>
      </c>
      <c r="W89" s="21" t="e" cm="1">
        <f t="array" ref="W89">_xlfn.IFS(
  A89="BELL", "WHITE",
  A89="GAMP", "ORANGE",
  A89="GAMM", "GREEN",
  A89="BWF", "YELLOW",
  OR(A89="TNBE", A89="TNBL", A89="TNBD", A89="TNWC", A89="TNBW", A89="THBS"), "PINK",
  A89="CRWD", "BLUE",
  A89="PASS", "WHITE"
)</f>
        <v>#N/A</v>
      </c>
    </row>
    <row r="90" spans="1:23" x14ac:dyDescent="0.25">
      <c r="A90" s="7"/>
      <c r="B90" s="7"/>
      <c r="C90" s="4"/>
      <c r="H90" s="2"/>
      <c r="I90" s="3"/>
      <c r="J90" s="17"/>
      <c r="K90" s="17"/>
      <c r="L90" s="18"/>
      <c r="M90" s="18"/>
      <c r="P90" s="3"/>
      <c r="Q90" s="4"/>
      <c r="R90" s="19"/>
      <c r="S90" s="20"/>
      <c r="U90" s="3" t="str">
        <f t="shared" si="6"/>
        <v/>
      </c>
      <c r="V90" s="4" t="str">
        <f t="shared" si="7"/>
        <v/>
      </c>
      <c r="W90" s="21" t="e" cm="1">
        <f t="array" ref="W90">_xlfn.IFS(
  A90="BELL", "WHITE",
  A90="GAMP", "ORANGE",
  A90="GAMM", "GREEN",
  A90="BWF", "YELLOW",
  OR(A90="TNBE", A90="TNBL", A90="TNBD", A90="TNWC", A90="TNBW", A90="THBS"), "PINK",
  A90="CRWD", "BLUE",
  A90="PASS", "WHITE"
)</f>
        <v>#N/A</v>
      </c>
    </row>
    <row r="91" spans="1:23" x14ac:dyDescent="0.25">
      <c r="A91" s="7"/>
      <c r="B91" s="7"/>
      <c r="C91" s="4"/>
      <c r="H91" s="2"/>
      <c r="I91" s="3"/>
      <c r="J91" s="17"/>
      <c r="K91" s="17"/>
      <c r="L91" s="18"/>
      <c r="M91" s="18"/>
      <c r="P91" s="3"/>
      <c r="Q91" s="4"/>
      <c r="R91" s="19"/>
      <c r="S91" s="20"/>
      <c r="U91" s="3" t="str">
        <f t="shared" si="6"/>
        <v/>
      </c>
      <c r="V91" s="4" t="str">
        <f t="shared" si="7"/>
        <v/>
      </c>
      <c r="W91" s="21" t="e" cm="1">
        <f t="array" ref="W91">_xlfn.IFS(
  A91="BELL", "WHITE",
  A91="GAMP", "ORANGE",
  A91="GAMM", "GREEN",
  A91="BWF", "YELLOW",
  OR(A91="TNBE", A91="TNBL", A91="TNBD", A91="TNWC", A91="TNBW", A91="THBS"), "PINK",
  A91="CRWD", "BLUE",
  A91="PASS", "WHITE"
)</f>
        <v>#N/A</v>
      </c>
    </row>
    <row r="92" spans="1:23" x14ac:dyDescent="0.25">
      <c r="A92" s="7"/>
      <c r="B92" s="7"/>
      <c r="C92" s="4"/>
      <c r="H92" s="2"/>
      <c r="I92" s="3"/>
      <c r="J92" s="17"/>
      <c r="K92" s="17"/>
      <c r="L92" s="18"/>
      <c r="M92" s="18"/>
      <c r="P92" s="3"/>
      <c r="Q92" s="4"/>
      <c r="R92" s="19"/>
      <c r="S92" s="20"/>
      <c r="U92" s="3" t="str">
        <f t="shared" si="6"/>
        <v/>
      </c>
      <c r="V92" s="4" t="str">
        <f t="shared" si="7"/>
        <v/>
      </c>
      <c r="W92" s="21" t="e" cm="1">
        <f t="array" ref="W92">_xlfn.IFS(
  A92="BELL", "WHITE",
  A92="GAMP", "ORANGE",
  A92="GAMM", "GREEN",
  A92="BWF", "YELLOW",
  OR(A92="TNBE", A92="TNBL", A92="TNBD", A92="TNWC", A92="TNBW", A92="THBS"), "PINK",
  A92="CRWD", "BLUE",
  A92="PASS", "WHITE"
)</f>
        <v>#N/A</v>
      </c>
    </row>
    <row r="93" spans="1:23" x14ac:dyDescent="0.25">
      <c r="A93" s="7"/>
      <c r="B93" s="7"/>
      <c r="C93" s="4"/>
      <c r="H93" s="2"/>
      <c r="I93" s="3"/>
      <c r="J93" s="17"/>
      <c r="K93" s="17"/>
      <c r="L93" s="18"/>
      <c r="M93" s="18"/>
      <c r="P93" s="3"/>
      <c r="Q93" s="4"/>
      <c r="R93" s="19"/>
      <c r="S93" s="20"/>
      <c r="U93" s="3" t="str">
        <f t="shared" si="6"/>
        <v/>
      </c>
      <c r="V93" s="4" t="str">
        <f t="shared" si="7"/>
        <v/>
      </c>
      <c r="W93" s="21" t="e" cm="1">
        <f t="array" ref="W93">_xlfn.IFS(
  A93="BELL", "WHITE",
  A93="GAMP", "ORANGE",
  A93="GAMM", "GREEN",
  A93="BWF", "YELLOW",
  OR(A93="TNBE", A93="TNBL", A93="TNBD", A93="TNWC", A93="TNBW", A93="THBS"), "PINK",
  A93="CRWD", "BLUE",
  A93="PASS", "WHITE"
)</f>
        <v>#N/A</v>
      </c>
    </row>
    <row r="94" spans="1:23" x14ac:dyDescent="0.25">
      <c r="A94" s="7"/>
      <c r="B94" s="7"/>
      <c r="C94" s="4"/>
      <c r="G94" s="22"/>
      <c r="I94" s="3"/>
      <c r="J94" s="17"/>
      <c r="K94" s="17"/>
      <c r="L94" s="18"/>
      <c r="M94" s="3"/>
      <c r="P94" s="3"/>
      <c r="Q94" s="4"/>
      <c r="R94" s="19"/>
      <c r="S94" s="20"/>
      <c r="T94" s="22"/>
      <c r="U94" s="3" t="str">
        <f t="shared" si="6"/>
        <v/>
      </c>
      <c r="V94" s="4" t="str">
        <f t="shared" si="7"/>
        <v/>
      </c>
      <c r="W94" s="21" t="e" cm="1">
        <f t="array" ref="W94">_xlfn.IFS(
  A94="BELL", "WHITE",
  A94="GAMP", "ORANGE",
  A94="GAMM", "GREEN",
  A94="BWF", "YELLOW",
  OR(A94="TNBE", A94="TNBL", A94="TNBD", A94="TNWC", A94="TNBW", A94="THBS"), "PINK",
  A94="CRWD", "BLUE",
  A94="PASS", "WHITE"
)</f>
        <v>#N/A</v>
      </c>
    </row>
    <row r="95" spans="1:23" x14ac:dyDescent="0.25">
      <c r="A95" s="7"/>
      <c r="B95" s="7"/>
      <c r="C95" s="4"/>
      <c r="G95" s="22"/>
      <c r="I95" s="3"/>
      <c r="J95" s="17"/>
      <c r="K95" s="17"/>
      <c r="L95" s="18"/>
      <c r="M95" s="3"/>
      <c r="P95" s="3"/>
      <c r="Q95" s="4"/>
      <c r="R95" s="19"/>
      <c r="S95" s="20"/>
      <c r="T95" s="22"/>
      <c r="U95" s="3" t="str">
        <f t="shared" si="6"/>
        <v/>
      </c>
      <c r="V95" s="4" t="str">
        <f t="shared" si="7"/>
        <v/>
      </c>
      <c r="W95" s="21" t="e" cm="1">
        <f t="array" ref="W95">_xlfn.IFS(
  A95="BELL", "WHITE",
  A95="GAMP", "ORANGE",
  A95="GAMM", "GREEN",
  A95="BWF", "YELLOW",
  OR(A95="TNBE", A95="TNBL", A95="TNBD", A95="TNWC", A95="TNBW", A95="THBS"), "PINK",
  A95="CRWD", "BLUE",
  A95="PASS", "WHITE"
)</f>
        <v>#N/A</v>
      </c>
    </row>
    <row r="96" spans="1:23" x14ac:dyDescent="0.25">
      <c r="A96" s="7"/>
      <c r="B96" s="7"/>
      <c r="C96" s="4"/>
      <c r="G96" s="22"/>
      <c r="I96" s="3"/>
      <c r="J96" s="17"/>
      <c r="K96" s="17"/>
      <c r="L96" s="18"/>
      <c r="M96" s="3"/>
      <c r="P96" s="3"/>
      <c r="Q96" s="4"/>
      <c r="R96" s="19"/>
      <c r="S96" s="20"/>
      <c r="T96" s="22"/>
      <c r="U96" s="3" t="str">
        <f t="shared" si="6"/>
        <v/>
      </c>
      <c r="V96" s="4" t="str">
        <f t="shared" si="7"/>
        <v/>
      </c>
      <c r="W96" s="21" t="e" cm="1">
        <f t="array" ref="W96">_xlfn.IFS(
  A96="BELL", "WHITE",
  A96="GAMP", "ORANGE",
  A96="GAMM", "GREEN",
  A96="BWF", "YELLOW",
  OR(A96="TNBE", A96="TNBL", A96="TNBD", A96="TNWC", A96="TNBW", A96="THBS"), "PINK",
  A96="CRWD", "BLUE",
  A96="PASS", "WHITE"
)</f>
        <v>#N/A</v>
      </c>
    </row>
    <row r="97" spans="1:23" x14ac:dyDescent="0.25">
      <c r="A97" s="7"/>
      <c r="B97" s="7"/>
      <c r="C97" s="4"/>
      <c r="G97" s="3"/>
      <c r="I97" s="3"/>
      <c r="J97" s="17"/>
      <c r="K97" s="17"/>
      <c r="L97" s="18"/>
      <c r="M97" s="3"/>
      <c r="P97" s="3"/>
      <c r="Q97" s="4"/>
      <c r="R97" s="19"/>
      <c r="S97" s="20"/>
      <c r="T97" s="3"/>
      <c r="U97" s="3" t="str">
        <f t="shared" si="6"/>
        <v/>
      </c>
      <c r="V97" s="4" t="str">
        <f t="shared" si="7"/>
        <v/>
      </c>
      <c r="W97" s="21" t="e" cm="1">
        <f t="array" ref="W97">_xlfn.IFS(
  A97="BELL", "WHITE",
  A97="GAMP", "ORANGE",
  A97="GAMM", "GREEN",
  A97="BWF", "YELLOW",
  OR(A97="TNBE", A97="TNBL", A97="TNBD", A97="TNWC", A97="TNBW", A97="THBS"), "PINK",
  A97="CRWD", "BLUE",
  A97="PASS", "WHITE"
)</f>
        <v>#N/A</v>
      </c>
    </row>
    <row r="98" spans="1:23" x14ac:dyDescent="0.25">
      <c r="A98" s="7"/>
      <c r="B98" s="7"/>
      <c r="C98" s="4"/>
      <c r="G98" s="3"/>
      <c r="I98" s="3"/>
      <c r="J98" s="17"/>
      <c r="K98" s="17"/>
      <c r="L98" s="18"/>
      <c r="M98" s="3"/>
      <c r="P98" s="3"/>
      <c r="Q98" s="4"/>
      <c r="R98" s="19"/>
      <c r="S98" s="20"/>
      <c r="T98" s="3"/>
      <c r="U98" s="3" t="str">
        <f t="shared" si="6"/>
        <v/>
      </c>
      <c r="V98" s="4" t="str">
        <f t="shared" si="7"/>
        <v/>
      </c>
      <c r="W98" s="21" t="e" cm="1">
        <f t="array" ref="W98">_xlfn.IFS(
  A98="BELL", "WHITE",
  A98="GAMP", "ORANGE",
  A98="GAMM", "GREEN",
  A98="BWF", "YELLOW",
  OR(A98="TNBE", A98="TNBL", A98="TNBD", A98="TNWC", A98="TNBW", A98="THBS"), "PINK",
  A98="CRWD", "BLUE",
  A98="PASS", "WHITE"
)</f>
        <v>#N/A</v>
      </c>
    </row>
    <row r="99" spans="1:23" x14ac:dyDescent="0.25">
      <c r="A99" s="7"/>
      <c r="B99" s="7"/>
      <c r="C99" s="4"/>
      <c r="G99" s="22"/>
      <c r="I99" s="3"/>
      <c r="J99" s="17"/>
      <c r="K99" s="17"/>
      <c r="L99" s="18"/>
      <c r="M99" s="3"/>
      <c r="P99" s="3"/>
      <c r="Q99" s="4"/>
      <c r="R99" s="19"/>
      <c r="S99" s="20"/>
      <c r="T99" s="22"/>
      <c r="U99" s="3" t="str">
        <f t="shared" si="6"/>
        <v/>
      </c>
      <c r="V99" s="4" t="str">
        <f t="shared" si="7"/>
        <v/>
      </c>
      <c r="W99" s="21" t="e" cm="1">
        <f t="array" ref="W99">_xlfn.IFS(
  A99="BELL", "WHITE",
  A99="GAMP", "ORANGE",
  A99="GAMM", "GREEN",
  A99="BWF", "YELLOW",
  OR(A99="TNBE", A99="TNBL", A99="TNBD", A99="TNWC", A99="TNBW", A99="THBS"), "PINK",
  A99="CRWD", "BLUE",
  A99="PASS", "WHITE"
)</f>
        <v>#N/A</v>
      </c>
    </row>
    <row r="100" spans="1:23" x14ac:dyDescent="0.25">
      <c r="A100" s="7"/>
      <c r="B100" s="7"/>
      <c r="C100" s="4"/>
      <c r="G100" s="22"/>
      <c r="I100" s="3"/>
      <c r="J100" s="17"/>
      <c r="K100" s="17"/>
      <c r="L100" s="18"/>
      <c r="M100" s="3"/>
      <c r="P100" s="3"/>
      <c r="Q100" s="4"/>
      <c r="R100" s="19"/>
      <c r="S100" s="20"/>
      <c r="T100" s="22"/>
      <c r="U100" s="3" t="str">
        <f t="shared" si="6"/>
        <v/>
      </c>
      <c r="V100" s="4" t="str">
        <f t="shared" si="7"/>
        <v/>
      </c>
      <c r="W100" s="21" t="e" cm="1">
        <f t="array" ref="W100">_xlfn.IFS(
  A100="BELL", "WHITE",
  A100="GAMP", "ORANGE",
  A100="GAMM", "GREEN",
  A100="BWF", "YELLOW",
  OR(A100="TNBE", A100="TNBL", A100="TNBD", A100="TNWC", A100="TNBW", A100="THBS"), "PINK",
  A100="CRWD", "BLUE",
  A100="PASS", "WHITE"
)</f>
        <v>#N/A</v>
      </c>
    </row>
    <row r="101" spans="1:23" x14ac:dyDescent="0.25">
      <c r="A101" s="7"/>
      <c r="B101" s="7"/>
      <c r="C101" s="4"/>
      <c r="G101" s="3"/>
      <c r="I101" s="3"/>
      <c r="J101" s="17"/>
      <c r="K101" s="17"/>
      <c r="L101" s="18"/>
      <c r="M101" s="3"/>
      <c r="P101" s="3"/>
      <c r="Q101" s="4"/>
      <c r="R101" s="19"/>
      <c r="S101" s="20"/>
      <c r="T101" s="3"/>
      <c r="U101" s="3" t="str">
        <f t="shared" si="6"/>
        <v/>
      </c>
      <c r="V101" s="4" t="str">
        <f t="shared" si="7"/>
        <v/>
      </c>
      <c r="W101" s="21" t="e" cm="1">
        <f t="array" ref="W101">_xlfn.IFS(
  A101="BELL", "WHITE",
  A101="GAMP", "ORANGE",
  A101="GAMM", "GREEN",
  A101="BWF", "YELLOW",
  OR(A101="TNBE", A101="TNBL", A101="TNBD", A101="TNWC", A101="TNBW", A101="THBS"), "PINK",
  A101="CRWD", "BLUE",
  A101="PASS", "WHITE"
)</f>
        <v>#N/A</v>
      </c>
    </row>
    <row r="102" spans="1:23" x14ac:dyDescent="0.25">
      <c r="A102" s="7"/>
      <c r="B102" s="7"/>
      <c r="C102" s="4"/>
      <c r="G102" s="22"/>
      <c r="I102" s="3"/>
      <c r="J102" s="17"/>
      <c r="K102" s="17"/>
      <c r="L102" s="18"/>
      <c r="M102" s="3"/>
      <c r="P102" s="3"/>
      <c r="Q102" s="4"/>
      <c r="R102" s="19"/>
      <c r="S102" s="20"/>
      <c r="T102" s="22"/>
      <c r="U102" s="3" t="str">
        <f t="shared" si="6"/>
        <v/>
      </c>
      <c r="V102" s="4" t="str">
        <f t="shared" si="7"/>
        <v/>
      </c>
      <c r="W102" s="21" t="e" cm="1">
        <f t="array" ref="W102">_xlfn.IFS(
  A102="BELL", "WHITE",
  A102="GAMP", "ORANGE",
  A102="GAMM", "GREEN",
  A102="BWF", "YELLOW",
  OR(A102="TNBE", A102="TNBL", A102="TNBD", A102="TNWC", A102="TNBW", A102="THBS"), "PINK",
  A102="CRWD", "BLUE",
  A102="PASS", "WHITE"
)</f>
        <v>#N/A</v>
      </c>
    </row>
    <row r="103" spans="1:23" x14ac:dyDescent="0.25">
      <c r="A103" s="7"/>
      <c r="B103" s="7"/>
      <c r="C103" s="4"/>
      <c r="G103" s="22"/>
      <c r="I103" s="3"/>
      <c r="J103" s="17"/>
      <c r="K103" s="17"/>
      <c r="L103" s="18"/>
      <c r="M103" s="3"/>
      <c r="P103" s="3"/>
      <c r="Q103" s="4"/>
      <c r="R103" s="19"/>
      <c r="S103" s="20"/>
      <c r="T103" s="22"/>
      <c r="U103" s="3" t="str">
        <f t="shared" si="6"/>
        <v/>
      </c>
      <c r="V103" s="4" t="str">
        <f t="shared" si="7"/>
        <v/>
      </c>
      <c r="W103" s="21" t="e" cm="1">
        <f t="array" ref="W103">_xlfn.IFS(
  A103="BELL", "WHITE",
  A103="GAMP", "ORANGE",
  A103="GAMM", "GREEN",
  A103="BWF", "YELLOW",
  OR(A103="TNBE", A103="TNBL", A103="TNBD", A103="TNWC", A103="TNBW", A103="THBS"), "PINK",
  A103="CRWD", "BLUE",
  A103="PASS", "WHITE"
)</f>
        <v>#N/A</v>
      </c>
    </row>
    <row r="104" spans="1:23" x14ac:dyDescent="0.25">
      <c r="A104" s="7"/>
      <c r="B104" s="7"/>
      <c r="C104" s="4"/>
      <c r="G104" s="22"/>
      <c r="I104" s="3"/>
      <c r="J104" s="17"/>
      <c r="K104" s="17"/>
      <c r="L104" s="18"/>
      <c r="M104" s="3"/>
      <c r="P104" s="3"/>
      <c r="Q104" s="4"/>
      <c r="R104" s="19"/>
      <c r="S104" s="20"/>
      <c r="T104" s="22"/>
      <c r="U104" s="3" t="str">
        <f t="shared" si="6"/>
        <v/>
      </c>
      <c r="V104" s="4" t="str">
        <f t="shared" si="7"/>
        <v/>
      </c>
      <c r="W104" s="21" t="e" cm="1">
        <f t="array" ref="W104">_xlfn.IFS(
  A104="BELL", "WHITE",
  A104="GAMP", "ORANGE",
  A104="GAMM", "GREEN",
  A104="BWF", "YELLOW",
  OR(A104="TNBE", A104="TNBL", A104="TNBD", A104="TNWC", A104="TNBW", A104="THBS"), "PINK",
  A104="CRWD", "BLUE",
  A104="PASS", "WHITE"
)</f>
        <v>#N/A</v>
      </c>
    </row>
    <row r="105" spans="1:23" x14ac:dyDescent="0.25">
      <c r="A105" s="7"/>
      <c r="B105" s="7"/>
      <c r="C105" s="4"/>
      <c r="G105" s="22"/>
      <c r="I105" s="3"/>
      <c r="J105" s="17"/>
      <c r="K105" s="17"/>
      <c r="L105" s="18"/>
      <c r="M105" s="3"/>
      <c r="P105" s="3"/>
      <c r="Q105" s="4"/>
      <c r="R105" s="19"/>
      <c r="S105" s="20"/>
      <c r="T105" s="22"/>
      <c r="U105" s="3" t="str">
        <f t="shared" si="6"/>
        <v/>
      </c>
      <c r="V105" s="4" t="str">
        <f t="shared" si="7"/>
        <v/>
      </c>
      <c r="W105" s="21" t="e" cm="1">
        <f t="array" ref="W105">_xlfn.IFS(
  A105="BELL", "WHITE",
  A105="GAMP", "ORANGE",
  A105="GAMM", "GREEN",
  A105="BWF", "YELLOW",
  OR(A105="TNBE", A105="TNBL", A105="TNBD", A105="TNWC", A105="TNBW", A105="THBS"), "PINK",
  A105="CRWD", "BLUE",
  A105="PASS", "WHITE"
)</f>
        <v>#N/A</v>
      </c>
    </row>
    <row r="106" spans="1:23" x14ac:dyDescent="0.25">
      <c r="A106" s="7"/>
      <c r="B106" s="7"/>
      <c r="C106" s="4"/>
      <c r="G106" s="22"/>
      <c r="I106" s="3"/>
      <c r="J106" s="17"/>
      <c r="K106" s="17"/>
      <c r="L106" s="18"/>
      <c r="M106" s="3"/>
      <c r="P106" s="3"/>
      <c r="Q106" s="4"/>
      <c r="R106" s="19"/>
      <c r="S106" s="20"/>
      <c r="T106" s="22"/>
      <c r="U106" s="3" t="str">
        <f t="shared" si="6"/>
        <v/>
      </c>
      <c r="V106" s="4" t="str">
        <f t="shared" si="7"/>
        <v/>
      </c>
      <c r="W106" s="21" t="e" cm="1">
        <f t="array" ref="W106">_xlfn.IFS(
  A106="BELL", "WHITE",
  A106="GAMP", "ORANGE",
  A106="GAMM", "GREEN",
  A106="BWF", "YELLOW",
  OR(A106="TNBE", A106="TNBL", A106="TNBD", A106="TNWC", A106="TNBW", A106="THBS"), "PINK",
  A106="CRWD", "BLUE",
  A106="PASS", "WHITE"
)</f>
        <v>#N/A</v>
      </c>
    </row>
    <row r="107" spans="1:23" x14ac:dyDescent="0.25">
      <c r="A107" s="7"/>
      <c r="B107" s="7"/>
      <c r="C107" s="4"/>
      <c r="G107" s="22"/>
      <c r="I107" s="3"/>
      <c r="J107" s="17"/>
      <c r="K107" s="17"/>
      <c r="L107" s="18"/>
      <c r="M107" s="3"/>
      <c r="P107" s="3"/>
      <c r="Q107" s="4"/>
      <c r="R107" s="19"/>
      <c r="S107" s="20"/>
      <c r="T107" s="22"/>
      <c r="U107" s="3" t="str">
        <f t="shared" si="6"/>
        <v/>
      </c>
      <c r="V107" s="4" t="str">
        <f t="shared" si="7"/>
        <v/>
      </c>
      <c r="W107" s="21" t="e" cm="1">
        <f t="array" ref="W107">_xlfn.IFS(
  A107="BELL", "WHITE",
  A107="GAMP", "ORANGE",
  A107="GAMM", "GREEN",
  A107="BWF", "YELLOW",
  OR(A107="TNBE", A107="TNBL", A107="TNBD", A107="TNWC", A107="TNBW", A107="THBS"), "PINK",
  A107="CRWD", "BLUE",
  A107="PASS", "WHITE"
)</f>
        <v>#N/A</v>
      </c>
    </row>
    <row r="108" spans="1:23" x14ac:dyDescent="0.25">
      <c r="A108" s="7"/>
      <c r="B108" s="7"/>
      <c r="C108" s="4"/>
      <c r="G108" s="22"/>
      <c r="I108" s="3"/>
      <c r="J108" s="17"/>
      <c r="K108" s="17"/>
      <c r="L108" s="18"/>
      <c r="M108" s="3"/>
      <c r="P108" s="3"/>
      <c r="Q108" s="4"/>
      <c r="R108" s="19"/>
      <c r="S108" s="20"/>
      <c r="T108" s="22"/>
      <c r="U108" s="3" t="str">
        <f t="shared" si="6"/>
        <v/>
      </c>
      <c r="V108" s="4" t="str">
        <f t="shared" si="7"/>
        <v/>
      </c>
      <c r="W108" s="21" t="e" cm="1">
        <f t="array" ref="W108">_xlfn.IFS(
  A108="BELL", "WHITE",
  A108="GAMP", "ORANGE",
  A108="GAMM", "GREEN",
  A108="BWF", "YELLOW",
  OR(A108="TNBE", A108="TNBL", A108="TNBD", A108="TNWC", A108="TNBW", A108="THBS"), "PINK",
  A108="CRWD", "BLUE",
  A108="PASS", "WHITE"
)</f>
        <v>#N/A</v>
      </c>
    </row>
    <row r="109" spans="1:23" x14ac:dyDescent="0.25">
      <c r="A109" s="7"/>
      <c r="B109" s="7"/>
      <c r="C109" s="4"/>
      <c r="G109" s="22"/>
      <c r="I109" s="3"/>
      <c r="J109" s="17"/>
      <c r="K109" s="17"/>
      <c r="L109" s="18"/>
      <c r="M109" s="3"/>
      <c r="P109" s="3"/>
      <c r="Q109" s="4"/>
      <c r="R109" s="19"/>
      <c r="S109" s="20"/>
      <c r="T109" s="22"/>
      <c r="U109" s="3" t="str">
        <f t="shared" si="6"/>
        <v/>
      </c>
      <c r="V109" s="4" t="str">
        <f t="shared" si="7"/>
        <v/>
      </c>
      <c r="W109" s="21" t="e" cm="1">
        <f t="array" ref="W109">_xlfn.IFS(
  A109="BELL", "WHITE",
  A109="GAMP", "ORANGE",
  A109="GAMM", "GREEN",
  A109="BWF", "YELLOW",
  OR(A109="TNBE", A109="TNBL", A109="TNBD", A109="TNWC", A109="TNBW", A109="THBS"), "PINK",
  A109="CRWD", "BLUE",
  A109="PASS", "WHITE"
)</f>
        <v>#N/A</v>
      </c>
    </row>
    <row r="110" spans="1:23" x14ac:dyDescent="0.25">
      <c r="A110" s="7"/>
      <c r="B110" s="7"/>
      <c r="C110" s="4"/>
      <c r="G110" s="22"/>
      <c r="I110" s="3"/>
      <c r="J110" s="17"/>
      <c r="K110" s="17"/>
      <c r="L110" s="18"/>
      <c r="M110" s="3"/>
      <c r="P110" s="3"/>
      <c r="Q110" s="4"/>
      <c r="R110" s="19"/>
      <c r="S110" s="20"/>
      <c r="T110" s="22"/>
      <c r="U110" s="3" t="str">
        <f t="shared" si="6"/>
        <v/>
      </c>
      <c r="V110" s="4" t="str">
        <f t="shared" si="7"/>
        <v/>
      </c>
      <c r="W110" s="21" t="e" cm="1">
        <f t="array" ref="W110">_xlfn.IFS(
  A110="BELL", "WHITE",
  A110="GAMP", "ORANGE",
  A110="GAMM", "GREEN",
  A110="BWF", "YELLOW",
  OR(A110="TNBE", A110="TNBL", A110="TNBD", A110="TNWC", A110="TNBW", A110="THBS"), "PINK",
  A110="CRWD", "BLUE",
  A110="PASS", "WHITE"
)</f>
        <v>#N/A</v>
      </c>
    </row>
    <row r="111" spans="1:23" x14ac:dyDescent="0.25">
      <c r="A111" s="7"/>
      <c r="B111" s="7"/>
      <c r="C111" s="4"/>
      <c r="G111" s="22"/>
      <c r="I111" s="3"/>
      <c r="J111" s="17"/>
      <c r="K111" s="17"/>
      <c r="L111" s="18"/>
      <c r="M111" s="3"/>
      <c r="P111" s="3"/>
      <c r="Q111" s="4"/>
      <c r="R111" s="19"/>
      <c r="S111" s="20"/>
      <c r="T111" s="22"/>
      <c r="U111" s="3" t="str">
        <f t="shared" si="6"/>
        <v/>
      </c>
      <c r="V111" s="4" t="str">
        <f t="shared" si="7"/>
        <v/>
      </c>
      <c r="W111" s="21" t="e" cm="1">
        <f t="array" ref="W111">_xlfn.IFS(
  A111="BELL", "WHITE",
  A111="GAMP", "ORANGE",
  A111="GAMM", "GREEN",
  A111="BWF", "YELLOW",
  OR(A111="TNBE", A111="TNBL", A111="TNBD", A111="TNWC", A111="TNBW", A111="THBS"), "PINK",
  A111="CRWD", "BLUE",
  A111="PASS", "WHITE"
)</f>
        <v>#N/A</v>
      </c>
    </row>
    <row r="112" spans="1:23" x14ac:dyDescent="0.25">
      <c r="A112" s="7"/>
      <c r="B112" s="7"/>
      <c r="C112" s="4"/>
      <c r="G112" s="22"/>
      <c r="I112" s="3"/>
      <c r="J112" s="17"/>
      <c r="K112" s="17"/>
      <c r="L112" s="18"/>
      <c r="M112" s="3"/>
      <c r="P112" s="3"/>
      <c r="Q112" s="4"/>
      <c r="R112" s="19"/>
      <c r="S112" s="20"/>
      <c r="T112" s="22"/>
      <c r="U112" s="3" t="str">
        <f t="shared" si="6"/>
        <v/>
      </c>
      <c r="V112" s="4" t="str">
        <f t="shared" si="7"/>
        <v/>
      </c>
      <c r="W112" s="21" t="e" cm="1">
        <f t="array" ref="W112">_xlfn.IFS(
  A112="BELL", "WHITE",
  A112="GAMP", "ORANGE",
  A112="GAMM", "GREEN",
  A112="BWF", "YELLOW",
  OR(A112="TNBE", A112="TNBL", A112="TNBD", A112="TNWC", A112="TNBW", A112="THBS"), "PINK",
  A112="CRWD", "BLUE",
  A112="PASS", "WHITE"
)</f>
        <v>#N/A</v>
      </c>
    </row>
    <row r="113" spans="1:23" x14ac:dyDescent="0.25">
      <c r="A113" s="7"/>
      <c r="B113" s="7"/>
      <c r="C113" s="4"/>
      <c r="G113" s="3"/>
      <c r="I113" s="3"/>
      <c r="J113" s="17"/>
      <c r="K113" s="17"/>
      <c r="L113" s="18"/>
      <c r="M113" s="3"/>
      <c r="P113" s="3"/>
      <c r="Q113" s="4"/>
      <c r="R113" s="19"/>
      <c r="S113" s="20"/>
      <c r="T113" s="3"/>
      <c r="U113" s="3" t="str">
        <f t="shared" si="6"/>
        <v/>
      </c>
      <c r="V113" s="4" t="str">
        <f t="shared" si="7"/>
        <v/>
      </c>
      <c r="W113" s="21" t="e" cm="1">
        <f t="array" ref="W113">_xlfn.IFS(
  A113="BELL", "WHITE",
  A113="GAMP", "ORANGE",
  A113="GAMM", "GREEN",
  A113="BWF", "YELLOW",
  OR(A113="TNBE", A113="TNBL", A113="TNBD", A113="TNWC", A113="TNBW", A113="THBS"), "PINK",
  A113="CRWD", "BLUE",
  A113="PASS", "WHITE"
)</f>
        <v>#N/A</v>
      </c>
    </row>
    <row r="114" spans="1:23" x14ac:dyDescent="0.25">
      <c r="A114" s="7"/>
      <c r="B114" s="7"/>
      <c r="C114" s="4"/>
      <c r="G114" s="3"/>
      <c r="I114" s="3"/>
      <c r="J114" s="17"/>
      <c r="K114" s="17"/>
      <c r="L114" s="18"/>
      <c r="M114" s="3"/>
      <c r="P114" s="3"/>
      <c r="Q114" s="4"/>
      <c r="R114" s="19"/>
      <c r="S114" s="20"/>
      <c r="T114" s="3"/>
      <c r="U114" s="3" t="str">
        <f t="shared" si="6"/>
        <v/>
      </c>
      <c r="V114" s="4" t="str">
        <f t="shared" si="7"/>
        <v/>
      </c>
      <c r="W114" s="21" t="e" cm="1">
        <f t="array" ref="W114">_xlfn.IFS(
  A114="BELL", "WHITE",
  A114="GAMP", "ORANGE",
  A114="GAMM", "GREEN",
  A114="BWF", "YELLOW",
  OR(A114="TNBE", A114="TNBL", A114="TNBD", A114="TNWC", A114="TNBW", A114="THBS"), "PINK",
  A114="CRWD", "BLUE",
  A114="PASS", "WHITE"
)</f>
        <v>#N/A</v>
      </c>
    </row>
    <row r="115" spans="1:23" x14ac:dyDescent="0.25">
      <c r="A115" s="7"/>
      <c r="B115" s="7"/>
      <c r="C115" s="4"/>
      <c r="G115" s="22"/>
      <c r="I115" s="3"/>
      <c r="J115" s="17"/>
      <c r="K115" s="17"/>
      <c r="L115" s="18"/>
      <c r="M115" s="3"/>
      <c r="P115" s="3"/>
      <c r="Q115" s="4"/>
      <c r="R115" s="19"/>
      <c r="S115" s="20"/>
      <c r="T115" s="22"/>
      <c r="U115" s="3" t="str">
        <f t="shared" si="6"/>
        <v/>
      </c>
      <c r="V115" s="4" t="str">
        <f t="shared" si="7"/>
        <v/>
      </c>
      <c r="W115" s="21" t="e" cm="1">
        <f t="array" ref="W115">_xlfn.IFS(
  A115="BELL", "WHITE",
  A115="GAMP", "ORANGE",
  A115="GAMM", "GREEN",
  A115="BWF", "YELLOW",
  OR(A115="TNBE", A115="TNBL", A115="TNBD", A115="TNWC", A115="TNBW", A115="THBS"), "PINK",
  A115="CRWD", "BLUE",
  A115="PASS", "WHITE"
)</f>
        <v>#N/A</v>
      </c>
    </row>
    <row r="116" spans="1:23" x14ac:dyDescent="0.25">
      <c r="A116" s="7"/>
      <c r="B116" s="7"/>
      <c r="C116" s="4"/>
      <c r="G116" s="22"/>
      <c r="I116" s="3"/>
      <c r="J116" s="17"/>
      <c r="K116" s="17"/>
      <c r="L116" s="18"/>
      <c r="M116" s="3"/>
      <c r="P116" s="3"/>
      <c r="Q116" s="4"/>
      <c r="R116" s="19"/>
      <c r="S116" s="20"/>
      <c r="T116" s="22"/>
      <c r="U116" s="3" t="str">
        <f t="shared" si="6"/>
        <v/>
      </c>
      <c r="V116" s="4" t="str">
        <f t="shared" si="7"/>
        <v/>
      </c>
      <c r="W116" s="21" t="e" cm="1">
        <f t="array" ref="W116">_xlfn.IFS(
  A116="BELL", "WHITE",
  A116="GAMP", "ORANGE",
  A116="GAMM", "GREEN",
  A116="BWF", "YELLOW",
  OR(A116="TNBE", A116="TNBL", A116="TNBD", A116="TNWC", A116="TNBW", A116="THBS"), "PINK",
  A116="CRWD", "BLUE",
  A116="PASS", "WHITE"
)</f>
        <v>#N/A</v>
      </c>
    </row>
    <row r="117" spans="1:23" x14ac:dyDescent="0.25">
      <c r="A117" s="7"/>
      <c r="B117" s="7"/>
      <c r="C117" s="4"/>
      <c r="G117" s="3"/>
      <c r="I117" s="3"/>
      <c r="J117" s="17"/>
      <c r="K117" s="17"/>
      <c r="L117" s="18"/>
      <c r="M117" s="18"/>
      <c r="P117" s="3"/>
      <c r="Q117" s="4"/>
      <c r="R117" s="19"/>
      <c r="S117" s="20"/>
      <c r="T117" s="3"/>
      <c r="U117" s="3" t="str">
        <f t="shared" si="6"/>
        <v/>
      </c>
      <c r="V117" s="4" t="str">
        <f t="shared" si="7"/>
        <v/>
      </c>
      <c r="W117" s="21" t="e" cm="1">
        <f t="array" ref="W117">_xlfn.IFS(
  A117="BELL", "WHITE",
  A117="GAMP", "ORANGE",
  A117="GAMM", "GREEN",
  A117="BWF", "YELLOW",
  OR(A117="TNBE", A117="TNBL", A117="TNBD", A117="TNWC", A117="TNBW", A117="THBS"), "PINK",
  A117="CRWD", "BLUE",
  A117="PASS", "WHITE"
)</f>
        <v>#N/A</v>
      </c>
    </row>
    <row r="118" spans="1:23" x14ac:dyDescent="0.25">
      <c r="A118" s="7"/>
      <c r="B118" s="7"/>
      <c r="C118" s="4"/>
      <c r="G118" s="22"/>
      <c r="I118" s="3"/>
      <c r="J118" s="17"/>
      <c r="K118" s="17"/>
      <c r="L118" s="18"/>
      <c r="M118" s="3"/>
      <c r="P118" s="3"/>
      <c r="Q118" s="4"/>
      <c r="R118" s="19"/>
      <c r="S118" s="20"/>
      <c r="T118" s="22"/>
      <c r="U118" s="3" t="str">
        <f t="shared" si="6"/>
        <v/>
      </c>
      <c r="V118" s="4" t="str">
        <f t="shared" si="7"/>
        <v/>
      </c>
      <c r="W118" s="21" t="e" cm="1">
        <f t="array" ref="W118">_xlfn.IFS(
  A118="BELL", "WHITE",
  A118="GAMP", "ORANGE",
  A118="GAMM", "GREEN",
  A118="BWF", "YELLOW",
  OR(A118="TNBE", A118="TNBL", A118="TNBD", A118="TNWC", A118="TNBW", A118="THBS"), "PINK",
  A118="CRWD", "BLUE",
  A118="PASS", "WHITE"
)</f>
        <v>#N/A</v>
      </c>
    </row>
    <row r="119" spans="1:23" x14ac:dyDescent="0.25">
      <c r="A119" s="7"/>
      <c r="B119" s="7"/>
      <c r="C119" s="4"/>
      <c r="G119" s="3"/>
      <c r="I119" s="3"/>
      <c r="J119" s="17"/>
      <c r="K119" s="17"/>
      <c r="L119" s="18"/>
      <c r="M119" s="3"/>
      <c r="P119" s="3"/>
      <c r="Q119" s="4"/>
      <c r="R119" s="19"/>
      <c r="S119" s="20"/>
      <c r="T119" s="3"/>
      <c r="U119" s="3" t="str">
        <f t="shared" si="6"/>
        <v/>
      </c>
      <c r="V119" s="4" t="str">
        <f t="shared" si="7"/>
        <v/>
      </c>
      <c r="W119" s="21" t="e" cm="1">
        <f t="array" ref="W119">_xlfn.IFS(
  A119="BELL", "WHITE",
  A119="GAMP", "ORANGE",
  A119="GAMM", "GREEN",
  A119="BWF", "YELLOW",
  OR(A119="TNBE", A119="TNBL", A119="TNBD", A119="TNWC", A119="TNBW", A119="THBS"), "PINK",
  A119="CRWD", "BLUE",
  A119="PASS", "WHITE"
)</f>
        <v>#N/A</v>
      </c>
    </row>
    <row r="120" spans="1:23" x14ac:dyDescent="0.25">
      <c r="A120" s="7"/>
      <c r="B120" s="7"/>
      <c r="C120" s="4"/>
      <c r="G120" s="22"/>
      <c r="I120" s="3"/>
      <c r="J120" s="17"/>
      <c r="K120" s="17"/>
      <c r="L120" s="18"/>
      <c r="M120" s="3"/>
      <c r="P120" s="3"/>
      <c r="Q120" s="4"/>
      <c r="R120" s="19"/>
      <c r="S120" s="20"/>
      <c r="T120" s="22"/>
      <c r="U120" s="3" t="str">
        <f t="shared" si="6"/>
        <v/>
      </c>
      <c r="V120" s="4" t="str">
        <f t="shared" si="7"/>
        <v/>
      </c>
      <c r="W120" s="21" t="e" cm="1">
        <f t="array" ref="W120">_xlfn.IFS(
  A120="BELL", "WHITE",
  A120="GAMP", "ORANGE",
  A120="GAMM", "GREEN",
  A120="BWF", "YELLOW",
  OR(A120="TNBE", A120="TNBL", A120="TNBD", A120="TNWC", A120="TNBW", A120="THBS"), "PINK",
  A120="CRWD", "BLUE",
  A120="PASS", "WHITE"
)</f>
        <v>#N/A</v>
      </c>
    </row>
    <row r="121" spans="1:23" x14ac:dyDescent="0.25">
      <c r="A121" s="7"/>
      <c r="B121" s="7"/>
      <c r="C121" s="4"/>
      <c r="G121" s="22"/>
      <c r="I121" s="3"/>
      <c r="J121" s="17"/>
      <c r="K121" s="17"/>
      <c r="L121" s="18"/>
      <c r="M121" s="18"/>
      <c r="P121" s="3"/>
      <c r="Q121" s="4"/>
      <c r="R121" s="19"/>
      <c r="S121" s="20"/>
      <c r="T121" s="22"/>
      <c r="U121" s="3" t="str">
        <f t="shared" si="6"/>
        <v/>
      </c>
      <c r="V121" s="4" t="str">
        <f t="shared" si="7"/>
        <v/>
      </c>
      <c r="W121" s="21" t="e" cm="1">
        <f t="array" ref="W121">_xlfn.IFS(
  A121="BELL", "WHITE",
  A121="GAMP", "ORANGE",
  A121="GAMM", "GREEN",
  A121="BWF", "YELLOW",
  OR(A121="TNBE", A121="TNBL", A121="TNBD", A121="TNWC", A121="TNBW", A121="THBS"), "PINK",
  A121="CRWD", "BLUE",
  A121="PASS", "WHITE"
)</f>
        <v>#N/A</v>
      </c>
    </row>
    <row r="122" spans="1:23" x14ac:dyDescent="0.25">
      <c r="A122" s="7"/>
      <c r="B122" s="7"/>
      <c r="C122" s="4"/>
      <c r="G122" s="3"/>
      <c r="I122" s="3"/>
      <c r="J122" s="17"/>
      <c r="K122" s="17"/>
      <c r="L122" s="18"/>
      <c r="M122" s="3"/>
      <c r="P122" s="3"/>
      <c r="Q122" s="4"/>
      <c r="R122" s="19"/>
      <c r="S122" s="20"/>
      <c r="T122" s="3"/>
      <c r="U122" s="3" t="str">
        <f t="shared" si="6"/>
        <v/>
      </c>
      <c r="V122" s="4" t="str">
        <f t="shared" si="7"/>
        <v/>
      </c>
      <c r="W122" s="21" t="e" cm="1">
        <f t="array" ref="W122">_xlfn.IFS(
  A122="BELL", "WHITE",
  A122="GAMP", "ORANGE",
  A122="GAMM", "GREEN",
  A122="BWF", "YELLOW",
  OR(A122="TNBE", A122="TNBL", A122="TNBD", A122="TNWC", A122="TNBW", A122="THBS"), "PINK",
  A122="CRWD", "BLUE",
  A122="PASS", "WHITE"
)</f>
        <v>#N/A</v>
      </c>
    </row>
    <row r="123" spans="1:23" x14ac:dyDescent="0.25">
      <c r="A123" s="7"/>
      <c r="B123" s="7"/>
      <c r="C123" s="4"/>
      <c r="G123" s="3"/>
      <c r="I123" s="3"/>
      <c r="J123" s="17"/>
      <c r="K123" s="17"/>
      <c r="L123" s="18"/>
      <c r="M123" s="3"/>
      <c r="P123" s="3"/>
      <c r="Q123" s="4"/>
      <c r="R123" s="19"/>
      <c r="S123" s="20"/>
      <c r="T123" s="3"/>
      <c r="U123" s="3" t="str">
        <f t="shared" si="6"/>
        <v/>
      </c>
      <c r="V123" s="4" t="str">
        <f t="shared" si="7"/>
        <v/>
      </c>
      <c r="W123" s="21" t="e" cm="1">
        <f t="array" ref="W123">_xlfn.IFS(
  A123="BELL", "WHITE",
  A123="GAMP", "ORANGE",
  A123="GAMM", "GREEN",
  A123="BWF", "YELLOW",
  OR(A123="TNBE", A123="TNBL", A123="TNBD", A123="TNWC", A123="TNBW", A123="THBS"), "PINK",
  A123="CRWD", "BLUE",
  A123="PASS", "WHITE"
)</f>
        <v>#N/A</v>
      </c>
    </row>
    <row r="124" spans="1:23" x14ac:dyDescent="0.25">
      <c r="A124" s="7"/>
      <c r="B124" s="7"/>
      <c r="C124" s="4"/>
      <c r="G124" s="3"/>
      <c r="I124" s="3"/>
      <c r="J124" s="17"/>
      <c r="K124" s="17"/>
      <c r="L124" s="18"/>
      <c r="M124" s="3"/>
      <c r="P124" s="3"/>
      <c r="Q124" s="4"/>
      <c r="R124" s="19"/>
      <c r="S124" s="20"/>
      <c r="T124" s="3"/>
      <c r="U124" s="3" t="str">
        <f t="shared" si="6"/>
        <v/>
      </c>
      <c r="V124" s="4" t="str">
        <f t="shared" si="7"/>
        <v/>
      </c>
      <c r="W124" s="21" t="e" cm="1">
        <f t="array" ref="W124">_xlfn.IFS(
  A124="BELL", "WHITE",
  A124="GAMP", "ORANGE",
  A124="GAMM", "GREEN",
  A124="BWF", "YELLOW",
  OR(A124="TNBE", A124="TNBL", A124="TNBD", A124="TNWC", A124="TNBW", A124="THBS"), "PINK",
  A124="CRWD", "BLUE",
  A124="PASS", "WHITE"
)</f>
        <v>#N/A</v>
      </c>
    </row>
    <row r="125" spans="1:23" x14ac:dyDescent="0.25">
      <c r="A125" s="7"/>
      <c r="B125" s="7"/>
      <c r="C125" s="4"/>
      <c r="G125" s="22"/>
      <c r="I125" s="3"/>
      <c r="J125" s="17"/>
      <c r="K125" s="17"/>
      <c r="L125" s="18"/>
      <c r="M125" s="3"/>
      <c r="P125" s="3"/>
      <c r="Q125" s="4"/>
      <c r="R125" s="19"/>
      <c r="S125" s="20"/>
      <c r="T125" s="22"/>
      <c r="U125" s="3" t="str">
        <f t="shared" si="6"/>
        <v/>
      </c>
      <c r="V125" s="4" t="str">
        <f t="shared" si="7"/>
        <v/>
      </c>
      <c r="W125" s="21" t="e" cm="1">
        <f t="array" ref="W125">_xlfn.IFS(
  A125="BELL", "WHITE",
  A125="GAMP", "ORANGE",
  A125="GAMM", "GREEN",
  A125="BWF", "YELLOW",
  OR(A125="TNBE", A125="TNBL", A125="TNBD", A125="TNWC", A125="TNBW", A125="THBS"), "PINK",
  A125="CRWD", "BLUE",
  A125="PASS", "WHITE"
)</f>
        <v>#N/A</v>
      </c>
    </row>
    <row r="126" spans="1:23" x14ac:dyDescent="0.25">
      <c r="A126" s="7"/>
      <c r="B126" s="7"/>
      <c r="C126" s="4"/>
      <c r="G126" s="3"/>
      <c r="I126" s="3"/>
      <c r="J126" s="17"/>
      <c r="K126" s="17"/>
      <c r="L126" s="18"/>
      <c r="M126" s="3"/>
      <c r="P126" s="3"/>
      <c r="Q126" s="4"/>
      <c r="R126" s="19"/>
      <c r="S126" s="20"/>
      <c r="T126" s="3"/>
      <c r="U126" s="3" t="str">
        <f t="shared" si="6"/>
        <v/>
      </c>
      <c r="V126" s="4" t="str">
        <f t="shared" si="7"/>
        <v/>
      </c>
      <c r="W126" s="21" t="e" cm="1">
        <f t="array" ref="W126">_xlfn.IFS(
  A126="BELL", "WHITE",
  A126="GAMP", "ORANGE",
  A126="GAMM", "GREEN",
  A126="BWF", "YELLOW",
  OR(A126="TNBE", A126="TNBL", A126="TNBD", A126="TNWC", A126="TNBW", A126="THBS"), "PINK",
  A126="CRWD", "BLUE",
  A126="PASS", "WHITE"
)</f>
        <v>#N/A</v>
      </c>
    </row>
    <row r="127" spans="1:23" x14ac:dyDescent="0.25">
      <c r="A127" s="7"/>
      <c r="B127" s="7"/>
      <c r="C127" s="4"/>
      <c r="G127" s="3"/>
      <c r="I127" s="3"/>
      <c r="J127" s="17"/>
      <c r="K127" s="17"/>
      <c r="L127" s="18"/>
      <c r="M127" s="3"/>
      <c r="P127" s="3"/>
      <c r="Q127" s="4"/>
      <c r="R127" s="19"/>
      <c r="S127" s="20"/>
      <c r="T127" s="3"/>
      <c r="U127" s="3" t="str">
        <f t="shared" si="6"/>
        <v/>
      </c>
      <c r="V127" s="4" t="str">
        <f t="shared" si="7"/>
        <v/>
      </c>
      <c r="W127" s="21" t="e" cm="1">
        <f t="array" ref="W127">_xlfn.IFS(
  A127="BELL", "WHITE",
  A127="GAMP", "ORANGE",
  A127="GAMM", "GREEN",
  A127="BWF", "YELLOW",
  OR(A127="TNBE", A127="TNBL", A127="TNBD", A127="TNWC", A127="TNBW", A127="THBS"), "PINK",
  A127="CRWD", "BLUE",
  A127="PASS", "WHITE"
)</f>
        <v>#N/A</v>
      </c>
    </row>
    <row r="128" spans="1:23" x14ac:dyDescent="0.25">
      <c r="A128" s="7"/>
      <c r="B128" s="7"/>
      <c r="C128" s="4"/>
      <c r="G128" s="3"/>
      <c r="I128" s="3"/>
      <c r="J128" s="17"/>
      <c r="K128" s="17"/>
      <c r="L128" s="18"/>
      <c r="M128" s="3"/>
      <c r="P128" s="3"/>
      <c r="Q128" s="4"/>
      <c r="R128" s="19"/>
      <c r="S128" s="20"/>
      <c r="T128" s="3"/>
      <c r="U128" s="3" t="str">
        <f t="shared" si="6"/>
        <v/>
      </c>
      <c r="V128" s="4" t="str">
        <f t="shared" si="7"/>
        <v/>
      </c>
      <c r="W128" s="21" t="e" cm="1">
        <f t="array" ref="W128">_xlfn.IFS(
  A128="BELL", "WHITE",
  A128="GAMP", "ORANGE",
  A128="GAMM", "GREEN",
  A128="BWF", "YELLOW",
  OR(A128="TNBE", A128="TNBL", A128="TNBD", A128="TNWC", A128="TNBW", A128="THBS"), "PINK",
  A128="CRWD", "BLUE",
  A128="PASS", "WHITE"
)</f>
        <v>#N/A</v>
      </c>
    </row>
    <row r="129" spans="1:23" x14ac:dyDescent="0.25">
      <c r="A129" s="7"/>
      <c r="B129" s="7"/>
      <c r="C129" s="4"/>
      <c r="G129" s="3"/>
      <c r="I129" s="3"/>
      <c r="J129" s="17"/>
      <c r="K129" s="17"/>
      <c r="L129" s="18"/>
      <c r="M129" s="3"/>
      <c r="P129" s="3"/>
      <c r="Q129" s="4"/>
      <c r="R129" s="19"/>
      <c r="S129" s="20"/>
      <c r="T129" s="3"/>
      <c r="U129" s="3" t="str">
        <f t="shared" si="6"/>
        <v/>
      </c>
      <c r="V129" s="4" t="str">
        <f t="shared" si="7"/>
        <v/>
      </c>
      <c r="W129" s="21" t="e" cm="1">
        <f t="array" ref="W129">_xlfn.IFS(
  A129="BELL", "WHITE",
  A129="GAMP", "ORANGE",
  A129="GAMM", "GREEN",
  A129="BWF", "YELLOW",
  OR(A129="TNBE", A129="TNBL", A129="TNBD", A129="TNWC", A129="TNBW", A129="THBS"), "PINK",
  A129="CRWD", "BLUE",
  A129="PASS", "WHITE"
)</f>
        <v>#N/A</v>
      </c>
    </row>
    <row r="130" spans="1:23" x14ac:dyDescent="0.25">
      <c r="A130" s="7"/>
      <c r="B130" s="7"/>
      <c r="C130" s="4"/>
      <c r="E130" s="23"/>
      <c r="G130" s="22"/>
      <c r="I130" s="3"/>
      <c r="J130" s="17"/>
      <c r="K130" s="17"/>
      <c r="L130" s="18"/>
      <c r="M130" s="3"/>
      <c r="P130" s="3"/>
      <c r="Q130" s="4"/>
      <c r="R130" s="19"/>
      <c r="S130" s="20"/>
      <c r="T130" s="22"/>
      <c r="U130" s="3" t="str">
        <f t="shared" si="6"/>
        <v/>
      </c>
      <c r="V130" s="4" t="str">
        <f t="shared" si="7"/>
        <v/>
      </c>
      <c r="W130" s="21" t="e" cm="1">
        <f t="array" ref="W130">_xlfn.IFS(
  A130="BELL", "WHITE",
  A130="GAMP", "ORANGE",
  A130="GAMM", "GREEN",
  A130="BWF", "YELLOW",
  OR(A130="TNBE", A130="TNBL", A130="TNBD", A130="TNWC", A130="TNBW", A130="THBS"), "PINK",
  A130="CRWD", "BLUE",
  A130="PASS", "WHITE"
)</f>
        <v>#N/A</v>
      </c>
    </row>
    <row r="131" spans="1:23" x14ac:dyDescent="0.25">
      <c r="A131" s="7"/>
      <c r="B131" s="7"/>
      <c r="C131" s="4"/>
      <c r="G131" s="3"/>
      <c r="I131" s="3"/>
      <c r="J131" s="17"/>
      <c r="K131" s="17"/>
      <c r="L131" s="18"/>
      <c r="M131" s="3"/>
      <c r="P131" s="3"/>
      <c r="Q131" s="4"/>
      <c r="R131" s="19"/>
      <c r="S131" s="20"/>
      <c r="T131" s="3"/>
      <c r="U131" s="3" t="str">
        <f t="shared" si="6"/>
        <v/>
      </c>
      <c r="V131" s="4" t="str">
        <f t="shared" si="7"/>
        <v/>
      </c>
      <c r="W131" s="21" t="e" cm="1">
        <f t="array" ref="W131">_xlfn.IFS(
  A131="BELL", "WHITE",
  A131="GAMP", "ORANGE",
  A131="GAMM", "GREEN",
  A131="BWF", "YELLOW",
  OR(A131="TNBE", A131="TNBL", A131="TNBD", A131="TNWC", A131="TNBW", A131="THBS"), "PINK",
  A131="CRWD", "BLUE",
  A131="PASS", "WHITE"
)</f>
        <v>#N/A</v>
      </c>
    </row>
    <row r="132" spans="1:23" x14ac:dyDescent="0.25">
      <c r="A132" s="7"/>
      <c r="B132" s="7"/>
      <c r="C132" s="4"/>
      <c r="G132" s="3"/>
      <c r="I132" s="3"/>
      <c r="J132" s="17"/>
      <c r="K132" s="17"/>
      <c r="L132" s="18"/>
      <c r="M132" s="3"/>
      <c r="P132" s="3"/>
      <c r="Q132" s="4"/>
      <c r="R132" s="19"/>
      <c r="S132" s="20"/>
      <c r="T132" s="3"/>
      <c r="U132" s="3" t="str">
        <f t="shared" ref="U132:U195" si="8">IF(T132="","",IF(T132&gt;I132,H132,T132/G132))</f>
        <v/>
      </c>
      <c r="V132" s="4" t="str">
        <f t="shared" ref="V132:V195" si="9">IF(T132&gt;I132,T132-I132,"")</f>
        <v/>
      </c>
      <c r="W132" s="21" t="e" cm="1">
        <f t="array" ref="W132">_xlfn.IFS(
  A132="BELL", "WHITE",
  A132="GAMP", "ORANGE",
  A132="GAMM", "GREEN",
  A132="BWF", "YELLOW",
  OR(A132="TNBE", A132="TNBL", A132="TNBD", A132="TNWC", A132="TNBW", A132="THBS"), "PINK",
  A132="CRWD", "BLUE",
  A132="PASS", "WHITE"
)</f>
        <v>#N/A</v>
      </c>
    </row>
    <row r="133" spans="1:23" x14ac:dyDescent="0.25">
      <c r="A133" s="7"/>
      <c r="B133" s="7"/>
      <c r="C133" s="4"/>
      <c r="G133" s="3"/>
      <c r="I133" s="3"/>
      <c r="J133" s="17"/>
      <c r="K133" s="17"/>
      <c r="L133" s="18"/>
      <c r="M133" s="3"/>
      <c r="P133" s="3"/>
      <c r="Q133" s="4"/>
      <c r="R133" s="19"/>
      <c r="S133" s="20"/>
      <c r="T133" s="3"/>
      <c r="U133" s="3" t="str">
        <f t="shared" si="8"/>
        <v/>
      </c>
      <c r="V133" s="4" t="str">
        <f t="shared" si="9"/>
        <v/>
      </c>
      <c r="W133" s="21" t="e" cm="1">
        <f t="array" ref="W133">_xlfn.IFS(
  A133="BELL", "WHITE",
  A133="GAMP", "ORANGE",
  A133="GAMM", "GREEN",
  A133="BWF", "YELLOW",
  OR(A133="TNBE", A133="TNBL", A133="TNBD", A133="TNWC", A133="TNBW", A133="THBS"), "PINK",
  A133="CRWD", "BLUE",
  A133="PASS", "WHITE"
)</f>
        <v>#N/A</v>
      </c>
    </row>
    <row r="134" spans="1:23" x14ac:dyDescent="0.25">
      <c r="A134" s="7"/>
      <c r="B134" s="7"/>
      <c r="C134" s="4"/>
      <c r="G134" s="3"/>
      <c r="I134" s="3"/>
      <c r="J134" s="17"/>
      <c r="K134" s="17"/>
      <c r="L134" s="18"/>
      <c r="M134" s="3"/>
      <c r="P134" s="3"/>
      <c r="Q134" s="4"/>
      <c r="R134" s="19"/>
      <c r="S134" s="20"/>
      <c r="T134" s="3"/>
      <c r="U134" s="3" t="str">
        <f t="shared" si="8"/>
        <v/>
      </c>
      <c r="V134" s="4" t="str">
        <f t="shared" si="9"/>
        <v/>
      </c>
      <c r="W134" s="21" t="e" cm="1">
        <f t="array" ref="W134">_xlfn.IFS(
  A134="BELL", "WHITE",
  A134="GAMP", "ORANGE",
  A134="GAMM", "GREEN",
  A134="BWF", "YELLOW",
  OR(A134="TNBE", A134="TNBL", A134="TNBD", A134="TNWC", A134="TNBW", A134="THBS"), "PINK",
  A134="CRWD", "BLUE",
  A134="PASS", "WHITE"
)</f>
        <v>#N/A</v>
      </c>
    </row>
    <row r="135" spans="1:23" x14ac:dyDescent="0.25">
      <c r="A135" s="7"/>
      <c r="B135" s="7"/>
      <c r="C135" s="4"/>
      <c r="G135" s="3"/>
      <c r="I135" s="3"/>
      <c r="J135" s="17"/>
      <c r="K135" s="17"/>
      <c r="L135" s="18"/>
      <c r="M135" s="3"/>
      <c r="P135" s="3"/>
      <c r="Q135" s="4"/>
      <c r="R135" s="19"/>
      <c r="S135" s="20"/>
      <c r="T135" s="3"/>
      <c r="U135" s="3" t="str">
        <f t="shared" si="8"/>
        <v/>
      </c>
      <c r="V135" s="4" t="str">
        <f t="shared" si="9"/>
        <v/>
      </c>
      <c r="W135" s="21" t="e" cm="1">
        <f t="array" ref="W135">_xlfn.IFS(
  A135="BELL", "WHITE",
  A135="GAMP", "ORANGE",
  A135="GAMM", "GREEN",
  A135="BWF", "YELLOW",
  OR(A135="TNBE", A135="TNBL", A135="TNBD", A135="TNWC", A135="TNBW", A135="THBS"), "PINK",
  A135="CRWD", "BLUE",
  A135="PASS", "WHITE"
)</f>
        <v>#N/A</v>
      </c>
    </row>
    <row r="136" spans="1:23" x14ac:dyDescent="0.25">
      <c r="A136" s="7"/>
      <c r="B136" s="7"/>
      <c r="C136" s="4"/>
      <c r="G136" s="3"/>
      <c r="I136" s="3"/>
      <c r="J136" s="17"/>
      <c r="K136" s="17"/>
      <c r="L136" s="18"/>
      <c r="M136" s="3"/>
      <c r="P136" s="3"/>
      <c r="Q136" s="4"/>
      <c r="R136" s="19"/>
      <c r="S136" s="20"/>
      <c r="T136" s="3"/>
      <c r="U136" s="3" t="str">
        <f t="shared" si="8"/>
        <v/>
      </c>
      <c r="V136" s="4" t="str">
        <f t="shared" si="9"/>
        <v/>
      </c>
      <c r="W136" s="21" t="e" cm="1">
        <f t="array" ref="W136">_xlfn.IFS(
  A136="BELL", "WHITE",
  A136="GAMP", "ORANGE",
  A136="GAMM", "GREEN",
  A136="BWF", "YELLOW",
  OR(A136="TNBE", A136="TNBL", A136="TNBD", A136="TNWC", A136="TNBW", A136="THBS"), "PINK",
  A136="CRWD", "BLUE",
  A136="PASS", "WHITE"
)</f>
        <v>#N/A</v>
      </c>
    </row>
    <row r="137" spans="1:23" x14ac:dyDescent="0.25">
      <c r="A137" s="7"/>
      <c r="B137" s="7"/>
      <c r="C137" s="4"/>
      <c r="G137" s="22"/>
      <c r="I137" s="3"/>
      <c r="J137" s="17"/>
      <c r="K137" s="17"/>
      <c r="L137" s="18"/>
      <c r="M137" s="3"/>
      <c r="P137" s="3"/>
      <c r="Q137" s="4"/>
      <c r="R137" s="19"/>
      <c r="S137" s="20"/>
      <c r="T137" s="22"/>
      <c r="U137" s="3" t="str">
        <f t="shared" si="8"/>
        <v/>
      </c>
      <c r="V137" s="4" t="str">
        <f t="shared" si="9"/>
        <v/>
      </c>
      <c r="W137" s="21" t="e" cm="1">
        <f t="array" ref="W137">_xlfn.IFS(
  A137="BELL", "WHITE",
  A137="GAMP", "ORANGE",
  A137="GAMM", "GREEN",
  A137="BWF", "YELLOW",
  OR(A137="TNBE", A137="TNBL", A137="TNBD", A137="TNWC", A137="TNBW", A137="THBS"), "PINK",
  A137="CRWD", "BLUE",
  A137="PASS", "WHITE"
)</f>
        <v>#N/A</v>
      </c>
    </row>
    <row r="138" spans="1:23" x14ac:dyDescent="0.25">
      <c r="A138" s="7"/>
      <c r="B138" s="7"/>
      <c r="C138" s="4"/>
      <c r="G138" s="3"/>
      <c r="I138" s="3"/>
      <c r="J138" s="17"/>
      <c r="K138" s="17"/>
      <c r="L138" s="18"/>
      <c r="M138" s="3"/>
      <c r="P138" s="3"/>
      <c r="Q138" s="4"/>
      <c r="R138" s="19"/>
      <c r="S138" s="20"/>
      <c r="T138" s="3"/>
      <c r="U138" s="3" t="str">
        <f t="shared" si="8"/>
        <v/>
      </c>
      <c r="V138" s="4" t="str">
        <f t="shared" si="9"/>
        <v/>
      </c>
      <c r="W138" s="21" t="e" cm="1">
        <f t="array" ref="W138">_xlfn.IFS(
  A138="BELL", "WHITE",
  A138="GAMP", "ORANGE",
  A138="GAMM", "GREEN",
  A138="BWF", "YELLOW",
  OR(A138="TNBE", A138="TNBL", A138="TNBD", A138="TNWC", A138="TNBW", A138="THBS"), "PINK",
  A138="CRWD", "BLUE",
  A138="PASS", "WHITE"
)</f>
        <v>#N/A</v>
      </c>
    </row>
    <row r="139" spans="1:23" x14ac:dyDescent="0.25">
      <c r="A139" s="7"/>
      <c r="B139" s="7"/>
      <c r="C139" s="4"/>
      <c r="G139" s="3"/>
      <c r="I139" s="3"/>
      <c r="J139" s="17"/>
      <c r="K139" s="17"/>
      <c r="L139" s="18"/>
      <c r="M139" s="3"/>
      <c r="P139" s="3"/>
      <c r="Q139" s="4"/>
      <c r="R139" s="19"/>
      <c r="S139" s="20"/>
      <c r="T139" s="3"/>
      <c r="U139" s="3" t="str">
        <f t="shared" si="8"/>
        <v/>
      </c>
      <c r="V139" s="4" t="str">
        <f t="shared" si="9"/>
        <v/>
      </c>
      <c r="W139" s="21" t="e" cm="1">
        <f t="array" ref="W139">_xlfn.IFS(
  A139="BELL", "WHITE",
  A139="GAMP", "ORANGE",
  A139="GAMM", "GREEN",
  A139="BWF", "YELLOW",
  OR(A139="TNBE", A139="TNBL", A139="TNBD", A139="TNWC", A139="TNBW", A139="THBS"), "PINK",
  A139="CRWD", "BLUE",
  A139="PASS", "WHITE"
)</f>
        <v>#N/A</v>
      </c>
    </row>
    <row r="140" spans="1:23" x14ac:dyDescent="0.25">
      <c r="A140" s="7"/>
      <c r="B140" s="7"/>
      <c r="C140" s="4"/>
      <c r="G140" s="3"/>
      <c r="I140" s="3"/>
      <c r="J140" s="17"/>
      <c r="K140" s="17"/>
      <c r="L140" s="18"/>
      <c r="M140" s="3"/>
      <c r="P140" s="3"/>
      <c r="Q140" s="4"/>
      <c r="R140" s="19"/>
      <c r="S140" s="20"/>
      <c r="T140" s="3"/>
      <c r="U140" s="3" t="str">
        <f t="shared" si="8"/>
        <v/>
      </c>
      <c r="V140" s="4" t="str">
        <f t="shared" si="9"/>
        <v/>
      </c>
      <c r="W140" s="21" t="e" cm="1">
        <f t="array" ref="W140">_xlfn.IFS(
  A140="BELL", "WHITE",
  A140="GAMP", "ORANGE",
  A140="GAMM", "GREEN",
  A140="BWF", "YELLOW",
  OR(A140="TNBE", A140="TNBL", A140="TNBD", A140="TNWC", A140="TNBW", A140="THBS"), "PINK",
  A140="CRWD", "BLUE",
  A140="PASS", "WHITE"
)</f>
        <v>#N/A</v>
      </c>
    </row>
    <row r="141" spans="1:23" x14ac:dyDescent="0.25">
      <c r="A141" s="7"/>
      <c r="B141" s="7"/>
      <c r="C141" s="4"/>
      <c r="G141" s="3"/>
      <c r="I141" s="3"/>
      <c r="J141" s="17"/>
      <c r="K141" s="17"/>
      <c r="L141" s="18"/>
      <c r="M141" s="3"/>
      <c r="P141" s="3"/>
      <c r="Q141" s="4"/>
      <c r="R141" s="19"/>
      <c r="S141" s="20"/>
      <c r="T141" s="3"/>
      <c r="U141" s="3" t="str">
        <f t="shared" si="8"/>
        <v/>
      </c>
      <c r="V141" s="4" t="str">
        <f t="shared" si="9"/>
        <v/>
      </c>
      <c r="W141" s="21" t="e" cm="1">
        <f t="array" ref="W141">_xlfn.IFS(
  A141="BELL", "WHITE",
  A141="GAMP", "ORANGE",
  A141="GAMM", "GREEN",
  A141="BWF", "YELLOW",
  OR(A141="TNBE", A141="TNBL", A141="TNBD", A141="TNWC", A141="TNBW", A141="THBS"), "PINK",
  A141="CRWD", "BLUE",
  A141="PASS", "WHITE"
)</f>
        <v>#N/A</v>
      </c>
    </row>
    <row r="142" spans="1:23" x14ac:dyDescent="0.25">
      <c r="A142" s="7"/>
      <c r="B142" s="7"/>
      <c r="C142" s="4"/>
      <c r="G142" s="3"/>
      <c r="I142" s="3"/>
      <c r="J142" s="17"/>
      <c r="K142" s="17"/>
      <c r="L142" s="18"/>
      <c r="M142" s="3"/>
      <c r="P142" s="3"/>
      <c r="Q142" s="4"/>
      <c r="R142" s="19"/>
      <c r="S142" s="20"/>
      <c r="T142" s="3"/>
      <c r="U142" s="3" t="str">
        <f t="shared" si="8"/>
        <v/>
      </c>
      <c r="V142" s="4" t="str">
        <f t="shared" si="9"/>
        <v/>
      </c>
      <c r="W142" s="21" t="e" cm="1">
        <f t="array" ref="W142">_xlfn.IFS(
  A142="BELL", "WHITE",
  A142="GAMP", "ORANGE",
  A142="GAMM", "GREEN",
  A142="BWF", "YELLOW",
  OR(A142="TNBE", A142="TNBL", A142="TNBD", A142="TNWC", A142="TNBW", A142="THBS"), "PINK",
  A142="CRWD", "BLUE",
  A142="PASS", "WHITE"
)</f>
        <v>#N/A</v>
      </c>
    </row>
    <row r="143" spans="1:23" x14ac:dyDescent="0.25">
      <c r="A143" s="7"/>
      <c r="B143" s="7"/>
      <c r="C143" s="4"/>
      <c r="G143" s="3"/>
      <c r="I143" s="3"/>
      <c r="J143" s="17"/>
      <c r="K143" s="17"/>
      <c r="L143" s="18"/>
      <c r="M143" s="3"/>
      <c r="P143" s="3"/>
      <c r="Q143" s="4"/>
      <c r="R143" s="19"/>
      <c r="S143" s="20"/>
      <c r="T143" s="3"/>
      <c r="U143" s="3" t="str">
        <f t="shared" si="8"/>
        <v/>
      </c>
      <c r="V143" s="4" t="str">
        <f t="shared" si="9"/>
        <v/>
      </c>
      <c r="W143" s="21" t="e" cm="1">
        <f t="array" ref="W143">_xlfn.IFS(
  A143="BELL", "WHITE",
  A143="GAMP", "ORANGE",
  A143="GAMM", "GREEN",
  A143="BWF", "YELLOW",
  OR(A143="TNBE", A143="TNBL", A143="TNBD", A143="TNWC", A143="TNBW", A143="THBS"), "PINK",
  A143="CRWD", "BLUE",
  A143="PASS", "WHITE"
)</f>
        <v>#N/A</v>
      </c>
    </row>
    <row r="144" spans="1:23" x14ac:dyDescent="0.25">
      <c r="A144" s="7"/>
      <c r="B144" s="7"/>
      <c r="C144" s="4"/>
      <c r="G144" s="22"/>
      <c r="I144" s="3"/>
      <c r="J144" s="17"/>
      <c r="K144" s="17"/>
      <c r="L144" s="18"/>
      <c r="M144" s="3"/>
      <c r="P144" s="3"/>
      <c r="Q144" s="4"/>
      <c r="R144" s="19"/>
      <c r="S144" s="20"/>
      <c r="T144" s="22"/>
      <c r="U144" s="3" t="str">
        <f t="shared" si="8"/>
        <v/>
      </c>
      <c r="V144" s="4" t="str">
        <f t="shared" si="9"/>
        <v/>
      </c>
      <c r="W144" s="21" t="e" cm="1">
        <f t="array" ref="W144">_xlfn.IFS(
  A144="BELL", "WHITE",
  A144="GAMP", "ORANGE",
  A144="GAMM", "GREEN",
  A144="BWF", "YELLOW",
  OR(A144="TNBE", A144="TNBL", A144="TNBD", A144="TNWC", A144="TNBW", A144="THBS"), "PINK",
  A144="CRWD", "BLUE",
  A144="PASS", "WHITE"
)</f>
        <v>#N/A</v>
      </c>
    </row>
    <row r="145" spans="1:23" x14ac:dyDescent="0.25">
      <c r="A145" s="7"/>
      <c r="B145" s="7"/>
      <c r="C145" s="4"/>
      <c r="G145" s="3"/>
      <c r="I145" s="3"/>
      <c r="J145" s="17"/>
      <c r="K145" s="17"/>
      <c r="L145" s="18"/>
      <c r="M145" s="3"/>
      <c r="P145" s="3"/>
      <c r="Q145" s="4"/>
      <c r="R145" s="19"/>
      <c r="S145" s="20"/>
      <c r="T145" s="3"/>
      <c r="U145" s="3" t="str">
        <f t="shared" si="8"/>
        <v/>
      </c>
      <c r="V145" s="4" t="str">
        <f t="shared" si="9"/>
        <v/>
      </c>
      <c r="W145" s="21" t="e" cm="1">
        <f t="array" ref="W145">_xlfn.IFS(
  A145="BELL", "WHITE",
  A145="GAMP", "ORANGE",
  A145="GAMM", "GREEN",
  A145="BWF", "YELLOW",
  OR(A145="TNBE", A145="TNBL", A145="TNBD", A145="TNWC", A145="TNBW", A145="THBS"), "PINK",
  A145="CRWD", "BLUE",
  A145="PASS", "WHITE"
)</f>
        <v>#N/A</v>
      </c>
    </row>
    <row r="146" spans="1:23" x14ac:dyDescent="0.25">
      <c r="A146" s="7"/>
      <c r="B146" s="7"/>
      <c r="C146" s="4"/>
      <c r="G146" s="3"/>
      <c r="I146" s="3"/>
      <c r="J146" s="17"/>
      <c r="K146" s="17"/>
      <c r="L146" s="18"/>
      <c r="M146" s="3"/>
      <c r="P146" s="3"/>
      <c r="Q146" s="4"/>
      <c r="R146" s="19"/>
      <c r="S146" s="20"/>
      <c r="T146" s="3"/>
      <c r="U146" s="3" t="str">
        <f t="shared" si="8"/>
        <v/>
      </c>
      <c r="V146" s="4" t="str">
        <f t="shared" si="9"/>
        <v/>
      </c>
      <c r="W146" s="21" t="e" cm="1">
        <f t="array" ref="W146">_xlfn.IFS(
  A146="BELL", "WHITE",
  A146="GAMP", "ORANGE",
  A146="GAMM", "GREEN",
  A146="BWF", "YELLOW",
  OR(A146="TNBE", A146="TNBL", A146="TNBD", A146="TNWC", A146="TNBW", A146="THBS"), "PINK",
  A146="CRWD", "BLUE",
  A146="PASS", "WHITE"
)</f>
        <v>#N/A</v>
      </c>
    </row>
    <row r="147" spans="1:23" x14ac:dyDescent="0.25">
      <c r="A147" s="7"/>
      <c r="B147" s="7"/>
      <c r="C147" s="4"/>
      <c r="G147" s="3"/>
      <c r="I147" s="3"/>
      <c r="J147" s="17"/>
      <c r="K147" s="17"/>
      <c r="L147" s="18"/>
      <c r="M147" s="3"/>
      <c r="P147" s="3"/>
      <c r="Q147" s="4"/>
      <c r="R147" s="19"/>
      <c r="S147" s="20"/>
      <c r="T147" s="3"/>
      <c r="U147" s="3" t="str">
        <f t="shared" si="8"/>
        <v/>
      </c>
      <c r="V147" s="4" t="str">
        <f t="shared" si="9"/>
        <v/>
      </c>
      <c r="W147" s="21" t="e" cm="1">
        <f t="array" ref="W147">_xlfn.IFS(
  A147="BELL", "WHITE",
  A147="GAMP", "ORANGE",
  A147="GAMM", "GREEN",
  A147="BWF", "YELLOW",
  OR(A147="TNBE", A147="TNBL", A147="TNBD", A147="TNWC", A147="TNBW", A147="THBS"), "PINK",
  A147="CRWD", "BLUE",
  A147="PASS", "WHITE"
)</f>
        <v>#N/A</v>
      </c>
    </row>
    <row r="148" spans="1:23" x14ac:dyDescent="0.25">
      <c r="A148" s="7"/>
      <c r="B148" s="7"/>
      <c r="C148" s="4"/>
      <c r="G148" s="3"/>
      <c r="I148" s="3"/>
      <c r="J148" s="17"/>
      <c r="K148" s="17"/>
      <c r="L148" s="18"/>
      <c r="M148" s="3"/>
      <c r="P148" s="3"/>
      <c r="Q148" s="4"/>
      <c r="R148" s="19"/>
      <c r="S148" s="20"/>
      <c r="T148" s="3"/>
      <c r="U148" s="3" t="str">
        <f t="shared" si="8"/>
        <v/>
      </c>
      <c r="V148" s="4" t="str">
        <f t="shared" si="9"/>
        <v/>
      </c>
      <c r="W148" s="21" t="e" cm="1">
        <f t="array" ref="W148">_xlfn.IFS(
  A148="BELL", "WHITE",
  A148="GAMP", "ORANGE",
  A148="GAMM", "GREEN",
  A148="BWF", "YELLOW",
  OR(A148="TNBE", A148="TNBL", A148="TNBD", A148="TNWC", A148="TNBW", A148="THBS"), "PINK",
  A148="CRWD", "BLUE",
  A148="PASS", "WHITE"
)</f>
        <v>#N/A</v>
      </c>
    </row>
    <row r="149" spans="1:23" x14ac:dyDescent="0.25">
      <c r="A149" s="7"/>
      <c r="B149" s="7"/>
      <c r="C149" s="4"/>
      <c r="G149" s="3"/>
      <c r="I149" s="3"/>
      <c r="J149" s="17"/>
      <c r="K149" s="17"/>
      <c r="L149" s="18"/>
      <c r="M149" s="3"/>
      <c r="P149" s="3"/>
      <c r="Q149" s="4"/>
      <c r="R149" s="19"/>
      <c r="S149" s="20"/>
      <c r="T149" s="3"/>
      <c r="U149" s="3" t="str">
        <f t="shared" si="8"/>
        <v/>
      </c>
      <c r="V149" s="4" t="str">
        <f t="shared" si="9"/>
        <v/>
      </c>
      <c r="W149" s="21" t="e" cm="1">
        <f t="array" ref="W149">_xlfn.IFS(
  A149="BELL", "WHITE",
  A149="GAMP", "ORANGE",
  A149="GAMM", "GREEN",
  A149="BWF", "YELLOW",
  OR(A149="TNBE", A149="TNBL", A149="TNBD", A149="TNWC", A149="TNBW", A149="THBS"), "PINK",
  A149="CRWD", "BLUE",
  A149="PASS", "WHITE"
)</f>
        <v>#N/A</v>
      </c>
    </row>
    <row r="150" spans="1:23" x14ac:dyDescent="0.25">
      <c r="A150" s="7"/>
      <c r="B150" s="7"/>
      <c r="C150" s="4"/>
      <c r="G150" s="3"/>
      <c r="I150" s="3"/>
      <c r="J150" s="17"/>
      <c r="K150" s="17"/>
      <c r="L150" s="18"/>
      <c r="M150" s="3"/>
      <c r="P150" s="3"/>
      <c r="Q150" s="4"/>
      <c r="R150" s="19"/>
      <c r="S150" s="20"/>
      <c r="T150" s="3"/>
      <c r="U150" s="3" t="str">
        <f t="shared" si="8"/>
        <v/>
      </c>
      <c r="V150" s="4" t="str">
        <f t="shared" si="9"/>
        <v/>
      </c>
      <c r="W150" s="21" t="e" cm="1">
        <f t="array" ref="W150">_xlfn.IFS(
  A150="BELL", "WHITE",
  A150="GAMP", "ORANGE",
  A150="GAMM", "GREEN",
  A150="BWF", "YELLOW",
  OR(A150="TNBE", A150="TNBL", A150="TNBD", A150="TNWC", A150="TNBW", A150="THBS"), "PINK",
  A150="CRWD", "BLUE",
  A150="PASS", "WHITE"
)</f>
        <v>#N/A</v>
      </c>
    </row>
    <row r="151" spans="1:23" x14ac:dyDescent="0.25">
      <c r="A151" s="7"/>
      <c r="B151" s="7"/>
      <c r="C151" s="4"/>
      <c r="G151" s="22"/>
      <c r="I151" s="3"/>
      <c r="J151" s="17"/>
      <c r="K151" s="17"/>
      <c r="L151" s="18"/>
      <c r="M151" s="3"/>
      <c r="P151" s="3"/>
      <c r="Q151" s="4"/>
      <c r="R151" s="19"/>
      <c r="S151" s="20"/>
      <c r="T151" s="22"/>
      <c r="U151" s="3" t="str">
        <f t="shared" si="8"/>
        <v/>
      </c>
      <c r="V151" s="4" t="str">
        <f t="shared" si="9"/>
        <v/>
      </c>
      <c r="W151" s="21" t="e" cm="1">
        <f t="array" ref="W151">_xlfn.IFS(
  A151="BELL", "WHITE",
  A151="GAMP", "ORANGE",
  A151="GAMM", "GREEN",
  A151="BWF", "YELLOW",
  OR(A151="TNBE", A151="TNBL", A151="TNBD", A151="TNWC", A151="TNBW", A151="THBS"), "PINK",
  A151="CRWD", "BLUE",
  A151="PASS", "WHITE"
)</f>
        <v>#N/A</v>
      </c>
    </row>
    <row r="152" spans="1:23" x14ac:dyDescent="0.25">
      <c r="A152" s="7"/>
      <c r="B152" s="7"/>
      <c r="C152" s="4"/>
      <c r="G152" s="22"/>
      <c r="I152" s="3"/>
      <c r="J152" s="17"/>
      <c r="K152" s="17"/>
      <c r="L152" s="18"/>
      <c r="M152" s="3"/>
      <c r="P152" s="3"/>
      <c r="Q152" s="4"/>
      <c r="R152" s="19"/>
      <c r="S152" s="20"/>
      <c r="T152" s="22"/>
      <c r="U152" s="3" t="str">
        <f t="shared" si="8"/>
        <v/>
      </c>
      <c r="V152" s="4" t="str">
        <f t="shared" si="9"/>
        <v/>
      </c>
      <c r="W152" s="21" t="e" cm="1">
        <f t="array" ref="W152">_xlfn.IFS(
  A152="BELL", "WHITE",
  A152="GAMP", "ORANGE",
  A152="GAMM", "GREEN",
  A152="BWF", "YELLOW",
  OR(A152="TNBE", A152="TNBL", A152="TNBD", A152="TNWC", A152="TNBW", A152="THBS"), "PINK",
  A152="CRWD", "BLUE",
  A152="PASS", "WHITE"
)</f>
        <v>#N/A</v>
      </c>
    </row>
    <row r="153" spans="1:23" x14ac:dyDescent="0.25">
      <c r="A153" s="7"/>
      <c r="B153" s="7"/>
      <c r="C153" s="4"/>
      <c r="G153" s="3"/>
      <c r="I153" s="3"/>
      <c r="J153" s="17"/>
      <c r="K153" s="17"/>
      <c r="L153" s="18"/>
      <c r="M153" s="3"/>
      <c r="P153" s="3"/>
      <c r="Q153" s="4"/>
      <c r="R153" s="19"/>
      <c r="S153" s="20"/>
      <c r="T153" s="3"/>
      <c r="U153" s="3" t="str">
        <f t="shared" si="8"/>
        <v/>
      </c>
      <c r="V153" s="4" t="str">
        <f t="shared" si="9"/>
        <v/>
      </c>
      <c r="W153" s="21" t="e" cm="1">
        <f t="array" ref="W153">_xlfn.IFS(
  A153="BELL", "WHITE",
  A153="GAMP", "ORANGE",
  A153="GAMM", "GREEN",
  A153="BWF", "YELLOW",
  OR(A153="TNBE", A153="TNBL", A153="TNBD", A153="TNWC", A153="TNBW", A153="THBS"), "PINK",
  A153="CRWD", "BLUE",
  A153="PASS", "WHITE"
)</f>
        <v>#N/A</v>
      </c>
    </row>
    <row r="154" spans="1:23" x14ac:dyDescent="0.25">
      <c r="A154" s="7"/>
      <c r="B154" s="7"/>
      <c r="C154" s="4"/>
      <c r="G154" s="3"/>
      <c r="I154" s="3"/>
      <c r="J154" s="17"/>
      <c r="K154" s="17"/>
      <c r="L154" s="18"/>
      <c r="M154" s="3"/>
      <c r="P154" s="3"/>
      <c r="Q154" s="4"/>
      <c r="R154" s="19"/>
      <c r="S154" s="20"/>
      <c r="T154" s="3"/>
      <c r="U154" s="3" t="str">
        <f t="shared" si="8"/>
        <v/>
      </c>
      <c r="V154" s="4" t="str">
        <f t="shared" si="9"/>
        <v/>
      </c>
      <c r="W154" s="21" t="e" cm="1">
        <f t="array" ref="W154">_xlfn.IFS(
  A154="BELL", "WHITE",
  A154="GAMP", "ORANGE",
  A154="GAMM", "GREEN",
  A154="BWF", "YELLOW",
  OR(A154="TNBE", A154="TNBL", A154="TNBD", A154="TNWC", A154="TNBW", A154="THBS"), "PINK",
  A154="CRWD", "BLUE",
  A154="PASS", "WHITE"
)</f>
        <v>#N/A</v>
      </c>
    </row>
    <row r="155" spans="1:23" x14ac:dyDescent="0.25">
      <c r="A155" s="7"/>
      <c r="B155" s="7"/>
      <c r="C155" s="4"/>
      <c r="G155" s="3"/>
      <c r="I155" s="3"/>
      <c r="J155" s="17"/>
      <c r="K155" s="17"/>
      <c r="L155" s="18"/>
      <c r="M155" s="3"/>
      <c r="P155" s="3"/>
      <c r="Q155" s="4"/>
      <c r="R155" s="19"/>
      <c r="S155" s="20"/>
      <c r="T155" s="3"/>
      <c r="U155" s="3" t="str">
        <f t="shared" si="8"/>
        <v/>
      </c>
      <c r="V155" s="4" t="str">
        <f t="shared" si="9"/>
        <v/>
      </c>
      <c r="W155" s="21" t="e" cm="1">
        <f t="array" ref="W155">_xlfn.IFS(
  A155="BELL", "WHITE",
  A155="GAMP", "ORANGE",
  A155="GAMM", "GREEN",
  A155="BWF", "YELLOW",
  OR(A155="TNBE", A155="TNBL", A155="TNBD", A155="TNWC", A155="TNBW", A155="THBS"), "PINK",
  A155="CRWD", "BLUE",
  A155="PASS", "WHITE"
)</f>
        <v>#N/A</v>
      </c>
    </row>
    <row r="156" spans="1:23" x14ac:dyDescent="0.25">
      <c r="A156" s="7"/>
      <c r="B156" s="7"/>
      <c r="C156" s="4"/>
      <c r="G156" s="3"/>
      <c r="I156" s="3"/>
      <c r="J156" s="17"/>
      <c r="K156" s="17"/>
      <c r="L156" s="18"/>
      <c r="M156" s="18"/>
      <c r="P156" s="3"/>
      <c r="Q156" s="4"/>
      <c r="R156" s="19"/>
      <c r="S156" s="20"/>
      <c r="T156" s="3"/>
      <c r="U156" s="3" t="str">
        <f t="shared" si="8"/>
        <v/>
      </c>
      <c r="V156" s="4" t="str">
        <f t="shared" si="9"/>
        <v/>
      </c>
      <c r="W156" s="21" t="e" cm="1">
        <f t="array" ref="W156">_xlfn.IFS(
  A156="BELL", "WHITE",
  A156="GAMP", "ORANGE",
  A156="GAMM", "GREEN",
  A156="BWF", "YELLOW",
  OR(A156="TNBE", A156="TNBL", A156="TNBD", A156="TNWC", A156="TNBW", A156="THBS"), "PINK",
  A156="CRWD", "BLUE",
  A156="PASS", "WHITE"
)</f>
        <v>#N/A</v>
      </c>
    </row>
    <row r="157" spans="1:23" x14ac:dyDescent="0.25">
      <c r="A157" s="7"/>
      <c r="B157" s="7"/>
      <c r="C157" s="4"/>
      <c r="G157" s="3"/>
      <c r="I157" s="3"/>
      <c r="J157" s="17"/>
      <c r="K157" s="17"/>
      <c r="L157" s="18"/>
      <c r="M157" s="3"/>
      <c r="P157" s="3"/>
      <c r="Q157" s="4"/>
      <c r="R157" s="19"/>
      <c r="S157" s="20"/>
      <c r="T157" s="3"/>
      <c r="U157" s="3" t="str">
        <f t="shared" si="8"/>
        <v/>
      </c>
      <c r="V157" s="4" t="str">
        <f t="shared" si="9"/>
        <v/>
      </c>
      <c r="W157" s="21" t="e" cm="1">
        <f t="array" ref="W157">_xlfn.IFS(
  A157="BELL", "WHITE",
  A157="GAMP", "ORANGE",
  A157="GAMM", "GREEN",
  A157="BWF", "YELLOW",
  OR(A157="TNBE", A157="TNBL", A157="TNBD", A157="TNWC", A157="TNBW", A157="THBS"), "PINK",
  A157="CRWD", "BLUE",
  A157="PASS", "WHITE"
)</f>
        <v>#N/A</v>
      </c>
    </row>
    <row r="158" spans="1:23" x14ac:dyDescent="0.25">
      <c r="A158" s="7"/>
      <c r="B158" s="7"/>
      <c r="C158" s="4"/>
      <c r="G158" s="3"/>
      <c r="I158" s="3"/>
      <c r="J158" s="17"/>
      <c r="K158" s="17"/>
      <c r="L158" s="18"/>
      <c r="M158" s="18"/>
      <c r="P158" s="3"/>
      <c r="Q158" s="4"/>
      <c r="R158" s="19"/>
      <c r="S158" s="20"/>
      <c r="T158" s="3"/>
      <c r="U158" s="3" t="str">
        <f t="shared" si="8"/>
        <v/>
      </c>
      <c r="V158" s="4" t="str">
        <f t="shared" si="9"/>
        <v/>
      </c>
      <c r="W158" s="21" t="e" cm="1">
        <f t="array" ref="W158">_xlfn.IFS(
  A158="BELL", "WHITE",
  A158="GAMP", "ORANGE",
  A158="GAMM", "GREEN",
  A158="BWF", "YELLOW",
  OR(A158="TNBE", A158="TNBL", A158="TNBD", A158="TNWC", A158="TNBW", A158="THBS"), "PINK",
  A158="CRWD", "BLUE",
  A158="PASS", "WHITE"
)</f>
        <v>#N/A</v>
      </c>
    </row>
    <row r="159" spans="1:23" x14ac:dyDescent="0.25">
      <c r="A159" s="7"/>
      <c r="B159" s="7"/>
      <c r="C159" s="4"/>
      <c r="G159" s="3"/>
      <c r="I159" s="3"/>
      <c r="J159" s="17"/>
      <c r="K159" s="17"/>
      <c r="L159" s="18"/>
      <c r="M159" s="3"/>
      <c r="P159" s="3"/>
      <c r="Q159" s="4"/>
      <c r="R159" s="19"/>
      <c r="S159" s="20"/>
      <c r="T159" s="3"/>
      <c r="U159" s="3" t="str">
        <f t="shared" si="8"/>
        <v/>
      </c>
      <c r="V159" s="4" t="str">
        <f t="shared" si="9"/>
        <v/>
      </c>
      <c r="W159" s="21" t="e" cm="1">
        <f t="array" ref="W159">_xlfn.IFS(
  A159="BELL", "WHITE",
  A159="GAMP", "ORANGE",
  A159="GAMM", "GREEN",
  A159="BWF", "YELLOW",
  OR(A159="TNBE", A159="TNBL", A159="TNBD", A159="TNWC", A159="TNBW", A159="THBS"), "PINK",
  A159="CRWD", "BLUE",
  A159="PASS", "WHITE"
)</f>
        <v>#N/A</v>
      </c>
    </row>
    <row r="160" spans="1:23" x14ac:dyDescent="0.25">
      <c r="A160" s="7"/>
      <c r="B160" s="7"/>
      <c r="C160" s="4"/>
      <c r="G160" s="3"/>
      <c r="I160" s="3"/>
      <c r="J160" s="17"/>
      <c r="K160" s="17"/>
      <c r="L160" s="18"/>
      <c r="M160" s="18"/>
      <c r="P160" s="3"/>
      <c r="Q160" s="4"/>
      <c r="R160" s="19"/>
      <c r="S160" s="20"/>
      <c r="T160" s="3"/>
      <c r="U160" s="3" t="str">
        <f t="shared" si="8"/>
        <v/>
      </c>
      <c r="V160" s="4" t="str">
        <f t="shared" si="9"/>
        <v/>
      </c>
      <c r="W160" s="21" t="e" cm="1">
        <f t="array" ref="W160">_xlfn.IFS(
  A160="BELL", "WHITE",
  A160="GAMP", "ORANGE",
  A160="GAMM", "GREEN",
  A160="BWF", "YELLOW",
  OR(A160="TNBE", A160="TNBL", A160="TNBD", A160="TNWC", A160="TNBW", A160="THBS"), "PINK",
  A160="CRWD", "BLUE",
  A160="PASS", "WHITE"
)</f>
        <v>#N/A</v>
      </c>
    </row>
    <row r="161" spans="1:23" x14ac:dyDescent="0.25">
      <c r="A161" s="7"/>
      <c r="B161" s="7"/>
      <c r="C161" s="4"/>
      <c r="G161" s="3"/>
      <c r="I161" s="3"/>
      <c r="J161" s="17"/>
      <c r="K161" s="17"/>
      <c r="L161" s="18"/>
      <c r="M161" s="3"/>
      <c r="P161" s="3"/>
      <c r="Q161" s="4"/>
      <c r="R161" s="19"/>
      <c r="S161" s="20"/>
      <c r="T161" s="3"/>
      <c r="U161" s="3" t="str">
        <f t="shared" si="8"/>
        <v/>
      </c>
      <c r="V161" s="4" t="str">
        <f t="shared" si="9"/>
        <v/>
      </c>
      <c r="W161" s="21" t="e" cm="1">
        <f t="array" ref="W161">_xlfn.IFS(
  A161="BELL", "WHITE",
  A161="GAMP", "ORANGE",
  A161="GAMM", "GREEN",
  A161="BWF", "YELLOW",
  OR(A161="TNBE", A161="TNBL", A161="TNBD", A161="TNWC", A161="TNBW", A161="THBS"), "PINK",
  A161="CRWD", "BLUE",
  A161="PASS", "WHITE"
)</f>
        <v>#N/A</v>
      </c>
    </row>
    <row r="162" spans="1:23" x14ac:dyDescent="0.25">
      <c r="A162" s="7"/>
      <c r="B162" s="7"/>
      <c r="C162" s="4"/>
      <c r="G162" s="3"/>
      <c r="I162" s="3"/>
      <c r="J162" s="17"/>
      <c r="K162" s="17"/>
      <c r="L162" s="18"/>
      <c r="M162" s="3"/>
      <c r="P162" s="3"/>
      <c r="Q162" s="4"/>
      <c r="R162" s="19"/>
      <c r="S162" s="20"/>
      <c r="T162" s="3"/>
      <c r="U162" s="3" t="str">
        <f t="shared" si="8"/>
        <v/>
      </c>
      <c r="V162" s="4" t="str">
        <f t="shared" si="9"/>
        <v/>
      </c>
      <c r="W162" s="21" t="e" cm="1">
        <f t="array" ref="W162">_xlfn.IFS(
  A162="BELL", "WHITE",
  A162="GAMP", "ORANGE",
  A162="GAMM", "GREEN",
  A162="BWF", "YELLOW",
  OR(A162="TNBE", A162="TNBL", A162="TNBD", A162="TNWC", A162="TNBW", A162="THBS"), "PINK",
  A162="CRWD", "BLUE",
  A162="PASS", "WHITE"
)</f>
        <v>#N/A</v>
      </c>
    </row>
    <row r="163" spans="1:23" x14ac:dyDescent="0.25">
      <c r="A163" s="7"/>
      <c r="B163" s="7"/>
      <c r="C163" s="4"/>
      <c r="G163" s="3"/>
      <c r="I163" s="3"/>
      <c r="J163" s="17"/>
      <c r="K163" s="17"/>
      <c r="L163" s="18"/>
      <c r="M163" s="18"/>
      <c r="P163" s="3"/>
      <c r="Q163" s="4"/>
      <c r="R163" s="19"/>
      <c r="S163" s="20"/>
      <c r="T163" s="3"/>
      <c r="U163" s="3" t="str">
        <f t="shared" si="8"/>
        <v/>
      </c>
      <c r="V163" s="4" t="str">
        <f t="shared" si="9"/>
        <v/>
      </c>
      <c r="W163" s="21" t="e" cm="1">
        <f t="array" ref="W163">_xlfn.IFS(
  A163="BELL", "WHITE",
  A163="GAMP", "ORANGE",
  A163="GAMM", "GREEN",
  A163="BWF", "YELLOW",
  OR(A163="TNBE", A163="TNBL", A163="TNBD", A163="TNWC", A163="TNBW", A163="THBS"), "PINK",
  A163="CRWD", "BLUE",
  A163="PASS", "WHITE"
)</f>
        <v>#N/A</v>
      </c>
    </row>
    <row r="164" spans="1:23" x14ac:dyDescent="0.25">
      <c r="A164" s="7"/>
      <c r="B164" s="7"/>
      <c r="C164" s="4"/>
      <c r="G164" s="3"/>
      <c r="I164" s="3"/>
      <c r="J164" s="17"/>
      <c r="K164" s="17"/>
      <c r="L164" s="18"/>
      <c r="M164" s="3"/>
      <c r="P164" s="3"/>
      <c r="Q164" s="4"/>
      <c r="R164" s="19"/>
      <c r="S164" s="20"/>
      <c r="T164" s="3"/>
      <c r="U164" s="3" t="str">
        <f t="shared" si="8"/>
        <v/>
      </c>
      <c r="V164" s="4" t="str">
        <f t="shared" si="9"/>
        <v/>
      </c>
      <c r="W164" s="21" t="e" cm="1">
        <f t="array" ref="W164">_xlfn.IFS(
  A164="BELL", "WHITE",
  A164="GAMP", "ORANGE",
  A164="GAMM", "GREEN",
  A164="BWF", "YELLOW",
  OR(A164="TNBE", A164="TNBL", A164="TNBD", A164="TNWC", A164="TNBW", A164="THBS"), "PINK",
  A164="CRWD", "BLUE",
  A164="PASS", "WHITE"
)</f>
        <v>#N/A</v>
      </c>
    </row>
    <row r="165" spans="1:23" x14ac:dyDescent="0.25">
      <c r="A165" s="7"/>
      <c r="B165" s="7"/>
      <c r="C165" s="4"/>
      <c r="G165" s="3"/>
      <c r="I165" s="3"/>
      <c r="J165" s="17"/>
      <c r="K165" s="17"/>
      <c r="L165" s="18"/>
      <c r="M165" s="3"/>
      <c r="P165" s="3"/>
      <c r="Q165" s="4"/>
      <c r="R165" s="19"/>
      <c r="S165" s="20"/>
      <c r="T165" s="3"/>
      <c r="U165" s="3" t="str">
        <f t="shared" si="8"/>
        <v/>
      </c>
      <c r="V165" s="4" t="str">
        <f t="shared" si="9"/>
        <v/>
      </c>
      <c r="W165" s="21" t="e" cm="1">
        <f t="array" ref="W165">_xlfn.IFS(
  A165="BELL", "WHITE",
  A165="GAMP", "ORANGE",
  A165="GAMM", "GREEN",
  A165="BWF", "YELLOW",
  OR(A165="TNBE", A165="TNBL", A165="TNBD", A165="TNWC", A165="TNBW", A165="THBS"), "PINK",
  A165="CRWD", "BLUE",
  A165="PASS", "WHITE"
)</f>
        <v>#N/A</v>
      </c>
    </row>
    <row r="166" spans="1:23" x14ac:dyDescent="0.25">
      <c r="A166" s="7"/>
      <c r="B166" s="7"/>
      <c r="C166" s="4"/>
      <c r="G166" s="3"/>
      <c r="I166" s="3"/>
      <c r="J166" s="17"/>
      <c r="K166" s="17"/>
      <c r="L166" s="18"/>
      <c r="M166" s="3"/>
      <c r="P166" s="3"/>
      <c r="Q166" s="4"/>
      <c r="R166" s="19"/>
      <c r="S166" s="20"/>
      <c r="T166" s="3"/>
      <c r="U166" s="3" t="str">
        <f t="shared" si="8"/>
        <v/>
      </c>
      <c r="V166" s="4" t="str">
        <f t="shared" si="9"/>
        <v/>
      </c>
      <c r="W166" s="21" t="e" cm="1">
        <f t="array" ref="W166">_xlfn.IFS(
  A166="BELL", "WHITE",
  A166="GAMP", "ORANGE",
  A166="GAMM", "GREEN",
  A166="BWF", "YELLOW",
  OR(A166="TNBE", A166="TNBL", A166="TNBD", A166="TNWC", A166="TNBW", A166="THBS"), "PINK",
  A166="CRWD", "BLUE",
  A166="PASS", "WHITE"
)</f>
        <v>#N/A</v>
      </c>
    </row>
    <row r="167" spans="1:23" x14ac:dyDescent="0.25">
      <c r="A167" s="7"/>
      <c r="B167" s="7"/>
      <c r="C167" s="4"/>
      <c r="G167" s="3"/>
      <c r="I167" s="3"/>
      <c r="J167" s="17"/>
      <c r="K167" s="17"/>
      <c r="L167" s="18"/>
      <c r="M167" s="3"/>
      <c r="P167" s="3"/>
      <c r="Q167" s="4"/>
      <c r="R167" s="19"/>
      <c r="S167" s="20"/>
      <c r="T167" s="3"/>
      <c r="U167" s="3" t="str">
        <f t="shared" si="8"/>
        <v/>
      </c>
      <c r="V167" s="4" t="str">
        <f t="shared" si="9"/>
        <v/>
      </c>
      <c r="W167" s="21" t="e" cm="1">
        <f t="array" ref="W167">_xlfn.IFS(
  A167="BELL", "WHITE",
  A167="GAMP", "ORANGE",
  A167="GAMM", "GREEN",
  A167="BWF", "YELLOW",
  OR(A167="TNBE", A167="TNBL", A167="TNBD", A167="TNWC", A167="TNBW", A167="THBS"), "PINK",
  A167="CRWD", "BLUE",
  A167="PASS", "WHITE"
)</f>
        <v>#N/A</v>
      </c>
    </row>
    <row r="168" spans="1:23" x14ac:dyDescent="0.25">
      <c r="A168" s="7"/>
      <c r="B168" s="7"/>
      <c r="C168" s="4"/>
      <c r="G168" s="3"/>
      <c r="I168" s="3"/>
      <c r="J168" s="17"/>
      <c r="K168" s="17"/>
      <c r="L168" s="18"/>
      <c r="M168" s="18"/>
      <c r="P168" s="3"/>
      <c r="Q168" s="4"/>
      <c r="R168" s="19"/>
      <c r="S168" s="20"/>
      <c r="T168" s="3"/>
      <c r="U168" s="3" t="str">
        <f t="shared" si="8"/>
        <v/>
      </c>
      <c r="V168" s="4" t="str">
        <f t="shared" si="9"/>
        <v/>
      </c>
      <c r="W168" s="21" t="e" cm="1">
        <f t="array" ref="W168">_xlfn.IFS(
  A168="BELL", "WHITE",
  A168="GAMP", "ORANGE",
  A168="GAMM", "GREEN",
  A168="BWF", "YELLOW",
  OR(A168="TNBE", A168="TNBL", A168="TNBD", A168="TNWC", A168="TNBW", A168="THBS"), "PINK",
  A168="CRWD", "BLUE",
  A168="PASS", "WHITE"
)</f>
        <v>#N/A</v>
      </c>
    </row>
    <row r="169" spans="1:23" x14ac:dyDescent="0.25">
      <c r="A169" s="7"/>
      <c r="B169" s="7"/>
      <c r="C169" s="4"/>
      <c r="G169" s="3"/>
      <c r="I169" s="3"/>
      <c r="J169" s="17"/>
      <c r="K169" s="17"/>
      <c r="L169" s="18"/>
      <c r="M169" s="3"/>
      <c r="P169" s="3"/>
      <c r="Q169" s="4"/>
      <c r="R169" s="19"/>
      <c r="S169" s="20"/>
      <c r="T169" s="3"/>
      <c r="U169" s="3" t="str">
        <f t="shared" si="8"/>
        <v/>
      </c>
      <c r="V169" s="4" t="str">
        <f t="shared" si="9"/>
        <v/>
      </c>
      <c r="W169" s="21" t="e" cm="1">
        <f t="array" ref="W169">_xlfn.IFS(
  A169="BELL", "WHITE",
  A169="GAMP", "ORANGE",
  A169="GAMM", "GREEN",
  A169="BWF", "YELLOW",
  OR(A169="TNBE", A169="TNBL", A169="TNBD", A169="TNWC", A169="TNBW", A169="THBS"), "PINK",
  A169="CRWD", "BLUE",
  A169="PASS", "WHITE"
)</f>
        <v>#N/A</v>
      </c>
    </row>
    <row r="170" spans="1:23" x14ac:dyDescent="0.25">
      <c r="A170" s="7"/>
      <c r="B170" s="7"/>
      <c r="C170" s="4"/>
      <c r="G170" s="3"/>
      <c r="I170" s="3"/>
      <c r="J170" s="17"/>
      <c r="K170" s="17"/>
      <c r="L170" s="18"/>
      <c r="M170" s="3"/>
      <c r="P170" s="3"/>
      <c r="Q170" s="4"/>
      <c r="R170" s="19"/>
      <c r="S170" s="20"/>
      <c r="T170" s="3"/>
      <c r="U170" s="3" t="str">
        <f t="shared" si="8"/>
        <v/>
      </c>
      <c r="V170" s="4" t="str">
        <f t="shared" si="9"/>
        <v/>
      </c>
      <c r="W170" s="21" t="e" cm="1">
        <f t="array" ref="W170">_xlfn.IFS(
  A170="BELL", "WHITE",
  A170="GAMP", "ORANGE",
  A170="GAMM", "GREEN",
  A170="BWF", "YELLOW",
  OR(A170="TNBE", A170="TNBL", A170="TNBD", A170="TNWC", A170="TNBW", A170="THBS"), "PINK",
  A170="CRWD", "BLUE",
  A170="PASS", "WHITE"
)</f>
        <v>#N/A</v>
      </c>
    </row>
    <row r="171" spans="1:23" x14ac:dyDescent="0.25">
      <c r="A171" s="7"/>
      <c r="B171" s="7"/>
      <c r="C171" s="4"/>
      <c r="G171" s="22"/>
      <c r="I171" s="3"/>
      <c r="J171" s="17"/>
      <c r="K171" s="17"/>
      <c r="L171" s="18"/>
      <c r="M171" s="3"/>
      <c r="P171" s="3"/>
      <c r="Q171" s="4"/>
      <c r="R171" s="19"/>
      <c r="S171" s="20"/>
      <c r="T171" s="22"/>
      <c r="U171" s="3" t="str">
        <f t="shared" si="8"/>
        <v/>
      </c>
      <c r="V171" s="4" t="str">
        <f t="shared" si="9"/>
        <v/>
      </c>
      <c r="W171" s="21" t="e" cm="1">
        <f t="array" ref="W171">_xlfn.IFS(
  A171="BELL", "WHITE",
  A171="GAMP", "ORANGE",
  A171="GAMM", "GREEN",
  A171="BWF", "YELLOW",
  OR(A171="TNBE", A171="TNBL", A171="TNBD", A171="TNWC", A171="TNBW", A171="THBS"), "PINK",
  A171="CRWD", "BLUE",
  A171="PASS", "WHITE"
)</f>
        <v>#N/A</v>
      </c>
    </row>
    <row r="172" spans="1:23" x14ac:dyDescent="0.25">
      <c r="A172" s="7"/>
      <c r="B172" s="7"/>
      <c r="C172" s="4"/>
      <c r="G172" s="3"/>
      <c r="I172" s="3"/>
      <c r="J172" s="17"/>
      <c r="K172" s="17"/>
      <c r="L172" s="18"/>
      <c r="M172" s="3"/>
      <c r="P172" s="3"/>
      <c r="Q172" s="4"/>
      <c r="R172" s="19"/>
      <c r="S172" s="20"/>
      <c r="T172" s="3"/>
      <c r="U172" s="3" t="str">
        <f t="shared" si="8"/>
        <v/>
      </c>
      <c r="V172" s="4" t="str">
        <f t="shared" si="9"/>
        <v/>
      </c>
      <c r="W172" s="21" t="e" cm="1">
        <f t="array" ref="W172">_xlfn.IFS(
  A172="BELL", "WHITE",
  A172="GAMP", "ORANGE",
  A172="GAMM", "GREEN",
  A172="BWF", "YELLOW",
  OR(A172="TNBE", A172="TNBL", A172="TNBD", A172="TNWC", A172="TNBW", A172="THBS"), "PINK",
  A172="CRWD", "BLUE",
  A172="PASS", "WHITE"
)</f>
        <v>#N/A</v>
      </c>
    </row>
    <row r="173" spans="1:23" x14ac:dyDescent="0.25">
      <c r="A173" s="7"/>
      <c r="B173" s="7"/>
      <c r="C173" s="4"/>
      <c r="G173" s="3"/>
      <c r="I173" s="3"/>
      <c r="J173" s="17"/>
      <c r="K173" s="17"/>
      <c r="L173" s="18"/>
      <c r="M173" s="3"/>
      <c r="P173" s="3"/>
      <c r="Q173" s="4"/>
      <c r="R173" s="19"/>
      <c r="S173" s="20"/>
      <c r="T173" s="3"/>
      <c r="U173" s="3" t="str">
        <f t="shared" si="8"/>
        <v/>
      </c>
      <c r="V173" s="4" t="str">
        <f t="shared" si="9"/>
        <v/>
      </c>
      <c r="W173" s="21" t="e" cm="1">
        <f t="array" ref="W173">_xlfn.IFS(
  A173="BELL", "WHITE",
  A173="GAMP", "ORANGE",
  A173="GAMM", "GREEN",
  A173="BWF", "YELLOW",
  OR(A173="TNBE", A173="TNBL", A173="TNBD", A173="TNWC", A173="TNBW", A173="THBS"), "PINK",
  A173="CRWD", "BLUE",
  A173="PASS", "WHITE"
)</f>
        <v>#N/A</v>
      </c>
    </row>
    <row r="174" spans="1:23" x14ac:dyDescent="0.25">
      <c r="A174" s="7"/>
      <c r="B174" s="7"/>
      <c r="C174" s="4"/>
      <c r="G174" s="3"/>
      <c r="I174" s="3"/>
      <c r="J174" s="17"/>
      <c r="K174" s="17"/>
      <c r="L174" s="18"/>
      <c r="M174" s="3"/>
      <c r="P174" s="3"/>
      <c r="Q174" s="4"/>
      <c r="R174" s="19"/>
      <c r="S174" s="20"/>
      <c r="T174" s="3"/>
      <c r="U174" s="3" t="str">
        <f t="shared" si="8"/>
        <v/>
      </c>
      <c r="V174" s="4" t="str">
        <f t="shared" si="9"/>
        <v/>
      </c>
      <c r="W174" s="21" t="e" cm="1">
        <f t="array" ref="W174">_xlfn.IFS(
  A174="BELL", "WHITE",
  A174="GAMP", "ORANGE",
  A174="GAMM", "GREEN",
  A174="BWF", "YELLOW",
  OR(A174="TNBE", A174="TNBL", A174="TNBD", A174="TNWC", A174="TNBW", A174="THBS"), "PINK",
  A174="CRWD", "BLUE",
  A174="PASS", "WHITE"
)</f>
        <v>#N/A</v>
      </c>
    </row>
    <row r="175" spans="1:23" x14ac:dyDescent="0.25">
      <c r="A175" s="7"/>
      <c r="B175" s="7"/>
      <c r="C175" s="4"/>
      <c r="G175" s="3"/>
      <c r="I175" s="3"/>
      <c r="J175" s="17"/>
      <c r="K175" s="17"/>
      <c r="L175" s="18"/>
      <c r="M175" s="3"/>
      <c r="P175" s="3"/>
      <c r="Q175" s="4"/>
      <c r="R175" s="19"/>
      <c r="S175" s="20"/>
      <c r="T175" s="3"/>
      <c r="U175" s="3" t="str">
        <f t="shared" si="8"/>
        <v/>
      </c>
      <c r="V175" s="4" t="str">
        <f t="shared" si="9"/>
        <v/>
      </c>
      <c r="W175" s="21" t="e" cm="1">
        <f t="array" ref="W175">_xlfn.IFS(
  A175="BELL", "WHITE",
  A175="GAMP", "ORANGE",
  A175="GAMM", "GREEN",
  A175="BWF", "YELLOW",
  OR(A175="TNBE", A175="TNBL", A175="TNBD", A175="TNWC", A175="TNBW", A175="THBS"), "PINK",
  A175="CRWD", "BLUE",
  A175="PASS", "WHITE"
)</f>
        <v>#N/A</v>
      </c>
    </row>
    <row r="176" spans="1:23" x14ac:dyDescent="0.25">
      <c r="A176" s="7"/>
      <c r="B176" s="7"/>
      <c r="C176" s="4"/>
      <c r="G176" s="3"/>
      <c r="I176" s="3"/>
      <c r="J176" s="17"/>
      <c r="K176" s="17"/>
      <c r="L176" s="18"/>
      <c r="M176" s="18"/>
      <c r="P176" s="3"/>
      <c r="Q176" s="4"/>
      <c r="R176" s="19"/>
      <c r="S176" s="20"/>
      <c r="T176" s="3"/>
      <c r="U176" s="3" t="str">
        <f t="shared" si="8"/>
        <v/>
      </c>
      <c r="V176" s="4" t="str">
        <f t="shared" si="9"/>
        <v/>
      </c>
      <c r="W176" s="21" t="e" cm="1">
        <f t="array" ref="W176">_xlfn.IFS(
  A176="BELL", "WHITE",
  A176="GAMP", "ORANGE",
  A176="GAMM", "GREEN",
  A176="BWF", "YELLOW",
  OR(A176="TNBE", A176="TNBL", A176="TNBD", A176="TNWC", A176="TNBW", A176="THBS"), "PINK",
  A176="CRWD", "BLUE",
  A176="PASS", "WHITE"
)</f>
        <v>#N/A</v>
      </c>
    </row>
    <row r="177" spans="1:23" x14ac:dyDescent="0.25">
      <c r="A177" s="7"/>
      <c r="B177" s="7"/>
      <c r="C177" s="4"/>
      <c r="G177" s="3"/>
      <c r="I177" s="3"/>
      <c r="J177" s="17"/>
      <c r="K177" s="17"/>
      <c r="L177" s="18"/>
      <c r="M177" s="3"/>
      <c r="P177" s="3"/>
      <c r="Q177" s="4"/>
      <c r="R177" s="19"/>
      <c r="S177" s="20"/>
      <c r="T177" s="3"/>
      <c r="U177" s="3" t="str">
        <f t="shared" si="8"/>
        <v/>
      </c>
      <c r="V177" s="4" t="str">
        <f t="shared" si="9"/>
        <v/>
      </c>
      <c r="W177" s="21" t="e" cm="1">
        <f t="array" ref="W177">_xlfn.IFS(
  A177="BELL", "WHITE",
  A177="GAMP", "ORANGE",
  A177="GAMM", "GREEN",
  A177="BWF", "YELLOW",
  OR(A177="TNBE", A177="TNBL", A177="TNBD", A177="TNWC", A177="TNBW", A177="THBS"), "PINK",
  A177="CRWD", "BLUE",
  A177="PASS", "WHITE"
)</f>
        <v>#N/A</v>
      </c>
    </row>
    <row r="178" spans="1:23" x14ac:dyDescent="0.25">
      <c r="A178" s="7"/>
      <c r="B178" s="7"/>
      <c r="C178" s="4"/>
      <c r="G178" s="3"/>
      <c r="I178" s="3"/>
      <c r="J178" s="17"/>
      <c r="K178" s="17"/>
      <c r="L178" s="18"/>
      <c r="M178" s="18"/>
      <c r="P178" s="3"/>
      <c r="Q178" s="4"/>
      <c r="R178" s="19"/>
      <c r="S178" s="20"/>
      <c r="T178" s="3"/>
      <c r="U178" s="3" t="str">
        <f t="shared" si="8"/>
        <v/>
      </c>
      <c r="V178" s="4" t="str">
        <f t="shared" si="9"/>
        <v/>
      </c>
      <c r="W178" s="21" t="e" cm="1">
        <f t="array" ref="W178">_xlfn.IFS(
  A178="BELL", "WHITE",
  A178="GAMP", "ORANGE",
  A178="GAMM", "GREEN",
  A178="BWF", "YELLOW",
  OR(A178="TNBE", A178="TNBL", A178="TNBD", A178="TNWC", A178="TNBW", A178="THBS"), "PINK",
  A178="CRWD", "BLUE",
  A178="PASS", "WHITE"
)</f>
        <v>#N/A</v>
      </c>
    </row>
    <row r="179" spans="1:23" x14ac:dyDescent="0.25">
      <c r="A179" s="7"/>
      <c r="B179" s="7"/>
      <c r="C179" s="4"/>
      <c r="G179" s="3"/>
      <c r="I179" s="3"/>
      <c r="J179" s="17"/>
      <c r="K179" s="17"/>
      <c r="L179" s="18"/>
      <c r="M179" s="3"/>
      <c r="P179" s="3"/>
      <c r="Q179" s="4"/>
      <c r="R179" s="19"/>
      <c r="S179" s="20"/>
      <c r="T179" s="3"/>
      <c r="U179" s="3" t="str">
        <f t="shared" si="8"/>
        <v/>
      </c>
      <c r="V179" s="4" t="str">
        <f t="shared" si="9"/>
        <v/>
      </c>
      <c r="W179" s="21" t="e" cm="1">
        <f t="array" ref="W179">_xlfn.IFS(
  A179="BELL", "WHITE",
  A179="GAMP", "ORANGE",
  A179="GAMM", "GREEN",
  A179="BWF", "YELLOW",
  OR(A179="TNBE", A179="TNBL", A179="TNBD", A179="TNWC", A179="TNBW", A179="THBS"), "PINK",
  A179="CRWD", "BLUE",
  A179="PASS", "WHITE"
)</f>
        <v>#N/A</v>
      </c>
    </row>
    <row r="180" spans="1:23" x14ac:dyDescent="0.25">
      <c r="A180" s="7"/>
      <c r="B180" s="7"/>
      <c r="C180" s="4"/>
      <c r="G180" s="3"/>
      <c r="I180" s="3"/>
      <c r="J180" s="17"/>
      <c r="K180" s="17"/>
      <c r="L180" s="18"/>
      <c r="M180" s="18"/>
      <c r="P180" s="3"/>
      <c r="Q180" s="4"/>
      <c r="R180" s="19"/>
      <c r="S180" s="20"/>
      <c r="T180" s="3"/>
      <c r="U180" s="3" t="str">
        <f t="shared" si="8"/>
        <v/>
      </c>
      <c r="V180" s="4" t="str">
        <f t="shared" si="9"/>
        <v/>
      </c>
      <c r="W180" s="21" t="e" cm="1">
        <f t="array" ref="W180">_xlfn.IFS(
  A180="BELL", "WHITE",
  A180="GAMP", "ORANGE",
  A180="GAMM", "GREEN",
  A180="BWF", "YELLOW",
  OR(A180="TNBE", A180="TNBL", A180="TNBD", A180="TNWC", A180="TNBW", A180="THBS"), "PINK",
  A180="CRWD", "BLUE",
  A180="PASS", "WHITE"
)</f>
        <v>#N/A</v>
      </c>
    </row>
    <row r="181" spans="1:23" x14ac:dyDescent="0.25">
      <c r="A181" s="7"/>
      <c r="B181" s="7"/>
      <c r="C181" s="4"/>
      <c r="G181" s="3"/>
      <c r="I181" s="3"/>
      <c r="J181" s="17"/>
      <c r="K181" s="17"/>
      <c r="L181" s="18"/>
      <c r="M181" s="3"/>
      <c r="P181" s="3"/>
      <c r="Q181" s="4"/>
      <c r="R181" s="19"/>
      <c r="S181" s="20"/>
      <c r="T181" s="3"/>
      <c r="U181" s="3" t="str">
        <f t="shared" si="8"/>
        <v/>
      </c>
      <c r="V181" s="4" t="str">
        <f t="shared" si="9"/>
        <v/>
      </c>
      <c r="W181" s="21" t="e" cm="1">
        <f t="array" ref="W181">_xlfn.IFS(
  A181="BELL", "WHITE",
  A181="GAMP", "ORANGE",
  A181="GAMM", "GREEN",
  A181="BWF", "YELLOW",
  OR(A181="TNBE", A181="TNBL", A181="TNBD", A181="TNWC", A181="TNBW", A181="THBS"), "PINK",
  A181="CRWD", "BLUE",
  A181="PASS", "WHITE"
)</f>
        <v>#N/A</v>
      </c>
    </row>
    <row r="182" spans="1:23" x14ac:dyDescent="0.25">
      <c r="A182" s="7"/>
      <c r="B182" s="7"/>
      <c r="C182" s="4"/>
      <c r="G182" s="3"/>
      <c r="I182" s="3"/>
      <c r="J182" s="17"/>
      <c r="K182" s="17"/>
      <c r="L182" s="18"/>
      <c r="M182" s="3"/>
      <c r="P182" s="3"/>
      <c r="Q182" s="4"/>
      <c r="R182" s="19"/>
      <c r="S182" s="20"/>
      <c r="T182" s="3"/>
      <c r="U182" s="3" t="str">
        <f t="shared" si="8"/>
        <v/>
      </c>
      <c r="V182" s="4" t="str">
        <f t="shared" si="9"/>
        <v/>
      </c>
      <c r="W182" s="21" t="e" cm="1">
        <f t="array" ref="W182">_xlfn.IFS(
  A182="BELL", "WHITE",
  A182="GAMP", "ORANGE",
  A182="GAMM", "GREEN",
  A182="BWF", "YELLOW",
  OR(A182="TNBE", A182="TNBL", A182="TNBD", A182="TNWC", A182="TNBW", A182="THBS"), "PINK",
  A182="CRWD", "BLUE",
  A182="PASS", "WHITE"
)</f>
        <v>#N/A</v>
      </c>
    </row>
    <row r="183" spans="1:23" x14ac:dyDescent="0.25">
      <c r="A183" s="7"/>
      <c r="B183" s="7"/>
      <c r="C183" s="4"/>
      <c r="G183" s="3"/>
      <c r="I183" s="3"/>
      <c r="J183" s="17"/>
      <c r="K183" s="17"/>
      <c r="L183" s="18"/>
      <c r="M183" s="3"/>
      <c r="P183" s="3"/>
      <c r="Q183" s="4"/>
      <c r="R183" s="19"/>
      <c r="S183" s="20"/>
      <c r="T183" s="3"/>
      <c r="U183" s="3" t="str">
        <f t="shared" si="8"/>
        <v/>
      </c>
      <c r="V183" s="4" t="str">
        <f t="shared" si="9"/>
        <v/>
      </c>
      <c r="W183" s="21" t="e" cm="1">
        <f t="array" ref="W183">_xlfn.IFS(
  A183="BELL", "WHITE",
  A183="GAMP", "ORANGE",
  A183="GAMM", "GREEN",
  A183="BWF", "YELLOW",
  OR(A183="TNBE", A183="TNBL", A183="TNBD", A183="TNWC", A183="TNBW", A183="THBS"), "PINK",
  A183="CRWD", "BLUE",
  A183="PASS", "WHITE"
)</f>
        <v>#N/A</v>
      </c>
    </row>
    <row r="184" spans="1:23" x14ac:dyDescent="0.25">
      <c r="A184" s="7"/>
      <c r="B184" s="7"/>
      <c r="C184" s="4"/>
      <c r="G184" s="3"/>
      <c r="I184" s="3"/>
      <c r="J184" s="17"/>
      <c r="K184" s="17"/>
      <c r="L184" s="18"/>
      <c r="M184" s="3"/>
      <c r="P184" s="3"/>
      <c r="Q184" s="4"/>
      <c r="R184" s="19"/>
      <c r="S184" s="20"/>
      <c r="T184" s="3"/>
      <c r="U184" s="3" t="str">
        <f t="shared" si="8"/>
        <v/>
      </c>
      <c r="V184" s="4" t="str">
        <f t="shared" si="9"/>
        <v/>
      </c>
      <c r="W184" s="21" t="e" cm="1">
        <f t="array" ref="W184">_xlfn.IFS(
  A184="BELL", "WHITE",
  A184="GAMP", "ORANGE",
  A184="GAMM", "GREEN",
  A184="BWF", "YELLOW",
  OR(A184="TNBE", A184="TNBL", A184="TNBD", A184="TNWC", A184="TNBW", A184="THBS"), "PINK",
  A184="CRWD", "BLUE",
  A184="PASS", "WHITE"
)</f>
        <v>#N/A</v>
      </c>
    </row>
    <row r="185" spans="1:23" x14ac:dyDescent="0.25">
      <c r="A185" s="7"/>
      <c r="B185" s="7"/>
      <c r="C185" s="4"/>
      <c r="G185" s="3"/>
      <c r="I185" s="3"/>
      <c r="J185" s="17"/>
      <c r="K185" s="17"/>
      <c r="L185" s="18"/>
      <c r="M185" s="18"/>
      <c r="P185" s="3"/>
      <c r="Q185" s="4"/>
      <c r="R185" s="19"/>
      <c r="S185" s="20"/>
      <c r="T185" s="3"/>
      <c r="U185" s="3" t="str">
        <f t="shared" si="8"/>
        <v/>
      </c>
      <c r="V185" s="4" t="str">
        <f t="shared" si="9"/>
        <v/>
      </c>
      <c r="W185" s="21" t="e" cm="1">
        <f t="array" ref="W185">_xlfn.IFS(
  A185="BELL", "WHITE",
  A185="GAMP", "ORANGE",
  A185="GAMM", "GREEN",
  A185="BWF", "YELLOW",
  OR(A185="TNBE", A185="TNBL", A185="TNBD", A185="TNWC", A185="TNBW", A185="THBS"), "PINK",
  A185="CRWD", "BLUE",
  A185="PASS", "WHITE"
)</f>
        <v>#N/A</v>
      </c>
    </row>
    <row r="186" spans="1:23" x14ac:dyDescent="0.25">
      <c r="A186" s="7"/>
      <c r="B186" s="7"/>
      <c r="C186" s="4"/>
      <c r="G186" s="3"/>
      <c r="I186" s="3"/>
      <c r="J186" s="17"/>
      <c r="K186" s="17"/>
      <c r="L186" s="18"/>
      <c r="M186" s="3"/>
      <c r="P186" s="3"/>
      <c r="Q186" s="4"/>
      <c r="R186" s="19"/>
      <c r="S186" s="20"/>
      <c r="T186" s="3"/>
      <c r="U186" s="3" t="str">
        <f t="shared" si="8"/>
        <v/>
      </c>
      <c r="V186" s="4" t="str">
        <f t="shared" si="9"/>
        <v/>
      </c>
      <c r="W186" s="21" t="e" cm="1">
        <f t="array" ref="W186">_xlfn.IFS(
  A186="BELL", "WHITE",
  A186="GAMP", "ORANGE",
  A186="GAMM", "GREEN",
  A186="BWF", "YELLOW",
  OR(A186="TNBE", A186="TNBL", A186="TNBD", A186="TNWC", A186="TNBW", A186="THBS"), "PINK",
  A186="CRWD", "BLUE",
  A186="PASS", "WHITE"
)</f>
        <v>#N/A</v>
      </c>
    </row>
    <row r="187" spans="1:23" x14ac:dyDescent="0.25">
      <c r="A187" s="7"/>
      <c r="B187" s="7"/>
      <c r="C187" s="4"/>
      <c r="G187" s="3"/>
      <c r="I187" s="3"/>
      <c r="J187" s="17"/>
      <c r="K187" s="17"/>
      <c r="L187" s="18"/>
      <c r="M187" s="18"/>
      <c r="P187" s="3"/>
      <c r="Q187" s="4"/>
      <c r="R187" s="19"/>
      <c r="S187" s="20"/>
      <c r="T187" s="3"/>
      <c r="U187" s="3" t="str">
        <f t="shared" si="8"/>
        <v/>
      </c>
      <c r="V187" s="4" t="str">
        <f t="shared" si="9"/>
        <v/>
      </c>
      <c r="W187" s="21" t="e" cm="1">
        <f t="array" ref="W187">_xlfn.IFS(
  A187="BELL", "WHITE",
  A187="GAMP", "ORANGE",
  A187="GAMM", "GREEN",
  A187="BWF", "YELLOW",
  OR(A187="TNBE", A187="TNBL", A187="TNBD", A187="TNWC", A187="TNBW", A187="THBS"), "PINK",
  A187="CRWD", "BLUE",
  A187="PASS", "WHITE"
)</f>
        <v>#N/A</v>
      </c>
    </row>
    <row r="188" spans="1:23" x14ac:dyDescent="0.25">
      <c r="A188" s="7"/>
      <c r="B188" s="7"/>
      <c r="C188" s="4"/>
      <c r="G188" s="3"/>
      <c r="I188" s="3"/>
      <c r="J188" s="17"/>
      <c r="K188" s="17"/>
      <c r="L188" s="18"/>
      <c r="M188" s="3"/>
      <c r="P188" s="3"/>
      <c r="Q188" s="4"/>
      <c r="R188" s="19"/>
      <c r="S188" s="20"/>
      <c r="T188" s="3"/>
      <c r="U188" s="3" t="str">
        <f t="shared" si="8"/>
        <v/>
      </c>
      <c r="V188" s="4" t="str">
        <f t="shared" si="9"/>
        <v/>
      </c>
      <c r="W188" s="21" t="e" cm="1">
        <f t="array" ref="W188">_xlfn.IFS(
  A188="BELL", "WHITE",
  A188="GAMP", "ORANGE",
  A188="GAMM", "GREEN",
  A188="BWF", "YELLOW",
  OR(A188="TNBE", A188="TNBL", A188="TNBD", A188="TNWC", A188="TNBW", A188="THBS"), "PINK",
  A188="CRWD", "BLUE",
  A188="PASS", "WHITE"
)</f>
        <v>#N/A</v>
      </c>
    </row>
    <row r="189" spans="1:23" x14ac:dyDescent="0.25">
      <c r="A189" s="7"/>
      <c r="B189" s="7"/>
      <c r="C189" s="4"/>
      <c r="G189" s="3"/>
      <c r="I189" s="3"/>
      <c r="J189" s="17"/>
      <c r="K189" s="17"/>
      <c r="L189" s="18"/>
      <c r="M189" s="18"/>
      <c r="P189" s="3"/>
      <c r="Q189" s="4"/>
      <c r="R189" s="19"/>
      <c r="S189" s="20"/>
      <c r="T189" s="3"/>
      <c r="U189" s="3" t="str">
        <f t="shared" si="8"/>
        <v/>
      </c>
      <c r="V189" s="4" t="str">
        <f t="shared" si="9"/>
        <v/>
      </c>
      <c r="W189" s="21" t="e" cm="1">
        <f t="array" ref="W189">_xlfn.IFS(
  A189="BELL", "WHITE",
  A189="GAMP", "ORANGE",
  A189="GAMM", "GREEN",
  A189="BWF", "YELLOW",
  OR(A189="TNBE", A189="TNBL", A189="TNBD", A189="TNWC", A189="TNBW", A189="THBS"), "PINK",
  A189="CRWD", "BLUE",
  A189="PASS", "WHITE"
)</f>
        <v>#N/A</v>
      </c>
    </row>
    <row r="190" spans="1:23" x14ac:dyDescent="0.25">
      <c r="A190" s="7"/>
      <c r="B190" s="7"/>
      <c r="C190" s="4"/>
      <c r="G190" s="3"/>
      <c r="I190" s="3"/>
      <c r="J190" s="17"/>
      <c r="K190" s="17"/>
      <c r="L190" s="18"/>
      <c r="M190" s="18"/>
      <c r="P190" s="3"/>
      <c r="Q190" s="4"/>
      <c r="R190" s="19"/>
      <c r="S190" s="20"/>
      <c r="T190" s="3"/>
      <c r="U190" s="3" t="str">
        <f t="shared" si="8"/>
        <v/>
      </c>
      <c r="V190" s="4" t="str">
        <f t="shared" si="9"/>
        <v/>
      </c>
      <c r="W190" s="21" t="e" cm="1">
        <f t="array" ref="W190">_xlfn.IFS(
  A190="BELL", "WHITE",
  A190="GAMP", "ORANGE",
  A190="GAMM", "GREEN",
  A190="BWF", "YELLOW",
  OR(A190="TNBE", A190="TNBL", A190="TNBD", A190="TNWC", A190="TNBW", A190="THBS"), "PINK",
  A190="CRWD", "BLUE",
  A190="PASS", "WHITE"
)</f>
        <v>#N/A</v>
      </c>
    </row>
    <row r="191" spans="1:23" x14ac:dyDescent="0.25">
      <c r="A191" s="7"/>
      <c r="B191" s="7"/>
      <c r="C191" s="4"/>
      <c r="G191" s="3"/>
      <c r="I191" s="3"/>
      <c r="J191" s="17"/>
      <c r="K191" s="17"/>
      <c r="L191" s="18"/>
      <c r="M191" s="3"/>
      <c r="P191" s="3"/>
      <c r="Q191" s="4"/>
      <c r="R191" s="19"/>
      <c r="S191" s="20"/>
      <c r="T191" s="3"/>
      <c r="U191" s="3" t="str">
        <f t="shared" si="8"/>
        <v/>
      </c>
      <c r="V191" s="4" t="str">
        <f t="shared" si="9"/>
        <v/>
      </c>
      <c r="W191" s="21" t="e" cm="1">
        <f t="array" ref="W191">_xlfn.IFS(
  A191="BELL", "WHITE",
  A191="GAMP", "ORANGE",
  A191="GAMM", "GREEN",
  A191="BWF", "YELLOW",
  OR(A191="TNBE", A191="TNBL", A191="TNBD", A191="TNWC", A191="TNBW", A191="THBS"), "PINK",
  A191="CRWD", "BLUE",
  A191="PASS", "WHITE"
)</f>
        <v>#N/A</v>
      </c>
    </row>
    <row r="192" spans="1:23" x14ac:dyDescent="0.25">
      <c r="A192" s="7"/>
      <c r="B192" s="7"/>
      <c r="C192" s="4"/>
      <c r="G192" s="3"/>
      <c r="I192" s="3"/>
      <c r="J192" s="17"/>
      <c r="K192" s="17"/>
      <c r="L192" s="18"/>
      <c r="M192" s="18"/>
      <c r="P192" s="3"/>
      <c r="Q192" s="4"/>
      <c r="R192" s="19"/>
      <c r="S192" s="20"/>
      <c r="T192" s="3"/>
      <c r="U192" s="3" t="str">
        <f t="shared" si="8"/>
        <v/>
      </c>
      <c r="V192" s="4" t="str">
        <f t="shared" si="9"/>
        <v/>
      </c>
      <c r="W192" s="21" t="e" cm="1">
        <f t="array" ref="W192">_xlfn.IFS(
  A192="BELL", "WHITE",
  A192="GAMP", "ORANGE",
  A192="GAMM", "GREEN",
  A192="BWF", "YELLOW",
  OR(A192="TNBE", A192="TNBL", A192="TNBD", A192="TNWC", A192="TNBW", A192="THBS"), "PINK",
  A192="CRWD", "BLUE",
  A192="PASS", "WHITE"
)</f>
        <v>#N/A</v>
      </c>
    </row>
    <row r="193" spans="1:23" x14ac:dyDescent="0.25">
      <c r="A193" s="7"/>
      <c r="B193" s="7"/>
      <c r="C193" s="4"/>
      <c r="G193" s="3"/>
      <c r="I193" s="3"/>
      <c r="J193" s="17"/>
      <c r="K193" s="17"/>
      <c r="L193" s="18"/>
      <c r="M193" s="3"/>
      <c r="P193" s="3"/>
      <c r="Q193" s="4"/>
      <c r="R193" s="19"/>
      <c r="S193" s="20"/>
      <c r="T193" s="3"/>
      <c r="U193" s="3" t="str">
        <f t="shared" si="8"/>
        <v/>
      </c>
      <c r="V193" s="4" t="str">
        <f t="shared" si="9"/>
        <v/>
      </c>
      <c r="W193" s="21" t="e" cm="1">
        <f t="array" ref="W193">_xlfn.IFS(
  A193="BELL", "WHITE",
  A193="GAMP", "ORANGE",
  A193="GAMM", "GREEN",
  A193="BWF", "YELLOW",
  OR(A193="TNBE", A193="TNBL", A193="TNBD", A193="TNWC", A193="TNBW", A193="THBS"), "PINK",
  A193="CRWD", "BLUE",
  A193="PASS", "WHITE"
)</f>
        <v>#N/A</v>
      </c>
    </row>
    <row r="194" spans="1:23" x14ac:dyDescent="0.25">
      <c r="A194" s="7"/>
      <c r="B194" s="7"/>
      <c r="C194" s="4"/>
      <c r="G194" s="3"/>
      <c r="I194" s="3"/>
      <c r="J194" s="17"/>
      <c r="K194" s="17"/>
      <c r="L194" s="18"/>
      <c r="M194" s="18"/>
      <c r="P194" s="3"/>
      <c r="Q194" s="4"/>
      <c r="R194" s="19"/>
      <c r="S194" s="20"/>
      <c r="T194" s="3"/>
      <c r="U194" s="3" t="str">
        <f t="shared" si="8"/>
        <v/>
      </c>
      <c r="V194" s="4" t="str">
        <f t="shared" si="9"/>
        <v/>
      </c>
      <c r="W194" s="21" t="e" cm="1">
        <f t="array" ref="W194">_xlfn.IFS(
  A194="BELL", "WHITE",
  A194="GAMP", "ORANGE",
  A194="GAMM", "GREEN",
  A194="BWF", "YELLOW",
  OR(A194="TNBE", A194="TNBL", A194="TNBD", A194="TNWC", A194="TNBW", A194="THBS"), "PINK",
  A194="CRWD", "BLUE",
  A194="PASS", "WHITE"
)</f>
        <v>#N/A</v>
      </c>
    </row>
    <row r="195" spans="1:23" x14ac:dyDescent="0.25">
      <c r="A195" s="7"/>
      <c r="B195" s="7"/>
      <c r="C195" s="4"/>
      <c r="G195" s="3"/>
      <c r="I195" s="3"/>
      <c r="J195" s="17"/>
      <c r="K195" s="17"/>
      <c r="L195" s="18"/>
      <c r="M195" s="3"/>
      <c r="P195" s="3"/>
      <c r="Q195" s="4"/>
      <c r="R195" s="19"/>
      <c r="S195" s="20"/>
      <c r="T195" s="3"/>
      <c r="U195" s="3" t="str">
        <f t="shared" si="8"/>
        <v/>
      </c>
      <c r="V195" s="4" t="str">
        <f t="shared" si="9"/>
        <v/>
      </c>
      <c r="W195" s="21" t="e" cm="1">
        <f t="array" ref="W195">_xlfn.IFS(
  A195="BELL", "WHITE",
  A195="GAMP", "ORANGE",
  A195="GAMM", "GREEN",
  A195="BWF", "YELLOW",
  OR(A195="TNBE", A195="TNBL", A195="TNBD", A195="TNWC", A195="TNBW", A195="THBS"), "PINK",
  A195="CRWD", "BLUE",
  A195="PASS", "WHITE"
)</f>
        <v>#N/A</v>
      </c>
    </row>
    <row r="196" spans="1:23" x14ac:dyDescent="0.25">
      <c r="A196" s="7"/>
      <c r="B196" s="7"/>
      <c r="C196" s="4"/>
      <c r="G196" s="3"/>
      <c r="I196" s="3"/>
      <c r="J196" s="17"/>
      <c r="K196" s="17"/>
      <c r="L196" s="18"/>
      <c r="M196" s="18"/>
      <c r="P196" s="3"/>
      <c r="Q196" s="4"/>
      <c r="R196" s="19"/>
      <c r="S196" s="20"/>
      <c r="T196" s="3"/>
      <c r="U196" s="3" t="str">
        <f t="shared" ref="U196:U259" si="10">IF(T196="","",IF(T196&gt;I196,H196,T196/G196))</f>
        <v/>
      </c>
      <c r="V196" s="4" t="str">
        <f t="shared" ref="V196:V259" si="11">IF(T196&gt;I196,T196-I196,"")</f>
        <v/>
      </c>
      <c r="W196" s="21" t="e" cm="1">
        <f t="array" ref="W196">_xlfn.IFS(
  A196="BELL", "WHITE",
  A196="GAMP", "ORANGE",
  A196="GAMM", "GREEN",
  A196="BWF", "YELLOW",
  OR(A196="TNBE", A196="TNBL", A196="TNBD", A196="TNWC", A196="TNBW", A196="THBS"), "PINK",
  A196="CRWD", "BLUE",
  A196="PASS", "WHITE"
)</f>
        <v>#N/A</v>
      </c>
    </row>
    <row r="197" spans="1:23" x14ac:dyDescent="0.25">
      <c r="A197" s="7"/>
      <c r="B197" s="7"/>
      <c r="C197" s="4"/>
      <c r="G197" s="3"/>
      <c r="I197" s="3"/>
      <c r="J197" s="17"/>
      <c r="K197" s="17"/>
      <c r="L197" s="18"/>
      <c r="M197" s="18"/>
      <c r="P197" s="3"/>
      <c r="Q197" s="4"/>
      <c r="R197" s="19"/>
      <c r="S197" s="20"/>
      <c r="T197" s="3"/>
      <c r="U197" s="3" t="str">
        <f t="shared" si="10"/>
        <v/>
      </c>
      <c r="V197" s="4" t="str">
        <f t="shared" si="11"/>
        <v/>
      </c>
      <c r="W197" s="21" t="e" cm="1">
        <f t="array" ref="W197">_xlfn.IFS(
  A197="BELL", "WHITE",
  A197="GAMP", "ORANGE",
  A197="GAMM", "GREEN",
  A197="BWF", "YELLOW",
  OR(A197="TNBE", A197="TNBL", A197="TNBD", A197="TNWC", A197="TNBW", A197="THBS"), "PINK",
  A197="CRWD", "BLUE",
  A197="PASS", "WHITE"
)</f>
        <v>#N/A</v>
      </c>
    </row>
    <row r="198" spans="1:23" x14ac:dyDescent="0.25">
      <c r="A198" s="7"/>
      <c r="B198" s="7"/>
      <c r="C198" s="4"/>
      <c r="G198" s="3"/>
      <c r="I198" s="3"/>
      <c r="J198" s="17"/>
      <c r="K198" s="17"/>
      <c r="L198" s="18"/>
      <c r="M198" s="3"/>
      <c r="P198" s="3"/>
      <c r="Q198" s="4"/>
      <c r="R198" s="19"/>
      <c r="S198" s="20"/>
      <c r="T198" s="3"/>
      <c r="U198" s="3" t="str">
        <f t="shared" si="10"/>
        <v/>
      </c>
      <c r="V198" s="4" t="str">
        <f t="shared" si="11"/>
        <v/>
      </c>
      <c r="W198" s="21" t="e" cm="1">
        <f t="array" ref="W198">_xlfn.IFS(
  A198="BELL", "WHITE",
  A198="GAMP", "ORANGE",
  A198="GAMM", "GREEN",
  A198="BWF", "YELLOW",
  OR(A198="TNBE", A198="TNBL", A198="TNBD", A198="TNWC", A198="TNBW", A198="THBS"), "PINK",
  A198="CRWD", "BLUE",
  A198="PASS", "WHITE"
)</f>
        <v>#N/A</v>
      </c>
    </row>
    <row r="199" spans="1:23" x14ac:dyDescent="0.25">
      <c r="A199" s="7"/>
      <c r="B199" s="7"/>
      <c r="C199" s="4"/>
      <c r="G199" s="3"/>
      <c r="I199" s="3"/>
      <c r="J199" s="17"/>
      <c r="K199" s="17"/>
      <c r="L199" s="18"/>
      <c r="M199" s="3"/>
      <c r="P199" s="3"/>
      <c r="Q199" s="4"/>
      <c r="R199" s="19"/>
      <c r="S199" s="20"/>
      <c r="T199" s="3"/>
      <c r="U199" s="3" t="str">
        <f t="shared" si="10"/>
        <v/>
      </c>
      <c r="V199" s="4" t="str">
        <f t="shared" si="11"/>
        <v/>
      </c>
      <c r="W199" s="21" t="e" cm="1">
        <f t="array" ref="W199">_xlfn.IFS(
  A199="BELL", "WHITE",
  A199="GAMP", "ORANGE",
  A199="GAMM", "GREEN",
  A199="BWF", "YELLOW",
  OR(A199="TNBE", A199="TNBL", A199="TNBD", A199="TNWC", A199="TNBW", A199="THBS"), "PINK",
  A199="CRWD", "BLUE",
  A199="PASS", "WHITE"
)</f>
        <v>#N/A</v>
      </c>
    </row>
    <row r="200" spans="1:23" x14ac:dyDescent="0.25">
      <c r="A200" s="7"/>
      <c r="B200" s="7"/>
      <c r="C200" s="4"/>
      <c r="G200" s="22"/>
      <c r="I200" s="3"/>
      <c r="J200" s="17"/>
      <c r="K200" s="17"/>
      <c r="L200" s="18"/>
      <c r="M200" s="3"/>
      <c r="P200" s="3"/>
      <c r="Q200" s="4"/>
      <c r="R200" s="19"/>
      <c r="S200" s="20"/>
      <c r="T200" s="22"/>
      <c r="U200" s="3" t="str">
        <f t="shared" si="10"/>
        <v/>
      </c>
      <c r="V200" s="4" t="str">
        <f t="shared" si="11"/>
        <v/>
      </c>
      <c r="W200" s="21" t="e" cm="1">
        <f t="array" ref="W200">_xlfn.IFS(
  A200="BELL", "WHITE",
  A200="GAMP", "ORANGE",
  A200="GAMM", "GREEN",
  A200="BWF", "YELLOW",
  OR(A200="TNBE", A200="TNBL", A200="TNBD", A200="TNWC", A200="TNBW", A200="THBS"), "PINK",
  A200="CRWD", "BLUE",
  A200="PASS", "WHITE"
)</f>
        <v>#N/A</v>
      </c>
    </row>
    <row r="201" spans="1:23" x14ac:dyDescent="0.25">
      <c r="A201" s="7"/>
      <c r="B201" s="7"/>
      <c r="C201" s="4"/>
      <c r="G201" s="22"/>
      <c r="I201" s="3"/>
      <c r="J201" s="17"/>
      <c r="K201" s="17"/>
      <c r="L201" s="18"/>
      <c r="M201" s="3"/>
      <c r="P201" s="3"/>
      <c r="Q201" s="4"/>
      <c r="R201" s="19"/>
      <c r="S201" s="20"/>
      <c r="T201" s="22"/>
      <c r="U201" s="3" t="str">
        <f t="shared" si="10"/>
        <v/>
      </c>
      <c r="V201" s="4" t="str">
        <f t="shared" si="11"/>
        <v/>
      </c>
      <c r="W201" s="21" t="e" cm="1">
        <f t="array" ref="W201">_xlfn.IFS(
  A201="BELL", "WHITE",
  A201="GAMP", "ORANGE",
  A201="GAMM", "GREEN",
  A201="BWF", "YELLOW",
  OR(A201="TNBE", A201="TNBL", A201="TNBD", A201="TNWC", A201="TNBW", A201="THBS"), "PINK",
  A201="CRWD", "BLUE",
  A201="PASS", "WHITE"
)</f>
        <v>#N/A</v>
      </c>
    </row>
    <row r="202" spans="1:23" x14ac:dyDescent="0.25">
      <c r="A202" s="7"/>
      <c r="B202" s="7"/>
      <c r="C202" s="4"/>
      <c r="G202" s="3"/>
      <c r="I202" s="3"/>
      <c r="J202" s="17"/>
      <c r="K202" s="17"/>
      <c r="L202" s="18"/>
      <c r="M202" s="3"/>
      <c r="P202" s="3"/>
      <c r="Q202" s="4"/>
      <c r="R202" s="19"/>
      <c r="S202" s="20"/>
      <c r="T202" s="3"/>
      <c r="U202" s="3" t="str">
        <f t="shared" si="10"/>
        <v/>
      </c>
      <c r="V202" s="4" t="str">
        <f t="shared" si="11"/>
        <v/>
      </c>
      <c r="W202" s="21" t="e" cm="1">
        <f t="array" ref="W202">_xlfn.IFS(
  A202="BELL", "WHITE",
  A202="GAMP", "ORANGE",
  A202="GAMM", "GREEN",
  A202="BWF", "YELLOW",
  OR(A202="TNBE", A202="TNBL", A202="TNBD", A202="TNWC", A202="TNBW", A202="THBS"), "PINK",
  A202="CRWD", "BLUE",
  A202="PASS", "WHITE"
)</f>
        <v>#N/A</v>
      </c>
    </row>
    <row r="203" spans="1:23" x14ac:dyDescent="0.25">
      <c r="A203" s="7"/>
      <c r="B203" s="7"/>
      <c r="C203" s="4"/>
      <c r="G203" s="3"/>
      <c r="I203" s="3"/>
      <c r="J203" s="17"/>
      <c r="K203" s="17"/>
      <c r="L203" s="18"/>
      <c r="M203" s="3"/>
      <c r="P203" s="3"/>
      <c r="Q203" s="4"/>
      <c r="R203" s="19"/>
      <c r="S203" s="20"/>
      <c r="T203" s="3"/>
      <c r="U203" s="3" t="str">
        <f t="shared" si="10"/>
        <v/>
      </c>
      <c r="V203" s="4" t="str">
        <f t="shared" si="11"/>
        <v/>
      </c>
      <c r="W203" s="21" t="e" cm="1">
        <f t="array" ref="W203">_xlfn.IFS(
  A203="BELL", "WHITE",
  A203="GAMP", "ORANGE",
  A203="GAMM", "GREEN",
  A203="BWF", "YELLOW",
  OR(A203="TNBE", A203="TNBL", A203="TNBD", A203="TNWC", A203="TNBW", A203="THBS"), "PINK",
  A203="CRWD", "BLUE",
  A203="PASS", "WHITE"
)</f>
        <v>#N/A</v>
      </c>
    </row>
    <row r="204" spans="1:23" x14ac:dyDescent="0.25">
      <c r="A204" s="7"/>
      <c r="B204" s="7"/>
      <c r="C204" s="4"/>
      <c r="G204" s="3"/>
      <c r="I204" s="3"/>
      <c r="J204" s="17"/>
      <c r="K204" s="17"/>
      <c r="L204" s="18"/>
      <c r="M204" s="3"/>
      <c r="P204" s="3"/>
      <c r="Q204" s="4"/>
      <c r="R204" s="19"/>
      <c r="S204" s="20"/>
      <c r="T204" s="3"/>
      <c r="U204" s="3" t="str">
        <f t="shared" si="10"/>
        <v/>
      </c>
      <c r="V204" s="4" t="str">
        <f t="shared" si="11"/>
        <v/>
      </c>
      <c r="W204" s="21" t="e" cm="1">
        <f t="array" ref="W204">_xlfn.IFS(
  A204="BELL", "WHITE",
  A204="GAMP", "ORANGE",
  A204="GAMM", "GREEN",
  A204="BWF", "YELLOW",
  OR(A204="TNBE", A204="TNBL", A204="TNBD", A204="TNWC", A204="TNBW", A204="THBS"), "PINK",
  A204="CRWD", "BLUE",
  A204="PASS", "WHITE"
)</f>
        <v>#N/A</v>
      </c>
    </row>
    <row r="205" spans="1:23" x14ac:dyDescent="0.25">
      <c r="A205" s="7"/>
      <c r="B205" s="7"/>
      <c r="C205" s="4"/>
      <c r="G205" s="3"/>
      <c r="I205" s="3"/>
      <c r="J205" s="17"/>
      <c r="K205" s="17"/>
      <c r="L205" s="18"/>
      <c r="M205" s="3"/>
      <c r="P205" s="3"/>
      <c r="Q205" s="4"/>
      <c r="R205" s="19"/>
      <c r="S205" s="20"/>
      <c r="T205" s="3"/>
      <c r="U205" s="3" t="str">
        <f t="shared" si="10"/>
        <v/>
      </c>
      <c r="V205" s="4" t="str">
        <f t="shared" si="11"/>
        <v/>
      </c>
      <c r="W205" s="21" t="e" cm="1">
        <f t="array" ref="W205">_xlfn.IFS(
  A205="BELL", "WHITE",
  A205="GAMP", "ORANGE",
  A205="GAMM", "GREEN",
  A205="BWF", "YELLOW",
  OR(A205="TNBE", A205="TNBL", A205="TNBD", A205="TNWC", A205="TNBW", A205="THBS"), "PINK",
  A205="CRWD", "BLUE",
  A205="PASS", "WHITE"
)</f>
        <v>#N/A</v>
      </c>
    </row>
    <row r="206" spans="1:23" x14ac:dyDescent="0.25">
      <c r="A206" s="7"/>
      <c r="B206" s="7"/>
      <c r="C206" s="4"/>
      <c r="G206" s="3"/>
      <c r="I206" s="3"/>
      <c r="J206" s="17"/>
      <c r="K206" s="17"/>
      <c r="L206" s="18"/>
      <c r="M206" s="3"/>
      <c r="P206" s="3"/>
      <c r="Q206" s="4"/>
      <c r="R206" s="19"/>
      <c r="S206" s="20"/>
      <c r="T206" s="3"/>
      <c r="U206" s="3" t="str">
        <f t="shared" si="10"/>
        <v/>
      </c>
      <c r="V206" s="4" t="str">
        <f t="shared" si="11"/>
        <v/>
      </c>
      <c r="W206" s="21" t="e" cm="1">
        <f t="array" ref="W206">_xlfn.IFS(
  A206="BELL", "WHITE",
  A206="GAMP", "ORANGE",
  A206="GAMM", "GREEN",
  A206="BWF", "YELLOW",
  OR(A206="TNBE", A206="TNBL", A206="TNBD", A206="TNWC", A206="TNBW", A206="THBS"), "PINK",
  A206="CRWD", "BLUE",
  A206="PASS", "WHITE"
)</f>
        <v>#N/A</v>
      </c>
    </row>
    <row r="207" spans="1:23" x14ac:dyDescent="0.25">
      <c r="A207" s="7"/>
      <c r="B207" s="7"/>
      <c r="C207" s="4"/>
      <c r="G207" s="3"/>
      <c r="I207" s="3"/>
      <c r="J207" s="17"/>
      <c r="K207" s="17"/>
      <c r="L207" s="18"/>
      <c r="M207" s="3"/>
      <c r="P207" s="3"/>
      <c r="Q207" s="4"/>
      <c r="R207" s="19"/>
      <c r="S207" s="20"/>
      <c r="T207" s="3"/>
      <c r="U207" s="3" t="str">
        <f t="shared" si="10"/>
        <v/>
      </c>
      <c r="V207" s="4" t="str">
        <f t="shared" si="11"/>
        <v/>
      </c>
      <c r="W207" s="21" t="e" cm="1">
        <f t="array" ref="W207">_xlfn.IFS(
  A207="BELL", "WHITE",
  A207="GAMP", "ORANGE",
  A207="GAMM", "GREEN",
  A207="BWF", "YELLOW",
  OR(A207="TNBE", A207="TNBL", A207="TNBD", A207="TNWC", A207="TNBW", A207="THBS"), "PINK",
  A207="CRWD", "BLUE",
  A207="PASS", "WHITE"
)</f>
        <v>#N/A</v>
      </c>
    </row>
    <row r="208" spans="1:23" x14ac:dyDescent="0.25">
      <c r="A208" s="7"/>
      <c r="B208" s="7"/>
      <c r="C208" s="4"/>
      <c r="E208" s="1"/>
      <c r="G208" s="3"/>
      <c r="I208" s="3"/>
      <c r="J208" s="17"/>
      <c r="K208" s="17"/>
      <c r="L208" s="18"/>
      <c r="M208" s="3"/>
      <c r="P208" s="3"/>
      <c r="Q208" s="4"/>
      <c r="R208" s="19"/>
      <c r="S208" s="20"/>
      <c r="T208" s="3"/>
      <c r="U208" s="3" t="str">
        <f t="shared" si="10"/>
        <v/>
      </c>
      <c r="V208" s="4" t="str">
        <f t="shared" si="11"/>
        <v/>
      </c>
      <c r="W208" s="21" t="e" cm="1">
        <f t="array" ref="W208">_xlfn.IFS(
  A208="BELL", "WHITE",
  A208="GAMP", "ORANGE",
  A208="GAMM", "GREEN",
  A208="BWF", "YELLOW",
  OR(A208="TNBE", A208="TNBL", A208="TNBD", A208="TNWC", A208="TNBW", A208="THBS"), "PINK",
  A208="CRWD", "BLUE",
  A208="PASS", "WHITE"
)</f>
        <v>#N/A</v>
      </c>
    </row>
    <row r="209" spans="1:23" x14ac:dyDescent="0.25">
      <c r="A209" s="7"/>
      <c r="B209" s="7"/>
      <c r="C209" s="4"/>
      <c r="G209" s="3"/>
      <c r="I209" s="3"/>
      <c r="J209" s="17"/>
      <c r="K209" s="17"/>
      <c r="L209" s="18"/>
      <c r="M209" s="3"/>
      <c r="P209" s="3"/>
      <c r="Q209" s="4"/>
      <c r="R209" s="19"/>
      <c r="S209" s="20"/>
      <c r="T209" s="3"/>
      <c r="U209" s="3" t="str">
        <f t="shared" si="10"/>
        <v/>
      </c>
      <c r="V209" s="4" t="str">
        <f t="shared" si="11"/>
        <v/>
      </c>
      <c r="W209" s="21" t="e" cm="1">
        <f t="array" ref="W209">_xlfn.IFS(
  A209="BELL", "WHITE",
  A209="GAMP", "ORANGE",
  A209="GAMM", "GREEN",
  A209="BWF", "YELLOW",
  OR(A209="TNBE", A209="TNBL", A209="TNBD", A209="TNWC", A209="TNBW", A209="THBS"), "PINK",
  A209="CRWD", "BLUE",
  A209="PASS", "WHITE"
)</f>
        <v>#N/A</v>
      </c>
    </row>
    <row r="210" spans="1:23" x14ac:dyDescent="0.25">
      <c r="A210" s="7"/>
      <c r="B210" s="7"/>
      <c r="C210" s="4"/>
      <c r="G210" s="3"/>
      <c r="I210" s="3"/>
      <c r="J210" s="17"/>
      <c r="K210" s="17"/>
      <c r="L210" s="18"/>
      <c r="M210" s="3"/>
      <c r="P210" s="3"/>
      <c r="Q210" s="4"/>
      <c r="R210" s="19"/>
      <c r="S210" s="20"/>
      <c r="T210" s="3"/>
      <c r="U210" s="3" t="str">
        <f t="shared" si="10"/>
        <v/>
      </c>
      <c r="V210" s="4" t="str">
        <f t="shared" si="11"/>
        <v/>
      </c>
      <c r="W210" s="21" t="e" cm="1">
        <f t="array" ref="W210">_xlfn.IFS(
  A210="BELL", "WHITE",
  A210="GAMP", "ORANGE",
  A210="GAMM", "GREEN",
  A210="BWF", "YELLOW",
  OR(A210="TNBE", A210="TNBL", A210="TNBD", A210="TNWC", A210="TNBW", A210="THBS"), "PINK",
  A210="CRWD", "BLUE",
  A210="PASS", "WHITE"
)</f>
        <v>#N/A</v>
      </c>
    </row>
    <row r="211" spans="1:23" x14ac:dyDescent="0.25">
      <c r="A211" s="7"/>
      <c r="B211" s="7"/>
      <c r="C211" s="4"/>
      <c r="H211" s="2"/>
      <c r="I211" s="3"/>
      <c r="J211" s="17"/>
      <c r="K211" s="17"/>
      <c r="L211" s="18"/>
      <c r="M211" s="18"/>
      <c r="P211" s="3"/>
      <c r="Q211" s="4"/>
      <c r="R211" s="19"/>
      <c r="S211" s="20"/>
      <c r="U211" s="3" t="str">
        <f t="shared" si="10"/>
        <v/>
      </c>
      <c r="V211" s="4" t="str">
        <f t="shared" si="11"/>
        <v/>
      </c>
      <c r="W211" s="21" t="e" cm="1">
        <f t="array" ref="W211">_xlfn.IFS(
  A211="BELL", "WHITE",
  A211="GAMP", "ORANGE",
  A211="GAMM", "GREEN",
  A211="BWF", "YELLOW",
  OR(A211="TNBE", A211="TNBL", A211="TNBD", A211="TNWC", A211="TNBW", A211="THBS"), "PINK",
  A211="CRWD", "BLUE",
  A211="PASS", "WHITE"
)</f>
        <v>#N/A</v>
      </c>
    </row>
    <row r="212" spans="1:23" x14ac:dyDescent="0.25">
      <c r="A212" s="7"/>
      <c r="B212" s="7"/>
      <c r="C212" s="4"/>
      <c r="G212" s="3"/>
      <c r="I212" s="3"/>
      <c r="J212" s="17"/>
      <c r="K212" s="17"/>
      <c r="L212" s="18"/>
      <c r="M212" s="3"/>
      <c r="P212" s="3"/>
      <c r="Q212" s="4"/>
      <c r="R212" s="19"/>
      <c r="S212" s="20"/>
      <c r="T212" s="3"/>
      <c r="U212" s="3" t="str">
        <f t="shared" si="10"/>
        <v/>
      </c>
      <c r="V212" s="4" t="str">
        <f t="shared" si="11"/>
        <v/>
      </c>
      <c r="W212" s="21" t="e" cm="1">
        <f t="array" ref="W212">_xlfn.IFS(
  A212="BELL", "WHITE",
  A212="GAMP", "ORANGE",
  A212="GAMM", "GREEN",
  A212="BWF", "YELLOW",
  OR(A212="TNBE", A212="TNBL", A212="TNBD", A212="TNWC", A212="TNBW", A212="THBS"), "PINK",
  A212="CRWD", "BLUE",
  A212="PASS", "WHITE"
)</f>
        <v>#N/A</v>
      </c>
    </row>
    <row r="213" spans="1:23" x14ac:dyDescent="0.25">
      <c r="A213" s="7"/>
      <c r="B213" s="7"/>
      <c r="C213" s="4"/>
      <c r="H213" s="2"/>
      <c r="I213" s="3"/>
      <c r="J213" s="17"/>
      <c r="K213" s="17"/>
      <c r="L213" s="18"/>
      <c r="M213" s="18"/>
      <c r="P213" s="3"/>
      <c r="Q213" s="4"/>
      <c r="R213" s="19"/>
      <c r="S213" s="20"/>
      <c r="U213" s="3" t="str">
        <f t="shared" si="10"/>
        <v/>
      </c>
      <c r="V213" s="4" t="str">
        <f t="shared" si="11"/>
        <v/>
      </c>
      <c r="W213" s="21" t="e" cm="1">
        <f t="array" ref="W213">_xlfn.IFS(
  A213="BELL", "WHITE",
  A213="GAMP", "ORANGE",
  A213="GAMM", "GREEN",
  A213="BWF", "YELLOW",
  OR(A213="TNBE", A213="TNBL", A213="TNBD", A213="TNWC", A213="TNBW", A213="THBS"), "PINK",
  A213="CRWD", "BLUE",
  A213="PASS", "WHITE"
)</f>
        <v>#N/A</v>
      </c>
    </row>
    <row r="214" spans="1:23" x14ac:dyDescent="0.25">
      <c r="A214" s="7"/>
      <c r="B214" s="7"/>
      <c r="C214" s="4"/>
      <c r="D214" s="24"/>
      <c r="E214" s="24"/>
      <c r="G214" s="3"/>
      <c r="I214" s="3"/>
      <c r="J214" s="17"/>
      <c r="K214" s="17"/>
      <c r="L214" s="18"/>
      <c r="M214" s="3"/>
      <c r="P214" s="3"/>
      <c r="Q214" s="4"/>
      <c r="R214" s="19"/>
      <c r="S214" s="20"/>
      <c r="T214" s="3"/>
      <c r="U214" s="3" t="str">
        <f t="shared" si="10"/>
        <v/>
      </c>
      <c r="V214" s="4" t="str">
        <f t="shared" si="11"/>
        <v/>
      </c>
      <c r="W214" s="21" t="e" cm="1">
        <f t="array" ref="W214">_xlfn.IFS(
  A214="BELL", "WHITE",
  A214="GAMP", "ORANGE",
  A214="GAMM", "GREEN",
  A214="BWF", "YELLOW",
  OR(A214="TNBE", A214="TNBL", A214="TNBD", A214="TNWC", A214="TNBW", A214="THBS"), "PINK",
  A214="CRWD", "BLUE",
  A214="PASS", "WHITE"
)</f>
        <v>#N/A</v>
      </c>
    </row>
    <row r="215" spans="1:23" x14ac:dyDescent="0.25">
      <c r="A215" s="7"/>
      <c r="B215" s="7"/>
      <c r="C215" s="4"/>
      <c r="H215" s="2"/>
      <c r="I215" s="3"/>
      <c r="J215" s="17"/>
      <c r="K215" s="17"/>
      <c r="L215" s="18"/>
      <c r="M215" s="18"/>
      <c r="P215" s="3"/>
      <c r="Q215" s="4"/>
      <c r="R215" s="19"/>
      <c r="S215" s="20"/>
      <c r="U215" s="3" t="str">
        <f t="shared" si="10"/>
        <v/>
      </c>
      <c r="V215" s="4" t="str">
        <f t="shared" si="11"/>
        <v/>
      </c>
      <c r="W215" s="21" t="e" cm="1">
        <f t="array" ref="W215">_xlfn.IFS(
  A215="BELL", "WHITE",
  A215="GAMP", "ORANGE",
  A215="GAMM", "GREEN",
  A215="BWF", "YELLOW",
  OR(A215="TNBE", A215="TNBL", A215="TNBD", A215="TNWC", A215="TNBW", A215="THBS"), "PINK",
  A215="CRWD", "BLUE",
  A215="PASS", "WHITE"
)</f>
        <v>#N/A</v>
      </c>
    </row>
    <row r="216" spans="1:23" x14ac:dyDescent="0.25">
      <c r="A216" s="7"/>
      <c r="B216" s="7"/>
      <c r="C216" s="4"/>
      <c r="H216" s="2"/>
      <c r="I216" s="3"/>
      <c r="J216" s="17"/>
      <c r="K216" s="17"/>
      <c r="L216" s="18"/>
      <c r="M216" s="18"/>
      <c r="P216" s="3"/>
      <c r="Q216" s="4"/>
      <c r="R216" s="19"/>
      <c r="S216" s="20"/>
      <c r="U216" s="3" t="str">
        <f t="shared" si="10"/>
        <v/>
      </c>
      <c r="V216" s="4" t="str">
        <f t="shared" si="11"/>
        <v/>
      </c>
      <c r="W216" s="21" t="e" cm="1">
        <f t="array" ref="W216">_xlfn.IFS(
  A216="BELL", "WHITE",
  A216="GAMP", "ORANGE",
  A216="GAMM", "GREEN",
  A216="BWF", "YELLOW",
  OR(A216="TNBE", A216="TNBL", A216="TNBD", A216="TNWC", A216="TNBW", A216="THBS"), "PINK",
  A216="CRWD", "BLUE",
  A216="PASS", "WHITE"
)</f>
        <v>#N/A</v>
      </c>
    </row>
    <row r="217" spans="1:23" x14ac:dyDescent="0.25">
      <c r="A217" s="7"/>
      <c r="B217" s="7"/>
      <c r="C217" s="4"/>
      <c r="G217" s="22"/>
      <c r="I217" s="3"/>
      <c r="J217" s="17"/>
      <c r="K217" s="17"/>
      <c r="L217" s="18"/>
      <c r="M217" s="3"/>
      <c r="P217" s="3"/>
      <c r="Q217" s="4"/>
      <c r="R217" s="19"/>
      <c r="S217" s="20"/>
      <c r="T217" s="22"/>
      <c r="U217" s="3" t="str">
        <f t="shared" si="10"/>
        <v/>
      </c>
      <c r="V217" s="4" t="str">
        <f t="shared" si="11"/>
        <v/>
      </c>
      <c r="W217" s="21" t="e" cm="1">
        <f t="array" ref="W217">_xlfn.IFS(
  A217="BELL", "WHITE",
  A217="GAMP", "ORANGE",
  A217="GAMM", "GREEN",
  A217="BWF", "YELLOW",
  OR(A217="TNBE", A217="TNBL", A217="TNBD", A217="TNWC", A217="TNBW", A217="THBS"), "PINK",
  A217="CRWD", "BLUE",
  A217="PASS", "WHITE"
)</f>
        <v>#N/A</v>
      </c>
    </row>
    <row r="218" spans="1:23" x14ac:dyDescent="0.25">
      <c r="A218" s="7"/>
      <c r="B218" s="7"/>
      <c r="C218" s="4"/>
      <c r="H218" s="2"/>
      <c r="I218" s="3"/>
      <c r="J218" s="17"/>
      <c r="K218" s="17"/>
      <c r="L218" s="18"/>
      <c r="M218" s="18"/>
      <c r="P218" s="3"/>
      <c r="Q218" s="4"/>
      <c r="R218" s="19"/>
      <c r="S218" s="20"/>
      <c r="U218" s="3" t="str">
        <f t="shared" si="10"/>
        <v/>
      </c>
      <c r="V218" s="4" t="str">
        <f t="shared" si="11"/>
        <v/>
      </c>
      <c r="W218" s="21" t="e" cm="1">
        <f t="array" ref="W218">_xlfn.IFS(
  A218="BELL", "WHITE",
  A218="GAMP", "ORANGE",
  A218="GAMM", "GREEN",
  A218="BWF", "YELLOW",
  OR(A218="TNBE", A218="TNBL", A218="TNBD", A218="TNWC", A218="TNBW", A218="THBS"), "PINK",
  A218="CRWD", "BLUE",
  A218="PASS", "WHITE"
)</f>
        <v>#N/A</v>
      </c>
    </row>
    <row r="219" spans="1:23" x14ac:dyDescent="0.25">
      <c r="A219" s="7"/>
      <c r="B219" s="7"/>
      <c r="C219" s="4"/>
      <c r="G219" s="3"/>
      <c r="I219" s="3"/>
      <c r="J219" s="17"/>
      <c r="K219" s="17"/>
      <c r="L219" s="18"/>
      <c r="M219" s="3"/>
      <c r="P219" s="3"/>
      <c r="Q219" s="4"/>
      <c r="R219" s="19"/>
      <c r="S219" s="20"/>
      <c r="T219" s="3"/>
      <c r="U219" s="3" t="str">
        <f t="shared" si="10"/>
        <v/>
      </c>
      <c r="V219" s="4" t="str">
        <f t="shared" si="11"/>
        <v/>
      </c>
      <c r="W219" s="21" t="e" cm="1">
        <f t="array" ref="W219">_xlfn.IFS(
  A219="BELL", "WHITE",
  A219="GAMP", "ORANGE",
  A219="GAMM", "GREEN",
  A219="BWF", "YELLOW",
  OR(A219="TNBE", A219="TNBL", A219="TNBD", A219="TNWC", A219="TNBW", A219="THBS"), "PINK",
  A219="CRWD", "BLUE",
  A219="PASS", "WHITE"
)</f>
        <v>#N/A</v>
      </c>
    </row>
    <row r="220" spans="1:23" x14ac:dyDescent="0.25">
      <c r="A220" s="7"/>
      <c r="B220" s="7"/>
      <c r="C220" s="4"/>
      <c r="G220" s="3"/>
      <c r="I220" s="3"/>
      <c r="J220" s="17"/>
      <c r="K220" s="17"/>
      <c r="L220" s="18"/>
      <c r="M220" s="18"/>
      <c r="P220" s="3"/>
      <c r="Q220" s="4"/>
      <c r="R220" s="19"/>
      <c r="S220" s="20"/>
      <c r="T220" s="3"/>
      <c r="U220" s="3" t="str">
        <f t="shared" si="10"/>
        <v/>
      </c>
      <c r="V220" s="4" t="str">
        <f t="shared" si="11"/>
        <v/>
      </c>
      <c r="W220" s="21" t="e" cm="1">
        <f t="array" ref="W220">_xlfn.IFS(
  A220="BELL", "WHITE",
  A220="GAMP", "ORANGE",
  A220="GAMM", "GREEN",
  A220="BWF", "YELLOW",
  OR(A220="TNBE", A220="TNBL", A220="TNBD", A220="TNWC", A220="TNBW", A220="THBS"), "PINK",
  A220="CRWD", "BLUE",
  A220="PASS", "WHITE"
)</f>
        <v>#N/A</v>
      </c>
    </row>
    <row r="221" spans="1:23" x14ac:dyDescent="0.25">
      <c r="A221" s="7"/>
      <c r="B221" s="7"/>
      <c r="C221" s="4"/>
      <c r="H221" s="2"/>
      <c r="I221" s="3"/>
      <c r="J221" s="17"/>
      <c r="K221" s="17"/>
      <c r="L221" s="18"/>
      <c r="M221" s="18"/>
      <c r="P221" s="3"/>
      <c r="Q221" s="4"/>
      <c r="R221" s="19"/>
      <c r="S221" s="20"/>
      <c r="U221" s="3" t="str">
        <f t="shared" si="10"/>
        <v/>
      </c>
      <c r="V221" s="4" t="str">
        <f t="shared" si="11"/>
        <v/>
      </c>
      <c r="W221" s="21" t="e" cm="1">
        <f t="array" ref="W221">_xlfn.IFS(
  A221="BELL", "WHITE",
  A221="GAMP", "ORANGE",
  A221="GAMM", "GREEN",
  A221="BWF", "YELLOW",
  OR(A221="TNBE", A221="TNBL", A221="TNBD", A221="TNWC", A221="TNBW", A221="THBS"), "PINK",
  A221="CRWD", "BLUE",
  A221="PASS", "WHITE"
)</f>
        <v>#N/A</v>
      </c>
    </row>
    <row r="222" spans="1:23" x14ac:dyDescent="0.25">
      <c r="A222" s="7"/>
      <c r="B222" s="7"/>
      <c r="C222" s="4"/>
      <c r="H222" s="2"/>
      <c r="I222" s="3"/>
      <c r="J222" s="17"/>
      <c r="K222" s="17"/>
      <c r="L222" s="18"/>
      <c r="M222" s="18"/>
      <c r="P222" s="3"/>
      <c r="Q222" s="4"/>
      <c r="R222" s="19"/>
      <c r="S222" s="20"/>
      <c r="U222" s="3" t="str">
        <f t="shared" si="10"/>
        <v/>
      </c>
      <c r="V222" s="4" t="str">
        <f t="shared" si="11"/>
        <v/>
      </c>
      <c r="W222" s="21" t="e" cm="1">
        <f t="array" ref="W222">_xlfn.IFS(
  A222="BELL", "WHITE",
  A222="GAMP", "ORANGE",
  A222="GAMM", "GREEN",
  A222="BWF", "YELLOW",
  OR(A222="TNBE", A222="TNBL", A222="TNBD", A222="TNWC", A222="TNBW", A222="THBS"), "PINK",
  A222="CRWD", "BLUE",
  A222="PASS", "WHITE"
)</f>
        <v>#N/A</v>
      </c>
    </row>
    <row r="223" spans="1:23" x14ac:dyDescent="0.25">
      <c r="A223" s="7"/>
      <c r="B223" s="7"/>
      <c r="C223" s="4"/>
      <c r="H223" s="2"/>
      <c r="I223" s="3"/>
      <c r="J223" s="17"/>
      <c r="K223" s="17"/>
      <c r="L223" s="18"/>
      <c r="M223" s="18"/>
      <c r="P223" s="3"/>
      <c r="Q223" s="4"/>
      <c r="R223" s="19"/>
      <c r="S223" s="20"/>
      <c r="U223" s="3" t="str">
        <f t="shared" si="10"/>
        <v/>
      </c>
      <c r="V223" s="4" t="str">
        <f t="shared" si="11"/>
        <v/>
      </c>
      <c r="W223" s="21" t="e" cm="1">
        <f t="array" ref="W223">_xlfn.IFS(
  A223="BELL", "WHITE",
  A223="GAMP", "ORANGE",
  A223="GAMM", "GREEN",
  A223="BWF", "YELLOW",
  OR(A223="TNBE", A223="TNBL", A223="TNBD", A223="TNWC", A223="TNBW", A223="THBS"), "PINK",
  A223="CRWD", "BLUE",
  A223="PASS", "WHITE"
)</f>
        <v>#N/A</v>
      </c>
    </row>
    <row r="224" spans="1:23" x14ac:dyDescent="0.25">
      <c r="A224" s="7"/>
      <c r="B224" s="7"/>
      <c r="C224" s="4"/>
      <c r="H224" s="2"/>
      <c r="I224" s="3"/>
      <c r="J224" s="17"/>
      <c r="K224" s="17"/>
      <c r="L224" s="18"/>
      <c r="M224" s="18"/>
      <c r="P224" s="3"/>
      <c r="Q224" s="4"/>
      <c r="R224" s="19"/>
      <c r="S224" s="20"/>
      <c r="U224" s="3" t="str">
        <f t="shared" si="10"/>
        <v/>
      </c>
      <c r="V224" s="4" t="str">
        <f t="shared" si="11"/>
        <v/>
      </c>
      <c r="W224" s="21" t="e" cm="1">
        <f t="array" ref="W224">_xlfn.IFS(
  A224="BELL", "WHITE",
  A224="GAMP", "ORANGE",
  A224="GAMM", "GREEN",
  A224="BWF", "YELLOW",
  OR(A224="TNBE", A224="TNBL", A224="TNBD", A224="TNWC", A224="TNBW", A224="THBS"), "PINK",
  A224="CRWD", "BLUE",
  A224="PASS", "WHITE"
)</f>
        <v>#N/A</v>
      </c>
    </row>
    <row r="225" spans="1:23" x14ac:dyDescent="0.25">
      <c r="A225" s="7"/>
      <c r="B225" s="7"/>
      <c r="C225" s="4"/>
      <c r="I225" s="3"/>
      <c r="J225" s="17"/>
      <c r="K225" s="17"/>
      <c r="L225" s="18"/>
      <c r="M225" s="18"/>
      <c r="P225" s="3"/>
      <c r="Q225" s="4"/>
      <c r="R225" s="19"/>
      <c r="S225" s="20"/>
      <c r="U225" s="3" t="str">
        <f t="shared" si="10"/>
        <v/>
      </c>
      <c r="V225" s="4" t="str">
        <f t="shared" si="11"/>
        <v/>
      </c>
      <c r="W225" s="21" t="e" cm="1">
        <f t="array" ref="W225">_xlfn.IFS(
  A225="BELL", "WHITE",
  A225="GAMP", "ORANGE",
  A225="GAMM", "GREEN",
  A225="BWF", "YELLOW",
  OR(A225="TNBE", A225="TNBL", A225="TNBD", A225="TNWC", A225="TNBW", A225="THBS"), "PINK",
  A225="CRWD", "BLUE",
  A225="PASS", "WHITE"
)</f>
        <v>#N/A</v>
      </c>
    </row>
    <row r="226" spans="1:23" x14ac:dyDescent="0.25">
      <c r="A226" s="7"/>
      <c r="B226" s="7"/>
      <c r="C226" s="4"/>
      <c r="H226" s="2"/>
      <c r="I226" s="3"/>
      <c r="J226" s="17"/>
      <c r="K226" s="17"/>
      <c r="L226" s="18"/>
      <c r="M226" s="18"/>
      <c r="P226" s="3"/>
      <c r="Q226" s="4"/>
      <c r="R226" s="19"/>
      <c r="S226" s="20"/>
      <c r="U226" s="3" t="str">
        <f t="shared" si="10"/>
        <v/>
      </c>
      <c r="V226" s="4" t="str">
        <f t="shared" si="11"/>
        <v/>
      </c>
      <c r="W226" s="21" t="e" cm="1">
        <f t="array" ref="W226">_xlfn.IFS(
  A226="BELL", "WHITE",
  A226="GAMP", "ORANGE",
  A226="GAMM", "GREEN",
  A226="BWF", "YELLOW",
  OR(A226="TNBE", A226="TNBL", A226="TNBD", A226="TNWC", A226="TNBW", A226="THBS"), "PINK",
  A226="CRWD", "BLUE",
  A226="PASS", "WHITE"
)</f>
        <v>#N/A</v>
      </c>
    </row>
    <row r="227" spans="1:23" x14ac:dyDescent="0.25">
      <c r="A227" s="7"/>
      <c r="B227" s="7"/>
      <c r="C227" s="4"/>
      <c r="I227" s="3"/>
      <c r="J227" s="17"/>
      <c r="K227" s="17"/>
      <c r="L227" s="18"/>
      <c r="M227" s="3"/>
      <c r="P227" s="3"/>
      <c r="Q227" s="4"/>
      <c r="R227" s="19"/>
      <c r="S227" s="20"/>
      <c r="U227" s="3" t="str">
        <f t="shared" si="10"/>
        <v/>
      </c>
      <c r="V227" s="4" t="str">
        <f t="shared" si="11"/>
        <v/>
      </c>
      <c r="W227" s="21" t="e" cm="1">
        <f t="array" ref="W227">_xlfn.IFS(
  A227="BELL", "WHITE",
  A227="GAMP", "ORANGE",
  A227="GAMM", "GREEN",
  A227="BWF", "YELLOW",
  OR(A227="TNBE", A227="TNBL", A227="TNBD", A227="TNWC", A227="TNBW", A227="THBS"), "PINK",
  A227="CRWD", "BLUE",
  A227="PASS", "WHITE"
)</f>
        <v>#N/A</v>
      </c>
    </row>
    <row r="228" spans="1:23" x14ac:dyDescent="0.25">
      <c r="A228" s="7"/>
      <c r="B228" s="7"/>
      <c r="C228" s="4"/>
      <c r="E228" s="25"/>
      <c r="I228" s="3"/>
      <c r="J228" s="17"/>
      <c r="K228" s="17"/>
      <c r="L228" s="18"/>
      <c r="M228" s="3"/>
      <c r="P228" s="3"/>
      <c r="Q228" s="4"/>
      <c r="R228" s="19"/>
      <c r="S228" s="20"/>
      <c r="U228" s="3" t="str">
        <f t="shared" si="10"/>
        <v/>
      </c>
      <c r="V228" s="4" t="str">
        <f t="shared" si="11"/>
        <v/>
      </c>
      <c r="W228" s="21" t="e" cm="1">
        <f t="array" ref="W228">_xlfn.IFS(
  A228="BELL", "WHITE",
  A228="GAMP", "ORANGE",
  A228="GAMM", "GREEN",
  A228="BWF", "YELLOW",
  OR(A228="TNBE", A228="TNBL", A228="TNBD", A228="TNWC", A228="TNBW", A228="THBS"), "PINK",
  A228="CRWD", "BLUE",
  A228="PASS", "WHITE"
)</f>
        <v>#N/A</v>
      </c>
    </row>
    <row r="229" spans="1:23" x14ac:dyDescent="0.25">
      <c r="A229" s="7"/>
      <c r="B229" s="7"/>
      <c r="C229" s="4"/>
      <c r="E229" s="25"/>
      <c r="H229" s="2"/>
      <c r="I229" s="3"/>
      <c r="J229" s="17"/>
      <c r="K229" s="17"/>
      <c r="L229" s="18"/>
      <c r="M229" s="3"/>
      <c r="P229" s="3"/>
      <c r="Q229" s="4"/>
      <c r="R229" s="19"/>
      <c r="S229" s="20"/>
      <c r="U229" s="3" t="str">
        <f t="shared" si="10"/>
        <v/>
      </c>
      <c r="V229" s="4" t="str">
        <f t="shared" si="11"/>
        <v/>
      </c>
      <c r="W229" s="21" t="e" cm="1">
        <f t="array" ref="W229">_xlfn.IFS(
  A229="BELL", "WHITE",
  A229="GAMP", "ORANGE",
  A229="GAMM", "GREEN",
  A229="BWF", "YELLOW",
  OR(A229="TNBE", A229="TNBL", A229="TNBD", A229="TNWC", A229="TNBW", A229="THBS"), "PINK",
  A229="CRWD", "BLUE",
  A229="PASS", "WHITE"
)</f>
        <v>#N/A</v>
      </c>
    </row>
    <row r="230" spans="1:23" x14ac:dyDescent="0.25">
      <c r="A230" s="7"/>
      <c r="B230" s="7"/>
      <c r="C230" s="4"/>
      <c r="E230" s="25"/>
      <c r="I230" s="3"/>
      <c r="J230" s="17"/>
      <c r="K230" s="17"/>
      <c r="L230" s="18"/>
      <c r="M230" s="3"/>
      <c r="P230" s="3"/>
      <c r="Q230" s="4"/>
      <c r="R230" s="19"/>
      <c r="S230" s="20"/>
      <c r="U230" s="3" t="str">
        <f t="shared" si="10"/>
        <v/>
      </c>
      <c r="V230" s="4" t="str">
        <f t="shared" si="11"/>
        <v/>
      </c>
      <c r="W230" s="21" t="e" cm="1">
        <f t="array" ref="W230">_xlfn.IFS(
  A230="BELL", "WHITE",
  A230="GAMP", "ORANGE",
  A230="GAMM", "GREEN",
  A230="BWF", "YELLOW",
  OR(A230="TNBE", A230="TNBL", A230="TNBD", A230="TNWC", A230="TNBW", A230="THBS"), "PINK",
  A230="CRWD", "BLUE",
  A230="PASS", "WHITE"
)</f>
        <v>#N/A</v>
      </c>
    </row>
    <row r="231" spans="1:23" x14ac:dyDescent="0.25">
      <c r="A231" s="7"/>
      <c r="B231" s="7"/>
      <c r="C231" s="4"/>
      <c r="E231" s="25"/>
      <c r="H231" s="2"/>
      <c r="I231" s="3"/>
      <c r="J231" s="17"/>
      <c r="K231" s="17"/>
      <c r="L231" s="18"/>
      <c r="M231" s="3"/>
      <c r="P231" s="3"/>
      <c r="Q231" s="4"/>
      <c r="R231" s="19"/>
      <c r="S231" s="20"/>
      <c r="U231" s="3" t="str">
        <f t="shared" si="10"/>
        <v/>
      </c>
      <c r="V231" s="4" t="str">
        <f t="shared" si="11"/>
        <v/>
      </c>
      <c r="W231" s="21" t="e" cm="1">
        <f t="array" ref="W231">_xlfn.IFS(
  A231="BELL", "WHITE",
  A231="GAMP", "ORANGE",
  A231="GAMM", "GREEN",
  A231="BWF", "YELLOW",
  OR(A231="TNBE", A231="TNBL", A231="TNBD", A231="TNWC", A231="TNBW", A231="THBS"), "PINK",
  A231="CRWD", "BLUE",
  A231="PASS", "WHITE"
)</f>
        <v>#N/A</v>
      </c>
    </row>
    <row r="232" spans="1:23" x14ac:dyDescent="0.25">
      <c r="A232" s="7"/>
      <c r="B232" s="7"/>
      <c r="C232" s="4"/>
      <c r="E232" s="7"/>
      <c r="I232" s="3"/>
      <c r="J232" s="17"/>
      <c r="K232" s="17"/>
      <c r="L232" s="18"/>
      <c r="M232" s="3"/>
      <c r="P232" s="3"/>
      <c r="Q232" s="4"/>
      <c r="R232" s="19"/>
      <c r="S232" s="20"/>
      <c r="U232" s="3" t="str">
        <f t="shared" si="10"/>
        <v/>
      </c>
      <c r="V232" s="4" t="str">
        <f t="shared" si="11"/>
        <v/>
      </c>
      <c r="W232" s="21" t="e" cm="1">
        <f t="array" ref="W232">_xlfn.IFS(
  A232="BELL", "WHITE",
  A232="GAMP", "ORANGE",
  A232="GAMM", "GREEN",
  A232="BWF", "YELLOW",
  OR(A232="TNBE", A232="TNBL", A232="TNBD", A232="TNWC", A232="TNBW", A232="THBS"), "PINK",
  A232="CRWD", "BLUE",
  A232="PASS", "WHITE"
)</f>
        <v>#N/A</v>
      </c>
    </row>
    <row r="233" spans="1:23" x14ac:dyDescent="0.25">
      <c r="A233" s="7"/>
      <c r="B233" s="7"/>
      <c r="C233" s="4"/>
      <c r="E233" s="25"/>
      <c r="H233" s="2"/>
      <c r="I233" s="3"/>
      <c r="J233" s="17"/>
      <c r="K233" s="17"/>
      <c r="L233" s="18"/>
      <c r="M233" s="3"/>
      <c r="P233" s="3"/>
      <c r="Q233" s="4"/>
      <c r="R233" s="19"/>
      <c r="S233" s="20"/>
      <c r="U233" s="3" t="str">
        <f t="shared" si="10"/>
        <v/>
      </c>
      <c r="V233" s="4" t="str">
        <f t="shared" si="11"/>
        <v/>
      </c>
      <c r="W233" s="21" t="e" cm="1">
        <f t="array" ref="W233">_xlfn.IFS(
  A233="BELL", "WHITE",
  A233="GAMP", "ORANGE",
  A233="GAMM", "GREEN",
  A233="BWF", "YELLOW",
  OR(A233="TNBE", A233="TNBL", A233="TNBD", A233="TNWC", A233="TNBW", A233="THBS"), "PINK",
  A233="CRWD", "BLUE",
  A233="PASS", "WHITE"
)</f>
        <v>#N/A</v>
      </c>
    </row>
    <row r="234" spans="1:23" x14ac:dyDescent="0.25">
      <c r="A234" s="7"/>
      <c r="B234" s="7"/>
      <c r="C234" s="4"/>
      <c r="E234" s="25"/>
      <c r="I234" s="3"/>
      <c r="J234" s="17"/>
      <c r="K234" s="17"/>
      <c r="L234" s="18"/>
      <c r="M234" s="3"/>
      <c r="P234" s="3"/>
      <c r="Q234" s="4"/>
      <c r="R234" s="19"/>
      <c r="S234" s="20"/>
      <c r="U234" s="3" t="str">
        <f t="shared" si="10"/>
        <v/>
      </c>
      <c r="V234" s="4" t="str">
        <f t="shared" si="11"/>
        <v/>
      </c>
      <c r="W234" s="21" t="e" cm="1">
        <f t="array" ref="W234">_xlfn.IFS(
  A234="BELL", "WHITE",
  A234="GAMP", "ORANGE",
  A234="GAMM", "GREEN",
  A234="BWF", "YELLOW",
  OR(A234="TNBE", A234="TNBL", A234="TNBD", A234="TNWC", A234="TNBW", A234="THBS"), "PINK",
  A234="CRWD", "BLUE",
  A234="PASS", "WHITE"
)</f>
        <v>#N/A</v>
      </c>
    </row>
    <row r="235" spans="1:23" x14ac:dyDescent="0.25">
      <c r="A235" s="7"/>
      <c r="B235" s="7"/>
      <c r="C235" s="4"/>
      <c r="E235" s="25"/>
      <c r="H235" s="2"/>
      <c r="I235" s="3"/>
      <c r="J235" s="17"/>
      <c r="K235" s="17"/>
      <c r="L235" s="18"/>
      <c r="M235" s="3"/>
      <c r="P235" s="3"/>
      <c r="Q235" s="4"/>
      <c r="R235" s="19"/>
      <c r="S235" s="20"/>
      <c r="U235" s="3" t="str">
        <f t="shared" si="10"/>
        <v/>
      </c>
      <c r="V235" s="4" t="str">
        <f t="shared" si="11"/>
        <v/>
      </c>
      <c r="W235" s="21" t="e" cm="1">
        <f t="array" ref="W235">_xlfn.IFS(
  A235="BELL", "WHITE",
  A235="GAMP", "ORANGE",
  A235="GAMM", "GREEN",
  A235="BWF", "YELLOW",
  OR(A235="TNBE", A235="TNBL", A235="TNBD", A235="TNWC", A235="TNBW", A235="THBS"), "PINK",
  A235="CRWD", "BLUE",
  A235="PASS", "WHITE"
)</f>
        <v>#N/A</v>
      </c>
    </row>
    <row r="236" spans="1:23" x14ac:dyDescent="0.25">
      <c r="A236" s="7"/>
      <c r="B236" s="7"/>
      <c r="C236" s="4"/>
      <c r="E236" s="25"/>
      <c r="I236" s="3"/>
      <c r="J236" s="17"/>
      <c r="K236" s="17"/>
      <c r="L236" s="18"/>
      <c r="M236" s="3"/>
      <c r="P236" s="3"/>
      <c r="Q236" s="4"/>
      <c r="R236" s="19"/>
      <c r="S236" s="20"/>
      <c r="U236" s="3" t="str">
        <f t="shared" si="10"/>
        <v/>
      </c>
      <c r="V236" s="4" t="str">
        <f t="shared" si="11"/>
        <v/>
      </c>
      <c r="W236" s="21" t="e" cm="1">
        <f t="array" ref="W236">_xlfn.IFS(
  A236="BELL", "WHITE",
  A236="GAMP", "ORANGE",
  A236="GAMM", "GREEN",
  A236="BWF", "YELLOW",
  OR(A236="TNBE", A236="TNBL", A236="TNBD", A236="TNWC", A236="TNBW", A236="THBS"), "PINK",
  A236="CRWD", "BLUE",
  A236="PASS", "WHITE"
)</f>
        <v>#N/A</v>
      </c>
    </row>
    <row r="237" spans="1:23" x14ac:dyDescent="0.25">
      <c r="A237" s="7"/>
      <c r="B237" s="7"/>
      <c r="C237" s="4"/>
      <c r="E237" s="25"/>
      <c r="H237" s="2"/>
      <c r="I237" s="3"/>
      <c r="J237" s="17"/>
      <c r="K237" s="17"/>
      <c r="L237" s="18"/>
      <c r="M237" s="3"/>
      <c r="P237" s="3"/>
      <c r="Q237" s="4"/>
      <c r="R237" s="19"/>
      <c r="S237" s="20"/>
      <c r="U237" s="3" t="str">
        <f t="shared" si="10"/>
        <v/>
      </c>
      <c r="V237" s="4" t="str">
        <f t="shared" si="11"/>
        <v/>
      </c>
      <c r="W237" s="21" t="e" cm="1">
        <f t="array" ref="W237">_xlfn.IFS(
  A237="BELL", "WHITE",
  A237="GAMP", "ORANGE",
  A237="GAMM", "GREEN",
  A237="BWF", "YELLOW",
  OR(A237="TNBE", A237="TNBL", A237="TNBD", A237="TNWC", A237="TNBW", A237="THBS"), "PINK",
  A237="CRWD", "BLUE",
  A237="PASS", "WHITE"
)</f>
        <v>#N/A</v>
      </c>
    </row>
    <row r="238" spans="1:23" x14ac:dyDescent="0.25">
      <c r="A238" s="7"/>
      <c r="B238" s="7"/>
      <c r="C238" s="4"/>
      <c r="E238" s="25"/>
      <c r="I238" s="3"/>
      <c r="J238" s="17"/>
      <c r="K238" s="17"/>
      <c r="L238" s="18"/>
      <c r="M238" s="3"/>
      <c r="P238" s="3"/>
      <c r="Q238" s="4"/>
      <c r="R238" s="19"/>
      <c r="S238" s="20"/>
      <c r="U238" s="3" t="str">
        <f t="shared" si="10"/>
        <v/>
      </c>
      <c r="V238" s="4" t="str">
        <f t="shared" si="11"/>
        <v/>
      </c>
      <c r="W238" s="21" t="e" cm="1">
        <f t="array" ref="W238">_xlfn.IFS(
  A238="BELL", "WHITE",
  A238="GAMP", "ORANGE",
  A238="GAMM", "GREEN",
  A238="BWF", "YELLOW",
  OR(A238="TNBE", A238="TNBL", A238="TNBD", A238="TNWC", A238="TNBW", A238="THBS"), "PINK",
  A238="CRWD", "BLUE",
  A238="PASS", "WHITE"
)</f>
        <v>#N/A</v>
      </c>
    </row>
    <row r="239" spans="1:23" x14ac:dyDescent="0.25">
      <c r="A239" s="7"/>
      <c r="B239" s="7"/>
      <c r="C239" s="4"/>
      <c r="E239" s="25"/>
      <c r="H239" s="2"/>
      <c r="I239" s="3"/>
      <c r="J239" s="17"/>
      <c r="K239" s="17"/>
      <c r="L239" s="18"/>
      <c r="M239" s="3"/>
      <c r="O239"/>
      <c r="P239" s="3"/>
      <c r="Q239" s="4"/>
      <c r="R239" s="19"/>
      <c r="S239" s="20"/>
      <c r="U239" s="3" t="str">
        <f t="shared" si="10"/>
        <v/>
      </c>
      <c r="V239" s="4" t="str">
        <f t="shared" si="11"/>
        <v/>
      </c>
      <c r="W239" s="21" t="e" cm="1">
        <f t="array" ref="W239">_xlfn.IFS(
  A239="BELL", "WHITE",
  A239="GAMP", "ORANGE",
  A239="GAMM", "GREEN",
  A239="BWF", "YELLOW",
  OR(A239="TNBE", A239="TNBL", A239="TNBD", A239="TNWC", A239="TNBW", A239="THBS"), "PINK",
  A239="CRWD", "BLUE",
  A239="PASS", "WHITE"
)</f>
        <v>#N/A</v>
      </c>
    </row>
    <row r="240" spans="1:23" x14ac:dyDescent="0.25">
      <c r="A240" s="7"/>
      <c r="B240" s="7"/>
      <c r="C240" s="4"/>
      <c r="E240" s="25"/>
      <c r="I240" s="3"/>
      <c r="J240" s="17"/>
      <c r="K240" s="17"/>
      <c r="L240" s="18"/>
      <c r="M240" s="3"/>
      <c r="P240" s="3"/>
      <c r="Q240" s="4"/>
      <c r="R240" s="19"/>
      <c r="S240" s="20"/>
      <c r="U240" s="3" t="str">
        <f t="shared" si="10"/>
        <v/>
      </c>
      <c r="V240" s="4" t="str">
        <f t="shared" si="11"/>
        <v/>
      </c>
      <c r="W240" s="21" t="e" cm="1">
        <f t="array" ref="W240">_xlfn.IFS(
  A240="BELL", "WHITE",
  A240="GAMP", "ORANGE",
  A240="GAMM", "GREEN",
  A240="BWF", "YELLOW",
  OR(A240="TNBE", A240="TNBL", A240="TNBD", A240="TNWC", A240="TNBW", A240="THBS"), "PINK",
  A240="CRWD", "BLUE",
  A240="PASS", "WHITE"
)</f>
        <v>#N/A</v>
      </c>
    </row>
    <row r="241" spans="1:23" x14ac:dyDescent="0.25">
      <c r="A241" s="7"/>
      <c r="B241" s="7"/>
      <c r="C241" s="4"/>
      <c r="D241" s="1"/>
      <c r="E241" s="25"/>
      <c r="H241" s="2"/>
      <c r="I241" s="3"/>
      <c r="J241" s="17"/>
      <c r="K241" s="17"/>
      <c r="L241" s="18"/>
      <c r="M241" s="3"/>
      <c r="P241" s="3"/>
      <c r="Q241" s="4"/>
      <c r="R241" s="19"/>
      <c r="S241" s="20"/>
      <c r="U241" s="3" t="str">
        <f t="shared" si="10"/>
        <v/>
      </c>
      <c r="V241" s="4" t="str">
        <f t="shared" si="11"/>
        <v/>
      </c>
      <c r="W241" s="21" t="e" cm="1">
        <f t="array" ref="W241">_xlfn.IFS(
  A241="BELL", "WHITE",
  A241="GAMP", "ORANGE",
  A241="GAMM", "GREEN",
  A241="BWF", "YELLOW",
  OR(A241="TNBE", A241="TNBL", A241="TNBD", A241="TNWC", A241="TNBW", A241="THBS"), "PINK",
  A241="CRWD", "BLUE",
  A241="PASS", "WHITE"
)</f>
        <v>#N/A</v>
      </c>
    </row>
    <row r="242" spans="1:23" x14ac:dyDescent="0.25">
      <c r="A242" s="7"/>
      <c r="B242" s="7"/>
      <c r="C242" s="4"/>
      <c r="E242" s="25"/>
      <c r="I242" s="3"/>
      <c r="J242" s="17"/>
      <c r="K242" s="17"/>
      <c r="L242" s="18"/>
      <c r="M242" s="3"/>
      <c r="P242" s="3"/>
      <c r="Q242" s="4"/>
      <c r="R242" s="19"/>
      <c r="S242" s="20"/>
      <c r="U242" s="3" t="str">
        <f t="shared" si="10"/>
        <v/>
      </c>
      <c r="V242" s="4" t="str">
        <f t="shared" si="11"/>
        <v/>
      </c>
      <c r="W242" s="21" t="e" cm="1">
        <f t="array" ref="W242">_xlfn.IFS(
  A242="BELL", "WHITE",
  A242="GAMP", "ORANGE",
  A242="GAMM", "GREEN",
  A242="BWF", "YELLOW",
  OR(A242="TNBE", A242="TNBL", A242="TNBD", A242="TNWC", A242="TNBW", A242="THBS"), "PINK",
  A242="CRWD", "BLUE",
  A242="PASS", "WHITE"
)</f>
        <v>#N/A</v>
      </c>
    </row>
    <row r="243" spans="1:23" x14ac:dyDescent="0.25">
      <c r="A243" s="7"/>
      <c r="B243" s="7"/>
      <c r="C243" s="4"/>
      <c r="E243" s="25"/>
      <c r="H243" s="2"/>
      <c r="I243" s="3"/>
      <c r="J243" s="17"/>
      <c r="K243" s="17"/>
      <c r="L243" s="18"/>
      <c r="M243" s="3"/>
      <c r="P243" s="3"/>
      <c r="Q243" s="4"/>
      <c r="R243" s="19"/>
      <c r="S243" s="20"/>
      <c r="U243" s="3" t="str">
        <f t="shared" si="10"/>
        <v/>
      </c>
      <c r="V243" s="4" t="str">
        <f t="shared" si="11"/>
        <v/>
      </c>
      <c r="W243" s="21" t="e" cm="1">
        <f t="array" ref="W243">_xlfn.IFS(
  A243="BELL", "WHITE",
  A243="GAMP", "ORANGE",
  A243="GAMM", "GREEN",
  A243="BWF", "YELLOW",
  OR(A243="TNBE", A243="TNBL", A243="TNBD", A243="TNWC", A243="TNBW", A243="THBS"), "PINK",
  A243="CRWD", "BLUE",
  A243="PASS", "WHITE"
)</f>
        <v>#N/A</v>
      </c>
    </row>
    <row r="244" spans="1:23" x14ac:dyDescent="0.25">
      <c r="A244" s="7"/>
      <c r="B244" s="7"/>
      <c r="C244" s="4"/>
      <c r="E244" s="25"/>
      <c r="I244" s="3"/>
      <c r="J244" s="17"/>
      <c r="K244" s="17"/>
      <c r="L244" s="18"/>
      <c r="M244" s="3"/>
      <c r="P244" s="3"/>
      <c r="Q244" s="4"/>
      <c r="R244" s="19"/>
      <c r="S244" s="20"/>
      <c r="U244" s="3" t="str">
        <f t="shared" si="10"/>
        <v/>
      </c>
      <c r="V244" s="4" t="str">
        <f t="shared" si="11"/>
        <v/>
      </c>
      <c r="W244" s="21" t="e" cm="1">
        <f t="array" ref="W244">_xlfn.IFS(
  A244="BELL", "WHITE",
  A244="GAMP", "ORANGE",
  A244="GAMM", "GREEN",
  A244="BWF", "YELLOW",
  OR(A244="TNBE", A244="TNBL", A244="TNBD", A244="TNWC", A244="TNBW", A244="THBS"), "PINK",
  A244="CRWD", "BLUE",
  A244="PASS", "WHITE"
)</f>
        <v>#N/A</v>
      </c>
    </row>
    <row r="245" spans="1:23" x14ac:dyDescent="0.25">
      <c r="A245" s="7"/>
      <c r="B245" s="7"/>
      <c r="C245" s="4"/>
      <c r="E245" s="25"/>
      <c r="H245" s="2"/>
      <c r="I245" s="3"/>
      <c r="J245" s="17"/>
      <c r="K245" s="17"/>
      <c r="L245" s="18"/>
      <c r="M245" s="3"/>
      <c r="P245" s="3"/>
      <c r="Q245" s="4"/>
      <c r="R245" s="19"/>
      <c r="S245" s="20"/>
      <c r="U245" s="3" t="str">
        <f t="shared" si="10"/>
        <v/>
      </c>
      <c r="V245" s="4" t="str">
        <f t="shared" si="11"/>
        <v/>
      </c>
      <c r="W245" s="21" t="e" cm="1">
        <f t="array" ref="W245">_xlfn.IFS(
  A245="BELL", "WHITE",
  A245="GAMP", "ORANGE",
  A245="GAMM", "GREEN",
  A245="BWF", "YELLOW",
  OR(A245="TNBE", A245="TNBL", A245="TNBD", A245="TNWC", A245="TNBW", A245="THBS"), "PINK",
  A245="CRWD", "BLUE",
  A245="PASS", "WHITE"
)</f>
        <v>#N/A</v>
      </c>
    </row>
    <row r="246" spans="1:23" x14ac:dyDescent="0.25">
      <c r="A246" s="7"/>
      <c r="B246" s="7"/>
      <c r="C246" s="4"/>
      <c r="E246" s="25"/>
      <c r="I246" s="3"/>
      <c r="J246" s="17"/>
      <c r="K246" s="17"/>
      <c r="L246" s="18"/>
      <c r="M246" s="3"/>
      <c r="P246" s="3"/>
      <c r="Q246" s="4"/>
      <c r="R246" s="19"/>
      <c r="S246" s="20"/>
      <c r="U246" s="3" t="str">
        <f t="shared" si="10"/>
        <v/>
      </c>
      <c r="V246" s="4" t="str">
        <f t="shared" si="11"/>
        <v/>
      </c>
      <c r="W246" s="21" t="e" cm="1">
        <f t="array" ref="W246">_xlfn.IFS(
  A246="BELL", "WHITE",
  A246="GAMP", "ORANGE",
  A246="GAMM", "GREEN",
  A246="BWF", "YELLOW",
  OR(A246="TNBE", A246="TNBL", A246="TNBD", A246="TNWC", A246="TNBW", A246="THBS"), "PINK",
  A246="CRWD", "BLUE",
  A246="PASS", "WHITE"
)</f>
        <v>#N/A</v>
      </c>
    </row>
    <row r="247" spans="1:23" x14ac:dyDescent="0.25">
      <c r="A247" s="7"/>
      <c r="B247" s="7"/>
      <c r="C247" s="4"/>
      <c r="E247" s="25"/>
      <c r="I247" s="3"/>
      <c r="J247" s="17"/>
      <c r="K247" s="17"/>
      <c r="L247" s="18"/>
      <c r="M247" s="3"/>
      <c r="P247" s="3"/>
      <c r="Q247" s="4"/>
      <c r="R247" s="19"/>
      <c r="S247" s="20"/>
      <c r="U247" s="3" t="str">
        <f t="shared" si="10"/>
        <v/>
      </c>
      <c r="V247" s="4" t="str">
        <f t="shared" si="11"/>
        <v/>
      </c>
      <c r="W247" s="21" t="e" cm="1">
        <f t="array" ref="W247">_xlfn.IFS(
  A247="BELL", "WHITE",
  A247="GAMP", "ORANGE",
  A247="GAMM", "GREEN",
  A247="BWF", "YELLOW",
  OR(A247="TNBE", A247="TNBL", A247="TNBD", A247="TNWC", A247="TNBW", A247="THBS"), "PINK",
  A247="CRWD", "BLUE",
  A247="PASS", "WHITE"
)</f>
        <v>#N/A</v>
      </c>
    </row>
    <row r="248" spans="1:23" x14ac:dyDescent="0.25">
      <c r="A248" s="7"/>
      <c r="B248" s="7"/>
      <c r="C248" s="4"/>
      <c r="D248" s="1"/>
      <c r="E248" s="25"/>
      <c r="I248" s="3"/>
      <c r="J248" s="17"/>
      <c r="K248" s="17"/>
      <c r="L248" s="18"/>
      <c r="M248" s="3"/>
      <c r="P248" s="3"/>
      <c r="Q248" s="4"/>
      <c r="R248" s="19"/>
      <c r="S248" s="20"/>
      <c r="U248" s="3" t="str">
        <f t="shared" si="10"/>
        <v/>
      </c>
      <c r="V248" s="4" t="str">
        <f t="shared" si="11"/>
        <v/>
      </c>
      <c r="W248" s="21" t="e" cm="1">
        <f t="array" ref="W248">_xlfn.IFS(
  A248="BELL", "WHITE",
  A248="GAMP", "ORANGE",
  A248="GAMM", "GREEN",
  A248="BWF", "YELLOW",
  OR(A248="TNBE", A248="TNBL", A248="TNBD", A248="TNWC", A248="TNBW", A248="THBS"), "PINK",
  A248="CRWD", "BLUE",
  A248="PASS", "WHITE"
)</f>
        <v>#N/A</v>
      </c>
    </row>
    <row r="249" spans="1:23" x14ac:dyDescent="0.25">
      <c r="A249" s="7"/>
      <c r="B249" s="7"/>
      <c r="C249" s="4"/>
      <c r="E249" s="25"/>
      <c r="I249" s="3"/>
      <c r="J249" s="17"/>
      <c r="K249" s="17"/>
      <c r="L249" s="18"/>
      <c r="M249" s="3"/>
      <c r="P249" s="3"/>
      <c r="Q249" s="4"/>
      <c r="R249" s="19"/>
      <c r="S249" s="20"/>
      <c r="U249" s="3" t="str">
        <f t="shared" si="10"/>
        <v/>
      </c>
      <c r="V249" s="4" t="str">
        <f t="shared" si="11"/>
        <v/>
      </c>
      <c r="W249" s="21" t="e" cm="1">
        <f t="array" ref="W249">_xlfn.IFS(
  A249="BELL", "WHITE",
  A249="GAMP", "ORANGE",
  A249="GAMM", "GREEN",
  A249="BWF", "YELLOW",
  OR(A249="TNBE", A249="TNBL", A249="TNBD", A249="TNWC", A249="TNBW", A249="THBS"), "PINK",
  A249="CRWD", "BLUE",
  A249="PASS", "WHITE"
)</f>
        <v>#N/A</v>
      </c>
    </row>
    <row r="250" spans="1:23" x14ac:dyDescent="0.25">
      <c r="A250" s="7"/>
      <c r="B250" s="7"/>
      <c r="C250" s="4"/>
      <c r="E250" s="25"/>
      <c r="I250" s="3"/>
      <c r="J250" s="17"/>
      <c r="K250" s="17"/>
      <c r="L250" s="18"/>
      <c r="M250" s="3"/>
      <c r="P250" s="3"/>
      <c r="Q250" s="4"/>
      <c r="R250" s="19"/>
      <c r="S250" s="20"/>
      <c r="U250" s="3" t="str">
        <f t="shared" si="10"/>
        <v/>
      </c>
      <c r="V250" s="4" t="str">
        <f t="shared" si="11"/>
        <v/>
      </c>
      <c r="W250" s="21" t="e" cm="1">
        <f t="array" ref="W250">_xlfn.IFS(
  A250="BELL", "WHITE",
  A250="GAMP", "ORANGE",
  A250="GAMM", "GREEN",
  A250="BWF", "YELLOW",
  OR(A250="TNBE", A250="TNBL", A250="TNBD", A250="TNWC", A250="TNBW", A250="THBS"), "PINK",
  A250="CRWD", "BLUE",
  A250="PASS", "WHITE"
)</f>
        <v>#N/A</v>
      </c>
    </row>
    <row r="251" spans="1:23" x14ac:dyDescent="0.25">
      <c r="A251" s="7"/>
      <c r="B251" s="7"/>
      <c r="I251" s="3"/>
      <c r="J251" s="17"/>
      <c r="K251" s="17"/>
      <c r="L251" s="18"/>
      <c r="M251" s="3"/>
      <c r="P251" s="3"/>
      <c r="Q251" s="4"/>
      <c r="R251" s="19"/>
      <c r="S251" s="20"/>
      <c r="U251" s="3" t="str">
        <f t="shared" si="10"/>
        <v/>
      </c>
      <c r="V251" s="4" t="str">
        <f t="shared" si="11"/>
        <v/>
      </c>
      <c r="W251" s="21" t="e" cm="1">
        <f t="array" ref="W251">_xlfn.IFS(
  A251="BELL", "WHITE",
  A251="GAMP", "ORANGE",
  A251="GAMM", "GREEN",
  A251="BWF", "YELLOW",
  OR(A251="TNBE", A251="TNBL", A251="TNBD", A251="TNWC", A251="TNBW", A251="THBS"), "PINK",
  A251="CRWD", "BLUE",
  A251="PASS", "WHITE"
)</f>
        <v>#N/A</v>
      </c>
    </row>
    <row r="252" spans="1:23" x14ac:dyDescent="0.25">
      <c r="A252" s="7"/>
      <c r="B252" s="7"/>
      <c r="I252" s="3"/>
      <c r="J252" s="17"/>
      <c r="K252" s="17"/>
      <c r="L252" s="18"/>
      <c r="M252" s="3"/>
      <c r="P252" s="3"/>
      <c r="Q252" s="4"/>
      <c r="R252" s="19"/>
      <c r="S252" s="20"/>
      <c r="U252" s="3" t="str">
        <f t="shared" si="10"/>
        <v/>
      </c>
      <c r="V252" s="4" t="str">
        <f t="shared" si="11"/>
        <v/>
      </c>
      <c r="W252" s="21" t="e" cm="1">
        <f t="array" ref="W252">_xlfn.IFS(
  A252="BELL", "WHITE",
  A252="GAMP", "ORANGE",
  A252="GAMM", "GREEN",
  A252="BWF", "YELLOW",
  OR(A252="TNBE", A252="TNBL", A252="TNBD", A252="TNWC", A252="TNBW", A252="THBS"), "PINK",
  A252="CRWD", "BLUE",
  A252="PASS", "WHITE"
)</f>
        <v>#N/A</v>
      </c>
    </row>
    <row r="253" spans="1:23" x14ac:dyDescent="0.25">
      <c r="A253" s="7"/>
      <c r="B253" s="7"/>
      <c r="I253" s="3"/>
      <c r="J253" s="17"/>
      <c r="K253" s="17"/>
      <c r="L253" s="18"/>
      <c r="M253" s="3"/>
      <c r="P253" s="3"/>
      <c r="Q253" s="4"/>
      <c r="R253" s="19"/>
      <c r="S253" s="20"/>
      <c r="U253" s="3" t="str">
        <f t="shared" si="10"/>
        <v/>
      </c>
      <c r="V253" s="4" t="str">
        <f t="shared" si="11"/>
        <v/>
      </c>
      <c r="W253" s="21" t="e" cm="1">
        <f t="array" ref="W253">_xlfn.IFS(
  A253="BELL", "WHITE",
  A253="GAMP", "ORANGE",
  A253="GAMM", "GREEN",
  A253="BWF", "YELLOW",
  OR(A253="TNBE", A253="TNBL", A253="TNBD", A253="TNWC", A253="TNBW", A253="THBS"), "PINK",
  A253="CRWD", "BLUE",
  A253="PASS", "WHITE"
)</f>
        <v>#N/A</v>
      </c>
    </row>
    <row r="254" spans="1:23" x14ac:dyDescent="0.25">
      <c r="A254" s="7"/>
      <c r="B254" s="7"/>
      <c r="I254" s="3"/>
      <c r="J254" s="17"/>
      <c r="K254" s="17"/>
      <c r="L254" s="18"/>
      <c r="M254" s="3"/>
      <c r="P254" s="3"/>
      <c r="Q254" s="4"/>
      <c r="R254" s="19"/>
      <c r="S254" s="20"/>
      <c r="U254" s="3" t="str">
        <f t="shared" si="10"/>
        <v/>
      </c>
      <c r="V254" s="4" t="str">
        <f t="shared" si="11"/>
        <v/>
      </c>
      <c r="W254" s="21" t="e" cm="1">
        <f t="array" ref="W254">_xlfn.IFS(
  A254="BELL", "WHITE",
  A254="GAMP", "ORANGE",
  A254="GAMM", "GREEN",
  A254="BWF", "YELLOW",
  OR(A254="TNBE", A254="TNBL", A254="TNBD", A254="TNWC", A254="TNBW", A254="THBS"), "PINK",
  A254="CRWD", "BLUE",
  A254="PASS", "WHITE"
)</f>
        <v>#N/A</v>
      </c>
    </row>
    <row r="255" spans="1:23" x14ac:dyDescent="0.25">
      <c r="A255" s="7"/>
      <c r="B255" s="7"/>
      <c r="I255" s="3"/>
      <c r="J255" s="17"/>
      <c r="K255" s="17"/>
      <c r="L255" s="18"/>
      <c r="M255" s="3"/>
      <c r="P255" s="3"/>
      <c r="Q255" s="4"/>
      <c r="R255" s="19"/>
      <c r="S255" s="20"/>
      <c r="U255" s="3" t="str">
        <f t="shared" si="10"/>
        <v/>
      </c>
      <c r="V255" s="4" t="str">
        <f t="shared" si="11"/>
        <v/>
      </c>
      <c r="W255" s="21" t="e" cm="1">
        <f t="array" ref="W255">_xlfn.IFS(
  A255="BELL", "WHITE",
  A255="GAMP", "ORANGE",
  A255="GAMM", "GREEN",
  A255="BWF", "YELLOW",
  OR(A255="TNBE", A255="TNBL", A255="TNBD", A255="TNWC", A255="TNBW", A255="THBS"), "PINK",
  A255="CRWD", "BLUE",
  A255="PASS", "WHITE"
)</f>
        <v>#N/A</v>
      </c>
    </row>
    <row r="256" spans="1:23" x14ac:dyDescent="0.25">
      <c r="A256" s="7"/>
      <c r="B256" s="7"/>
      <c r="I256" s="3"/>
      <c r="J256" s="17"/>
      <c r="K256" s="17"/>
      <c r="L256" s="18"/>
      <c r="M256" s="3"/>
      <c r="P256" s="3"/>
      <c r="Q256" s="4"/>
      <c r="R256" s="19"/>
      <c r="S256" s="20"/>
      <c r="U256" s="3" t="str">
        <f t="shared" si="10"/>
        <v/>
      </c>
      <c r="V256" s="4" t="str">
        <f t="shared" si="11"/>
        <v/>
      </c>
      <c r="W256" s="21" t="e" cm="1">
        <f t="array" ref="W256">_xlfn.IFS(
  A256="BELL", "WHITE",
  A256="GAMP", "ORANGE",
  A256="GAMM", "GREEN",
  A256="BWF", "YELLOW",
  OR(A256="TNBE", A256="TNBL", A256="TNBD", A256="TNWC", A256="TNBW", A256="THBS"), "PINK",
  A256="CRWD", "BLUE",
  A256="PASS", "WHITE"
)</f>
        <v>#N/A</v>
      </c>
    </row>
    <row r="257" spans="1:23" x14ac:dyDescent="0.25">
      <c r="A257" s="7"/>
      <c r="B257" s="7"/>
      <c r="I257" s="3"/>
      <c r="J257" s="17"/>
      <c r="K257" s="17"/>
      <c r="L257" s="18"/>
      <c r="M257" s="3"/>
      <c r="P257" s="3"/>
      <c r="Q257" s="4"/>
      <c r="R257" s="19"/>
      <c r="S257" s="20"/>
      <c r="U257" s="3" t="str">
        <f t="shared" si="10"/>
        <v/>
      </c>
      <c r="V257" s="4" t="str">
        <f t="shared" si="11"/>
        <v/>
      </c>
      <c r="W257" s="21" t="e" cm="1">
        <f t="array" ref="W257">_xlfn.IFS(
  A257="BELL", "WHITE",
  A257="GAMP", "ORANGE",
  A257="GAMM", "GREEN",
  A257="BWF", "YELLOW",
  OR(A257="TNBE", A257="TNBL", A257="TNBD", A257="TNWC", A257="TNBW", A257="THBS"), "PINK",
  A257="CRWD", "BLUE",
  A257="PASS", "WHITE"
)</f>
        <v>#N/A</v>
      </c>
    </row>
    <row r="258" spans="1:23" x14ac:dyDescent="0.25">
      <c r="A258" s="7"/>
      <c r="B258" s="7"/>
      <c r="I258" s="3"/>
      <c r="J258" s="17"/>
      <c r="K258" s="17"/>
      <c r="L258" s="18"/>
      <c r="M258" s="3"/>
      <c r="P258" s="3"/>
      <c r="Q258" s="4"/>
      <c r="R258" s="19"/>
      <c r="S258" s="20"/>
      <c r="U258" s="3" t="str">
        <f t="shared" si="10"/>
        <v/>
      </c>
      <c r="V258" s="4" t="str">
        <f t="shared" si="11"/>
        <v/>
      </c>
      <c r="W258" s="21" t="e" cm="1">
        <f t="array" ref="W258">_xlfn.IFS(
  A258="BELL", "WHITE",
  A258="GAMP", "ORANGE",
  A258="GAMM", "GREEN",
  A258="BWF", "YELLOW",
  OR(A258="TNBE", A258="TNBL", A258="TNBD", A258="TNWC", A258="TNBW", A258="THBS"), "PINK",
  A258="CRWD", "BLUE",
  A258="PASS", "WHITE"
)</f>
        <v>#N/A</v>
      </c>
    </row>
    <row r="259" spans="1:23" x14ac:dyDescent="0.25">
      <c r="A259" s="7"/>
      <c r="B259" s="7"/>
      <c r="I259" s="3"/>
      <c r="J259" s="17"/>
      <c r="K259" s="17"/>
      <c r="L259" s="18"/>
      <c r="M259" s="3"/>
      <c r="P259" s="3"/>
      <c r="Q259" s="4"/>
      <c r="R259" s="19"/>
      <c r="S259" s="20"/>
      <c r="U259" s="3" t="str">
        <f t="shared" si="10"/>
        <v/>
      </c>
      <c r="V259" s="4" t="str">
        <f t="shared" si="11"/>
        <v/>
      </c>
      <c r="W259" s="21" t="e" cm="1">
        <f t="array" ref="W259">_xlfn.IFS(
  A259="BELL", "WHITE",
  A259="GAMP", "ORANGE",
  A259="GAMM", "GREEN",
  A259="BWF", "YELLOW",
  OR(A259="TNBE", A259="TNBL", A259="TNBD", A259="TNWC", A259="TNBW", A259="THBS"), "PINK",
  A259="CRWD", "BLUE",
  A259="PASS", "WHITE"
)</f>
        <v>#N/A</v>
      </c>
    </row>
    <row r="260" spans="1:23" x14ac:dyDescent="0.25">
      <c r="A260" s="7"/>
      <c r="B260" s="7"/>
      <c r="I260" s="3"/>
      <c r="J260" s="17"/>
      <c r="K260" s="17"/>
      <c r="L260" s="18"/>
      <c r="M260" s="3"/>
      <c r="P260" s="3"/>
      <c r="Q260" s="4"/>
      <c r="R260" s="19"/>
      <c r="S260" s="20"/>
      <c r="U260" s="3" t="str">
        <f t="shared" ref="U260:U323" si="12">IF(T260="","",IF(T260&gt;I260,H260,T260/G260))</f>
        <v/>
      </c>
      <c r="V260" s="4" t="str">
        <f t="shared" ref="V260:V323" si="13">IF(T260&gt;I260,T260-I260,"")</f>
        <v/>
      </c>
      <c r="W260" s="21" t="e" cm="1">
        <f t="array" ref="W260">_xlfn.IFS(
  A260="BELL", "WHITE",
  A260="GAMP", "ORANGE",
  A260="GAMM", "GREEN",
  A260="BWF", "YELLOW",
  OR(A260="TNBE", A260="TNBL", A260="TNBD", A260="TNWC", A260="TNBW", A260="THBS"), "PINK",
  A260="CRWD", "BLUE",
  A260="PASS", "WHITE"
)</f>
        <v>#N/A</v>
      </c>
    </row>
    <row r="261" spans="1:23" x14ac:dyDescent="0.25">
      <c r="A261" s="7"/>
      <c r="B261" s="7"/>
      <c r="I261" s="3"/>
      <c r="J261" s="17"/>
      <c r="K261" s="17"/>
      <c r="L261" s="18"/>
      <c r="M261" s="3"/>
      <c r="P261" s="3"/>
      <c r="Q261" s="4"/>
      <c r="R261" s="19"/>
      <c r="S261" s="20"/>
      <c r="U261" s="3" t="str">
        <f t="shared" si="12"/>
        <v/>
      </c>
      <c r="V261" s="4" t="str">
        <f t="shared" si="13"/>
        <v/>
      </c>
      <c r="W261" s="21" t="e" cm="1">
        <f t="array" ref="W261">_xlfn.IFS(
  A261="BELL", "WHITE",
  A261="GAMP", "ORANGE",
  A261="GAMM", "GREEN",
  A261="BWF", "YELLOW",
  OR(A261="TNBE", A261="TNBL", A261="TNBD", A261="TNWC", A261="TNBW", A261="THBS"), "PINK",
  A261="CRWD", "BLUE",
  A261="PASS", "WHITE"
)</f>
        <v>#N/A</v>
      </c>
    </row>
    <row r="262" spans="1:23" x14ac:dyDescent="0.25">
      <c r="A262" s="7"/>
      <c r="B262" s="7"/>
      <c r="I262" s="3"/>
      <c r="J262" s="17"/>
      <c r="K262" s="17"/>
      <c r="L262" s="18"/>
      <c r="M262" s="3"/>
      <c r="P262" s="3"/>
      <c r="Q262" s="4"/>
      <c r="R262" s="19"/>
      <c r="S262" s="20"/>
      <c r="U262" s="3" t="str">
        <f t="shared" si="12"/>
        <v/>
      </c>
      <c r="V262" s="4" t="str">
        <f t="shared" si="13"/>
        <v/>
      </c>
      <c r="W262" s="21" t="e" cm="1">
        <f t="array" ref="W262">_xlfn.IFS(
  A262="BELL", "WHITE",
  A262="GAMP", "ORANGE",
  A262="GAMM", "GREEN",
  A262="BWF", "YELLOW",
  OR(A262="TNBE", A262="TNBL", A262="TNBD", A262="TNWC", A262="TNBW", A262="THBS"), "PINK",
  A262="CRWD", "BLUE",
  A262="PASS", "WHITE"
)</f>
        <v>#N/A</v>
      </c>
    </row>
    <row r="263" spans="1:23" x14ac:dyDescent="0.25">
      <c r="A263" s="7"/>
      <c r="B263" s="7"/>
      <c r="I263" s="3"/>
      <c r="J263" s="17"/>
      <c r="K263" s="17"/>
      <c r="L263" s="18"/>
      <c r="M263" s="3"/>
      <c r="P263" s="3"/>
      <c r="Q263" s="4"/>
      <c r="R263" s="19"/>
      <c r="S263" s="20"/>
      <c r="U263" s="3" t="str">
        <f t="shared" si="12"/>
        <v/>
      </c>
      <c r="V263" s="4" t="str">
        <f t="shared" si="13"/>
        <v/>
      </c>
      <c r="W263" s="21" t="e" cm="1">
        <f t="array" ref="W263">_xlfn.IFS(
  A263="BELL", "WHITE",
  A263="GAMP", "ORANGE",
  A263="GAMM", "GREEN",
  A263="BWF", "YELLOW",
  OR(A263="TNBE", A263="TNBL", A263="TNBD", A263="TNWC", A263="TNBW", A263="THBS"), "PINK",
  A263="CRWD", "BLUE",
  A263="PASS", "WHITE"
)</f>
        <v>#N/A</v>
      </c>
    </row>
    <row r="264" spans="1:23" x14ac:dyDescent="0.25">
      <c r="A264" s="7"/>
      <c r="B264" s="7"/>
      <c r="I264" s="3"/>
      <c r="J264" s="17"/>
      <c r="K264" s="17"/>
      <c r="L264" s="18"/>
      <c r="M264" s="3"/>
      <c r="P264" s="3"/>
      <c r="Q264" s="4"/>
      <c r="R264" s="19"/>
      <c r="S264" s="20"/>
      <c r="U264" s="3" t="str">
        <f t="shared" si="12"/>
        <v/>
      </c>
      <c r="V264" s="4" t="str">
        <f t="shared" si="13"/>
        <v/>
      </c>
      <c r="W264" s="21" t="e" cm="1">
        <f t="array" ref="W264">_xlfn.IFS(
  A264="BELL", "WHITE",
  A264="GAMP", "ORANGE",
  A264="GAMM", "GREEN",
  A264="BWF", "YELLOW",
  OR(A264="TNBE", A264="TNBL", A264="TNBD", A264="TNWC", A264="TNBW", A264="THBS"), "PINK",
  A264="CRWD", "BLUE",
  A264="PASS", "WHITE"
)</f>
        <v>#N/A</v>
      </c>
    </row>
    <row r="265" spans="1:23" x14ac:dyDescent="0.25">
      <c r="A265" s="7"/>
      <c r="B265" s="7"/>
      <c r="I265" s="3"/>
      <c r="J265" s="17"/>
      <c r="K265" s="17"/>
      <c r="L265" s="18"/>
      <c r="M265" s="3"/>
      <c r="P265" s="3"/>
      <c r="Q265" s="4"/>
      <c r="R265" s="19"/>
      <c r="S265" s="20"/>
      <c r="U265" s="3" t="str">
        <f t="shared" si="12"/>
        <v/>
      </c>
      <c r="V265" s="4" t="str">
        <f t="shared" si="13"/>
        <v/>
      </c>
      <c r="W265" s="21" t="e" cm="1">
        <f t="array" ref="W265">_xlfn.IFS(
  A265="BELL", "WHITE",
  A265="GAMP", "ORANGE",
  A265="GAMM", "GREEN",
  A265="BWF", "YELLOW",
  OR(A265="TNBE", A265="TNBL", A265="TNBD", A265="TNWC", A265="TNBW", A265="THBS"), "PINK",
  A265="CRWD", "BLUE",
  A265="PASS", "WHITE"
)</f>
        <v>#N/A</v>
      </c>
    </row>
    <row r="266" spans="1:23" x14ac:dyDescent="0.25">
      <c r="A266" s="7"/>
      <c r="B266" s="7"/>
      <c r="I266" s="3"/>
      <c r="J266" s="17"/>
      <c r="K266" s="17"/>
      <c r="L266" s="18"/>
      <c r="M266" s="3"/>
      <c r="P266" s="3"/>
      <c r="Q266" s="4"/>
      <c r="R266" s="19"/>
      <c r="S266" s="20"/>
      <c r="U266" s="3" t="str">
        <f t="shared" si="12"/>
        <v/>
      </c>
      <c r="V266" s="4" t="str">
        <f t="shared" si="13"/>
        <v/>
      </c>
      <c r="W266" s="21" t="e" cm="1">
        <f t="array" ref="W266">_xlfn.IFS(
  A266="BELL", "WHITE",
  A266="GAMP", "ORANGE",
  A266="GAMM", "GREEN",
  A266="BWF", "YELLOW",
  OR(A266="TNBE", A266="TNBL", A266="TNBD", A266="TNWC", A266="TNBW", A266="THBS"), "PINK",
  A266="CRWD", "BLUE",
  A266="PASS", "WHITE"
)</f>
        <v>#N/A</v>
      </c>
    </row>
    <row r="267" spans="1:23" x14ac:dyDescent="0.25">
      <c r="A267" s="7"/>
      <c r="B267" s="7"/>
      <c r="I267" s="3"/>
      <c r="J267" s="17"/>
      <c r="K267" s="17"/>
      <c r="L267" s="18"/>
      <c r="M267" s="3"/>
      <c r="P267" s="3"/>
      <c r="Q267" s="4"/>
      <c r="R267" s="19"/>
      <c r="S267" s="20"/>
      <c r="U267" s="3" t="str">
        <f t="shared" si="12"/>
        <v/>
      </c>
      <c r="V267" s="4" t="str">
        <f t="shared" si="13"/>
        <v/>
      </c>
      <c r="W267" s="21" t="e" cm="1">
        <f t="array" ref="W267">_xlfn.IFS(
  A267="BELL", "WHITE",
  A267="GAMP", "ORANGE",
  A267="GAMM", "GREEN",
  A267="BWF", "YELLOW",
  OR(A267="TNBE", A267="TNBL", A267="TNBD", A267="TNWC", A267="TNBW", A267="THBS"), "PINK",
  A267="CRWD", "BLUE",
  A267="PASS", "WHITE"
)</f>
        <v>#N/A</v>
      </c>
    </row>
    <row r="268" spans="1:23" x14ac:dyDescent="0.25">
      <c r="A268" s="7"/>
      <c r="B268" s="7"/>
      <c r="I268" s="3"/>
      <c r="J268" s="17"/>
      <c r="K268" s="17"/>
      <c r="L268" s="18"/>
      <c r="M268" s="3"/>
      <c r="P268" s="3"/>
      <c r="Q268" s="4"/>
      <c r="R268" s="19"/>
      <c r="S268" s="20"/>
      <c r="U268" s="3" t="str">
        <f t="shared" si="12"/>
        <v/>
      </c>
      <c r="V268" s="4" t="str">
        <f t="shared" si="13"/>
        <v/>
      </c>
      <c r="W268" s="21" t="e" cm="1">
        <f t="array" ref="W268">_xlfn.IFS(
  A268="BELL", "WHITE",
  A268="GAMP", "ORANGE",
  A268="GAMM", "GREEN",
  A268="BWF", "YELLOW",
  OR(A268="TNBE", A268="TNBL", A268="TNBD", A268="TNWC", A268="TNBW", A268="THBS"), "PINK",
  A268="CRWD", "BLUE",
  A268="PASS", "WHITE"
)</f>
        <v>#N/A</v>
      </c>
    </row>
    <row r="269" spans="1:23" x14ac:dyDescent="0.25">
      <c r="A269" s="7"/>
      <c r="B269" s="7"/>
      <c r="I269" s="3"/>
      <c r="J269" s="17"/>
      <c r="K269" s="17"/>
      <c r="L269" s="18"/>
      <c r="M269" s="3"/>
      <c r="P269" s="3"/>
      <c r="Q269" s="4"/>
      <c r="R269" s="19"/>
      <c r="S269" s="20"/>
      <c r="U269" s="3" t="str">
        <f t="shared" si="12"/>
        <v/>
      </c>
      <c r="V269" s="4" t="str">
        <f t="shared" si="13"/>
        <v/>
      </c>
      <c r="W269" s="21" t="e" cm="1">
        <f t="array" ref="W269">_xlfn.IFS(
  A269="BELL", "WHITE",
  A269="GAMP", "ORANGE",
  A269="GAMM", "GREEN",
  A269="BWF", "YELLOW",
  OR(A269="TNBE", A269="TNBL", A269="TNBD", A269="TNWC", A269="TNBW", A269="THBS"), "PINK",
  A269="CRWD", "BLUE",
  A269="PASS", "WHITE"
)</f>
        <v>#N/A</v>
      </c>
    </row>
    <row r="270" spans="1:23" x14ac:dyDescent="0.25">
      <c r="A270" s="7"/>
      <c r="B270" s="7"/>
      <c r="I270" s="3"/>
      <c r="J270" s="17"/>
      <c r="K270" s="17"/>
      <c r="L270" s="18"/>
      <c r="M270" s="3"/>
      <c r="P270" s="3"/>
      <c r="Q270" s="4"/>
      <c r="R270" s="19"/>
      <c r="S270" s="20"/>
      <c r="U270" s="3" t="str">
        <f t="shared" si="12"/>
        <v/>
      </c>
      <c r="V270" s="4" t="str">
        <f t="shared" si="13"/>
        <v/>
      </c>
      <c r="W270" s="21" t="e" cm="1">
        <f t="array" ref="W270">_xlfn.IFS(
  A270="BELL", "WHITE",
  A270="GAMP", "ORANGE",
  A270="GAMM", "GREEN",
  A270="BWF", "YELLOW",
  OR(A270="TNBE", A270="TNBL", A270="TNBD", A270="TNWC", A270="TNBW", A270="THBS"), "PINK",
  A270="CRWD", "BLUE",
  A270="PASS", "WHITE"
)</f>
        <v>#N/A</v>
      </c>
    </row>
    <row r="271" spans="1:23" x14ac:dyDescent="0.25">
      <c r="A271" s="7"/>
      <c r="B271" s="7"/>
      <c r="I271" s="3"/>
      <c r="J271" s="17"/>
      <c r="K271" s="17"/>
      <c r="L271" s="18"/>
      <c r="M271" s="3"/>
      <c r="P271" s="3"/>
      <c r="Q271" s="4"/>
      <c r="R271" s="19"/>
      <c r="S271" s="20"/>
      <c r="U271" s="3" t="str">
        <f t="shared" si="12"/>
        <v/>
      </c>
      <c r="V271" s="4" t="str">
        <f t="shared" si="13"/>
        <v/>
      </c>
      <c r="W271" s="21" t="e" cm="1">
        <f t="array" ref="W271">_xlfn.IFS(
  A271="BELL", "WHITE",
  A271="GAMP", "ORANGE",
  A271="GAMM", "GREEN",
  A271="BWF", "YELLOW",
  OR(A271="TNBE", A271="TNBL", A271="TNBD", A271="TNWC", A271="TNBW", A271="THBS"), "PINK",
  A271="CRWD", "BLUE",
  A271="PASS", "WHITE"
)</f>
        <v>#N/A</v>
      </c>
    </row>
    <row r="272" spans="1:23" x14ac:dyDescent="0.25">
      <c r="A272" s="7"/>
      <c r="B272" s="7"/>
      <c r="I272" s="3"/>
      <c r="J272" s="17"/>
      <c r="K272" s="17"/>
      <c r="L272" s="18"/>
      <c r="M272" s="3"/>
      <c r="P272" s="3"/>
      <c r="Q272" s="4"/>
      <c r="R272" s="19"/>
      <c r="S272" s="20"/>
      <c r="U272" s="3" t="str">
        <f t="shared" si="12"/>
        <v/>
      </c>
      <c r="V272" s="4" t="str">
        <f t="shared" si="13"/>
        <v/>
      </c>
      <c r="W272" s="21" t="e" cm="1">
        <f t="array" ref="W272">_xlfn.IFS(
  A272="BELL", "WHITE",
  A272="GAMP", "ORANGE",
  A272="GAMM", "GREEN",
  A272="BWF", "YELLOW",
  OR(A272="TNBE", A272="TNBL", A272="TNBD", A272="TNWC", A272="TNBW", A272="THBS"), "PINK",
  A272="CRWD", "BLUE",
  A272="PASS", "WHITE"
)</f>
        <v>#N/A</v>
      </c>
    </row>
    <row r="273" spans="1:23" x14ac:dyDescent="0.25">
      <c r="A273" s="7"/>
      <c r="B273" s="7"/>
      <c r="I273" s="3"/>
      <c r="J273" s="17"/>
      <c r="K273" s="17"/>
      <c r="L273" s="18"/>
      <c r="M273" s="3"/>
      <c r="P273" s="3"/>
      <c r="Q273" s="4"/>
      <c r="R273" s="19"/>
      <c r="S273" s="20"/>
      <c r="U273" s="3" t="str">
        <f t="shared" si="12"/>
        <v/>
      </c>
      <c r="V273" s="4" t="str">
        <f t="shared" si="13"/>
        <v/>
      </c>
      <c r="W273" s="21" t="e" cm="1">
        <f t="array" ref="W273">_xlfn.IFS(
  A273="BELL", "WHITE",
  A273="GAMP", "ORANGE",
  A273="GAMM", "GREEN",
  A273="BWF", "YELLOW",
  OR(A273="TNBE", A273="TNBL", A273="TNBD", A273="TNWC", A273="TNBW", A273="THBS"), "PINK",
  A273="CRWD", "BLUE",
  A273="PASS", "WHITE"
)</f>
        <v>#N/A</v>
      </c>
    </row>
    <row r="274" spans="1:23" x14ac:dyDescent="0.25">
      <c r="A274" s="7"/>
      <c r="B274" s="7"/>
      <c r="I274" s="3"/>
      <c r="J274" s="17"/>
      <c r="K274" s="17"/>
      <c r="L274" s="18"/>
      <c r="M274" s="3"/>
      <c r="P274" s="3"/>
      <c r="Q274" s="4"/>
      <c r="R274" s="19"/>
      <c r="S274" s="20"/>
      <c r="U274" s="3" t="str">
        <f t="shared" si="12"/>
        <v/>
      </c>
      <c r="V274" s="4" t="str">
        <f t="shared" si="13"/>
        <v/>
      </c>
      <c r="W274" s="21" t="e" cm="1">
        <f t="array" ref="W274">_xlfn.IFS(
  A274="BELL", "WHITE",
  A274="GAMP", "ORANGE",
  A274="GAMM", "GREEN",
  A274="BWF", "YELLOW",
  OR(A274="TNBE", A274="TNBL", A274="TNBD", A274="TNWC", A274="TNBW", A274="THBS"), "PINK",
  A274="CRWD", "BLUE",
  A274="PASS", "WHITE"
)</f>
        <v>#N/A</v>
      </c>
    </row>
    <row r="275" spans="1:23" x14ac:dyDescent="0.25">
      <c r="A275" s="7"/>
      <c r="B275" s="7"/>
      <c r="I275" s="3"/>
      <c r="J275" s="17"/>
      <c r="K275" s="17"/>
      <c r="L275" s="18"/>
      <c r="M275" s="3"/>
      <c r="P275" s="3"/>
      <c r="Q275" s="4"/>
      <c r="R275" s="19"/>
      <c r="S275" s="20"/>
      <c r="U275" s="3" t="str">
        <f t="shared" si="12"/>
        <v/>
      </c>
      <c r="V275" s="4" t="str">
        <f t="shared" si="13"/>
        <v/>
      </c>
      <c r="W275" s="21" t="e" cm="1">
        <f t="array" ref="W275">_xlfn.IFS(
  A275="BELL", "WHITE",
  A275="GAMP", "ORANGE",
  A275="GAMM", "GREEN",
  A275="BWF", "YELLOW",
  OR(A275="TNBE", A275="TNBL", A275="TNBD", A275="TNWC", A275="TNBW", A275="THBS"), "PINK",
  A275="CRWD", "BLUE",
  A275="PASS", "WHITE"
)</f>
        <v>#N/A</v>
      </c>
    </row>
    <row r="276" spans="1:23" x14ac:dyDescent="0.25">
      <c r="A276" s="7"/>
      <c r="B276" s="7"/>
      <c r="I276" s="3"/>
      <c r="J276" s="17"/>
      <c r="K276" s="17"/>
      <c r="L276" s="18"/>
      <c r="M276" s="3"/>
      <c r="P276" s="3"/>
      <c r="Q276" s="4"/>
      <c r="R276" s="19"/>
      <c r="S276" s="20"/>
      <c r="U276" s="3" t="str">
        <f t="shared" si="12"/>
        <v/>
      </c>
      <c r="V276" s="4" t="str">
        <f t="shared" si="13"/>
        <v/>
      </c>
      <c r="W276" s="21" t="e" cm="1">
        <f t="array" ref="W276">_xlfn.IFS(
  A276="BELL", "WHITE",
  A276="GAMP", "ORANGE",
  A276="GAMM", "GREEN",
  A276="BWF", "YELLOW",
  OR(A276="TNBE", A276="TNBL", A276="TNBD", A276="TNWC", A276="TNBW", A276="THBS"), "PINK",
  A276="CRWD", "BLUE",
  A276="PASS", "WHITE"
)</f>
        <v>#N/A</v>
      </c>
    </row>
    <row r="277" spans="1:23" x14ac:dyDescent="0.25">
      <c r="A277" s="7"/>
      <c r="B277" s="7"/>
      <c r="I277" s="3"/>
      <c r="J277" s="17"/>
      <c r="K277" s="17"/>
      <c r="L277" s="18"/>
      <c r="M277" s="3"/>
      <c r="P277" s="3"/>
      <c r="Q277" s="4"/>
      <c r="R277" s="19"/>
      <c r="S277" s="20"/>
      <c r="U277" s="3" t="str">
        <f t="shared" si="12"/>
        <v/>
      </c>
      <c r="V277" s="4" t="str">
        <f t="shared" si="13"/>
        <v/>
      </c>
      <c r="W277" s="21" t="e" cm="1">
        <f t="array" ref="W277">_xlfn.IFS(
  A277="BELL", "WHITE",
  A277="GAMP", "ORANGE",
  A277="GAMM", "GREEN",
  A277="BWF", "YELLOW",
  OR(A277="TNBE", A277="TNBL", A277="TNBD", A277="TNWC", A277="TNBW", A277="THBS"), "PINK",
  A277="CRWD", "BLUE",
  A277="PASS", "WHITE"
)</f>
        <v>#N/A</v>
      </c>
    </row>
    <row r="278" spans="1:23" x14ac:dyDescent="0.25">
      <c r="A278" s="7"/>
      <c r="B278" s="7"/>
      <c r="I278" s="3"/>
      <c r="J278" s="17"/>
      <c r="K278" s="17"/>
      <c r="L278" s="18"/>
      <c r="M278" s="3"/>
      <c r="P278" s="3"/>
      <c r="Q278" s="4"/>
      <c r="R278" s="19"/>
      <c r="S278" s="20"/>
      <c r="U278" s="3" t="str">
        <f t="shared" si="12"/>
        <v/>
      </c>
      <c r="V278" s="4" t="str">
        <f t="shared" si="13"/>
        <v/>
      </c>
      <c r="W278" s="21" t="e" cm="1">
        <f t="array" ref="W278">_xlfn.IFS(
  A278="BELL", "WHITE",
  A278="GAMP", "ORANGE",
  A278="GAMM", "GREEN",
  A278="BWF", "YELLOW",
  OR(A278="TNBE", A278="TNBL", A278="TNBD", A278="TNWC", A278="TNBW", A278="THBS"), "PINK",
  A278="CRWD", "BLUE",
  A278="PASS", "WHITE"
)</f>
        <v>#N/A</v>
      </c>
    </row>
    <row r="279" spans="1:23" x14ac:dyDescent="0.25">
      <c r="A279" s="7"/>
      <c r="B279" s="7"/>
      <c r="I279" s="3"/>
      <c r="J279" s="17"/>
      <c r="K279" s="17"/>
      <c r="L279" s="18"/>
      <c r="M279" s="18"/>
      <c r="P279" s="3"/>
      <c r="Q279" s="4"/>
      <c r="R279" s="19"/>
      <c r="S279" s="20"/>
      <c r="U279" s="3" t="str">
        <f t="shared" si="12"/>
        <v/>
      </c>
      <c r="V279" s="4" t="str">
        <f t="shared" si="13"/>
        <v/>
      </c>
      <c r="W279" s="21" t="e" cm="1">
        <f t="array" ref="W279">_xlfn.IFS(
  A279="BELL", "WHITE",
  A279="GAMP", "ORANGE",
  A279="GAMM", "GREEN",
  A279="BWF", "YELLOW",
  OR(A279="TNBE", A279="TNBL", A279="TNBD", A279="TNWC", A279="TNBW", A279="THBS"), "PINK",
  A279="CRWD", "BLUE",
  A279="PASS", "WHITE"
)</f>
        <v>#N/A</v>
      </c>
    </row>
    <row r="280" spans="1:23" x14ac:dyDescent="0.25">
      <c r="A280" s="7"/>
      <c r="B280" s="7"/>
      <c r="I280" s="3"/>
      <c r="J280" s="17"/>
      <c r="K280" s="17"/>
      <c r="L280" s="18"/>
      <c r="M280" s="3"/>
      <c r="P280" s="3"/>
      <c r="Q280" s="4"/>
      <c r="R280" s="19"/>
      <c r="S280" s="20"/>
      <c r="U280" s="3" t="str">
        <f t="shared" si="12"/>
        <v/>
      </c>
      <c r="V280" s="4" t="str">
        <f t="shared" si="13"/>
        <v/>
      </c>
      <c r="W280" s="21" t="e" cm="1">
        <f t="array" ref="W280">_xlfn.IFS(
  A280="BELL", "WHITE",
  A280="GAMP", "ORANGE",
  A280="GAMM", "GREEN",
  A280="BWF", "YELLOW",
  OR(A280="TNBE", A280="TNBL", A280="TNBD", A280="TNWC", A280="TNBW", A280="THBS"), "PINK",
  A280="CRWD", "BLUE",
  A280="PASS", "WHITE"
)</f>
        <v>#N/A</v>
      </c>
    </row>
    <row r="281" spans="1:23" x14ac:dyDescent="0.25">
      <c r="A281" s="7"/>
      <c r="B281" s="7"/>
      <c r="I281" s="3"/>
      <c r="J281" s="17"/>
      <c r="K281" s="17"/>
      <c r="L281" s="18"/>
      <c r="M281" s="3"/>
      <c r="P281" s="3"/>
      <c r="Q281" s="4"/>
      <c r="R281" s="19"/>
      <c r="S281" s="20"/>
      <c r="U281" s="3" t="str">
        <f t="shared" si="12"/>
        <v/>
      </c>
      <c r="V281" s="4" t="str">
        <f t="shared" si="13"/>
        <v/>
      </c>
      <c r="W281" s="21" t="e" cm="1">
        <f t="array" ref="W281">_xlfn.IFS(
  A281="BELL", "WHITE",
  A281="GAMP", "ORANGE",
  A281="GAMM", "GREEN",
  A281="BWF", "YELLOW",
  OR(A281="TNBE", A281="TNBL", A281="TNBD", A281="TNWC", A281="TNBW", A281="THBS"), "PINK",
  A281="CRWD", "BLUE",
  A281="PASS", "WHITE"
)</f>
        <v>#N/A</v>
      </c>
    </row>
    <row r="282" spans="1:23" x14ac:dyDescent="0.25">
      <c r="A282" s="7"/>
      <c r="B282" s="7"/>
      <c r="I282" s="3"/>
      <c r="J282" s="17"/>
      <c r="K282" s="17"/>
      <c r="L282" s="18"/>
      <c r="M282" s="3"/>
      <c r="P282" s="3"/>
      <c r="Q282" s="4"/>
      <c r="R282" s="19"/>
      <c r="S282" s="20"/>
      <c r="U282" s="3" t="str">
        <f t="shared" si="12"/>
        <v/>
      </c>
      <c r="V282" s="4" t="str">
        <f t="shared" si="13"/>
        <v/>
      </c>
      <c r="W282" s="21" t="e" cm="1">
        <f t="array" ref="W282">_xlfn.IFS(
  A282="BELL", "WHITE",
  A282="GAMP", "ORANGE",
  A282="GAMM", "GREEN",
  A282="BWF", "YELLOW",
  OR(A282="TNBE", A282="TNBL", A282="TNBD", A282="TNWC", A282="TNBW", A282="THBS"), "PINK",
  A282="CRWD", "BLUE",
  A282="PASS", "WHITE"
)</f>
        <v>#N/A</v>
      </c>
    </row>
    <row r="283" spans="1:23" x14ac:dyDescent="0.25">
      <c r="A283" s="7"/>
      <c r="B283" s="7"/>
      <c r="I283" s="3"/>
      <c r="J283" s="17"/>
      <c r="K283" s="17"/>
      <c r="L283" s="18"/>
      <c r="M283" s="3"/>
      <c r="P283" s="3"/>
      <c r="Q283" s="4"/>
      <c r="R283" s="19"/>
      <c r="S283" s="20"/>
      <c r="U283" s="3" t="str">
        <f t="shared" si="12"/>
        <v/>
      </c>
      <c r="V283" s="4" t="str">
        <f t="shared" si="13"/>
        <v/>
      </c>
      <c r="W283" s="21" t="e" cm="1">
        <f t="array" ref="W283">_xlfn.IFS(
  A283="BELL", "WHITE",
  A283="GAMP", "ORANGE",
  A283="GAMM", "GREEN",
  A283="BWF", "YELLOW",
  OR(A283="TNBE", A283="TNBL", A283="TNBD", A283="TNWC", A283="TNBW", A283="THBS"), "PINK",
  A283="CRWD", "BLUE",
  A283="PASS", "WHITE"
)</f>
        <v>#N/A</v>
      </c>
    </row>
    <row r="284" spans="1:23" x14ac:dyDescent="0.25">
      <c r="A284" s="7"/>
      <c r="B284" s="7"/>
      <c r="I284" s="3"/>
      <c r="J284" s="17"/>
      <c r="K284" s="17"/>
      <c r="L284" s="18"/>
      <c r="M284" s="3"/>
      <c r="P284" s="3"/>
      <c r="Q284" s="4"/>
      <c r="R284" s="19"/>
      <c r="S284" s="20"/>
      <c r="U284" s="3" t="str">
        <f t="shared" si="12"/>
        <v/>
      </c>
      <c r="V284" s="4" t="str">
        <f t="shared" si="13"/>
        <v/>
      </c>
      <c r="W284" s="21" t="e" cm="1">
        <f t="array" ref="W284">_xlfn.IFS(
  A284="BELL", "WHITE",
  A284="GAMP", "ORANGE",
  A284="GAMM", "GREEN",
  A284="BWF", "YELLOW",
  OR(A284="TNBE", A284="TNBL", A284="TNBD", A284="TNWC", A284="TNBW", A284="THBS"), "PINK",
  A284="CRWD", "BLUE",
  A284="PASS", "WHITE"
)</f>
        <v>#N/A</v>
      </c>
    </row>
    <row r="285" spans="1:23" x14ac:dyDescent="0.25">
      <c r="A285" s="7"/>
      <c r="B285" s="7"/>
      <c r="I285" s="3"/>
      <c r="J285" s="17"/>
      <c r="K285" s="17"/>
      <c r="L285" s="18"/>
      <c r="M285" s="3"/>
      <c r="P285" s="3"/>
      <c r="Q285" s="4"/>
      <c r="R285" s="19"/>
      <c r="S285" s="20"/>
      <c r="U285" s="3" t="str">
        <f t="shared" si="12"/>
        <v/>
      </c>
      <c r="V285" s="4" t="str">
        <f t="shared" si="13"/>
        <v/>
      </c>
      <c r="W285" s="21" t="e" cm="1">
        <f t="array" ref="W285">_xlfn.IFS(
  A285="BELL", "WHITE",
  A285="GAMP", "ORANGE",
  A285="GAMM", "GREEN",
  A285="BWF", "YELLOW",
  OR(A285="TNBE", A285="TNBL", A285="TNBD", A285="TNWC", A285="TNBW", A285="THBS"), "PINK",
  A285="CRWD", "BLUE",
  A285="PASS", "WHITE"
)</f>
        <v>#N/A</v>
      </c>
    </row>
    <row r="286" spans="1:23" x14ac:dyDescent="0.25">
      <c r="A286" s="7"/>
      <c r="B286" s="7"/>
      <c r="I286" s="3"/>
      <c r="J286" s="17"/>
      <c r="K286" s="17"/>
      <c r="L286" s="18"/>
      <c r="M286" s="3"/>
      <c r="P286" s="3"/>
      <c r="Q286" s="4"/>
      <c r="R286" s="19"/>
      <c r="S286" s="20"/>
      <c r="U286" s="3" t="str">
        <f t="shared" si="12"/>
        <v/>
      </c>
      <c r="V286" s="4" t="str">
        <f t="shared" si="13"/>
        <v/>
      </c>
      <c r="W286" s="21" t="e" cm="1">
        <f t="array" ref="W286">_xlfn.IFS(
  A286="BELL", "WHITE",
  A286="GAMP", "ORANGE",
  A286="GAMM", "GREEN",
  A286="BWF", "YELLOW",
  OR(A286="TNBE", A286="TNBL", A286="TNBD", A286="TNWC", A286="TNBW", A286="THBS"), "PINK",
  A286="CRWD", "BLUE",
  A286="PASS", "WHITE"
)</f>
        <v>#N/A</v>
      </c>
    </row>
    <row r="287" spans="1:23" x14ac:dyDescent="0.25">
      <c r="A287" s="7"/>
      <c r="B287" s="7"/>
      <c r="I287" s="3"/>
      <c r="J287" s="17"/>
      <c r="K287" s="17"/>
      <c r="L287" s="18"/>
      <c r="M287" s="3"/>
      <c r="P287" s="3"/>
      <c r="Q287" s="4"/>
      <c r="R287" s="19"/>
      <c r="S287" s="20"/>
      <c r="U287" s="3" t="str">
        <f t="shared" si="12"/>
        <v/>
      </c>
      <c r="V287" s="4" t="str">
        <f t="shared" si="13"/>
        <v/>
      </c>
      <c r="W287" s="21" t="e" cm="1">
        <f t="array" ref="W287">_xlfn.IFS(
  A287="BELL", "WHITE",
  A287="GAMP", "ORANGE",
  A287="GAMM", "GREEN",
  A287="BWF", "YELLOW",
  OR(A287="TNBE", A287="TNBL", A287="TNBD", A287="TNWC", A287="TNBW", A287="THBS"), "PINK",
  A287="CRWD", "BLUE",
  A287="PASS", "WHITE"
)</f>
        <v>#N/A</v>
      </c>
    </row>
    <row r="288" spans="1:23" x14ac:dyDescent="0.25">
      <c r="A288" s="7"/>
      <c r="B288" s="7"/>
      <c r="I288" s="3"/>
      <c r="J288" s="17"/>
      <c r="K288" s="17"/>
      <c r="L288" s="18"/>
      <c r="M288" s="3"/>
      <c r="P288" s="3"/>
      <c r="Q288" s="4"/>
      <c r="R288" s="19"/>
      <c r="S288" s="20"/>
      <c r="U288" s="3" t="str">
        <f t="shared" si="12"/>
        <v/>
      </c>
      <c r="V288" s="4" t="str">
        <f t="shared" si="13"/>
        <v/>
      </c>
      <c r="W288" s="21" t="e" cm="1">
        <f t="array" ref="W288">_xlfn.IFS(
  A288="BELL", "WHITE",
  A288="GAMP", "ORANGE",
  A288="GAMM", "GREEN",
  A288="BWF", "YELLOW",
  OR(A288="TNBE", A288="TNBL", A288="TNBD", A288="TNWC", A288="TNBW", A288="THBS"), "PINK",
  A288="CRWD", "BLUE",
  A288="PASS", "WHITE"
)</f>
        <v>#N/A</v>
      </c>
    </row>
    <row r="289" spans="1:23" x14ac:dyDescent="0.25">
      <c r="A289" s="7"/>
      <c r="B289" s="7"/>
      <c r="I289" s="3"/>
      <c r="J289" s="17"/>
      <c r="K289" s="17"/>
      <c r="L289" s="18"/>
      <c r="M289" s="3"/>
      <c r="P289" s="3"/>
      <c r="Q289" s="4"/>
      <c r="R289" s="19"/>
      <c r="S289" s="20"/>
      <c r="U289" s="3" t="str">
        <f t="shared" si="12"/>
        <v/>
      </c>
      <c r="V289" s="4" t="str">
        <f t="shared" si="13"/>
        <v/>
      </c>
      <c r="W289" s="21" t="e" cm="1">
        <f t="array" ref="W289">_xlfn.IFS(
  A289="BELL", "WHITE",
  A289="GAMP", "ORANGE",
  A289="GAMM", "GREEN",
  A289="BWF", "YELLOW",
  OR(A289="TNBE", A289="TNBL", A289="TNBD", A289="TNWC", A289="TNBW", A289="THBS"), "PINK",
  A289="CRWD", "BLUE",
  A289="PASS", "WHITE"
)</f>
        <v>#N/A</v>
      </c>
    </row>
    <row r="290" spans="1:23" x14ac:dyDescent="0.25">
      <c r="A290" s="7"/>
      <c r="B290" s="7"/>
      <c r="I290" s="3"/>
      <c r="J290" s="17"/>
      <c r="K290" s="17"/>
      <c r="L290" s="18"/>
      <c r="M290" s="3"/>
      <c r="P290" s="3"/>
      <c r="Q290" s="4"/>
      <c r="R290" s="19"/>
      <c r="S290" s="20"/>
      <c r="U290" s="3" t="str">
        <f t="shared" si="12"/>
        <v/>
      </c>
      <c r="V290" s="4" t="str">
        <f t="shared" si="13"/>
        <v/>
      </c>
      <c r="W290" s="21" t="e" cm="1">
        <f t="array" ref="W290">_xlfn.IFS(
  A290="BELL", "WHITE",
  A290="GAMP", "ORANGE",
  A290="GAMM", "GREEN",
  A290="BWF", "YELLOW",
  OR(A290="TNBE", A290="TNBL", A290="TNBD", A290="TNWC", A290="TNBW", A290="THBS"), "PINK",
  A290="CRWD", "BLUE",
  A290="PASS", "WHITE"
)</f>
        <v>#N/A</v>
      </c>
    </row>
    <row r="291" spans="1:23" x14ac:dyDescent="0.25">
      <c r="A291" s="7"/>
      <c r="B291" s="7"/>
      <c r="I291" s="3"/>
      <c r="J291" s="17"/>
      <c r="K291" s="17"/>
      <c r="L291" s="18"/>
      <c r="M291" s="3"/>
      <c r="P291" s="3"/>
      <c r="Q291" s="4"/>
      <c r="R291" s="19"/>
      <c r="S291" s="20"/>
      <c r="U291" s="3" t="str">
        <f t="shared" si="12"/>
        <v/>
      </c>
      <c r="V291" s="4" t="str">
        <f t="shared" si="13"/>
        <v/>
      </c>
      <c r="W291" s="21" t="e" cm="1">
        <f t="array" ref="W291">_xlfn.IFS(
  A291="BELL", "WHITE",
  A291="GAMP", "ORANGE",
  A291="GAMM", "GREEN",
  A291="BWF", "YELLOW",
  OR(A291="TNBE", A291="TNBL", A291="TNBD", A291="TNWC", A291="TNBW", A291="THBS"), "PINK",
  A291="CRWD", "BLUE",
  A291="PASS", "WHITE"
)</f>
        <v>#N/A</v>
      </c>
    </row>
    <row r="292" spans="1:23" x14ac:dyDescent="0.25">
      <c r="A292" s="7"/>
      <c r="B292" s="7"/>
      <c r="H292" s="2"/>
      <c r="I292" s="3"/>
      <c r="J292" s="17"/>
      <c r="K292" s="17"/>
      <c r="L292" s="18"/>
      <c r="M292" s="18"/>
      <c r="P292" s="3"/>
      <c r="Q292" s="4"/>
      <c r="R292" s="19"/>
      <c r="S292" s="20"/>
      <c r="U292" s="3" t="str">
        <f t="shared" si="12"/>
        <v/>
      </c>
      <c r="V292" s="4" t="str">
        <f t="shared" si="13"/>
        <v/>
      </c>
      <c r="W292" s="21" t="e" cm="1">
        <f t="array" ref="W292">_xlfn.IFS(
  A292="BELL", "WHITE",
  A292="GAMP", "ORANGE",
  A292="GAMM", "GREEN",
  A292="BWF", "YELLOW",
  OR(A292="TNBE", A292="TNBL", A292="TNBD", A292="TNWC", A292="TNBW", A292="THBS"), "PINK",
  A292="CRWD", "BLUE",
  A292="PASS", "WHITE"
)</f>
        <v>#N/A</v>
      </c>
    </row>
    <row r="293" spans="1:23" x14ac:dyDescent="0.25">
      <c r="A293" s="7"/>
      <c r="B293" s="7"/>
      <c r="H293" s="2"/>
      <c r="I293" s="3"/>
      <c r="J293" s="17"/>
      <c r="K293" s="17"/>
      <c r="L293" s="18"/>
      <c r="M293" s="18"/>
      <c r="P293" s="3"/>
      <c r="Q293" s="4"/>
      <c r="R293" s="19"/>
      <c r="S293" s="20"/>
      <c r="U293" s="3" t="str">
        <f t="shared" si="12"/>
        <v/>
      </c>
      <c r="V293" s="4" t="str">
        <f t="shared" si="13"/>
        <v/>
      </c>
      <c r="W293" s="21" t="e" cm="1">
        <f t="array" ref="W293">_xlfn.IFS(
  A293="BELL", "WHITE",
  A293="GAMP", "ORANGE",
  A293="GAMM", "GREEN",
  A293="BWF", "YELLOW",
  OR(A293="TNBE", A293="TNBL", A293="TNBD", A293="TNWC", A293="TNBW", A293="THBS"), "PINK",
  A293="CRWD", "BLUE",
  A293="PASS", "WHITE"
)</f>
        <v>#N/A</v>
      </c>
    </row>
    <row r="294" spans="1:23" x14ac:dyDescent="0.25">
      <c r="A294" s="7"/>
      <c r="B294" s="7"/>
      <c r="H294" s="2"/>
      <c r="I294" s="3"/>
      <c r="J294" s="17"/>
      <c r="K294" s="17"/>
      <c r="L294" s="18"/>
      <c r="M294" s="18"/>
      <c r="P294" s="3"/>
      <c r="Q294" s="4"/>
      <c r="R294" s="19"/>
      <c r="S294" s="20"/>
      <c r="U294" s="3" t="str">
        <f t="shared" si="12"/>
        <v/>
      </c>
      <c r="V294" s="4" t="str">
        <f t="shared" si="13"/>
        <v/>
      </c>
      <c r="W294" s="21" t="e" cm="1">
        <f t="array" ref="W294">_xlfn.IFS(
  A294="BELL", "WHITE",
  A294="GAMP", "ORANGE",
  A294="GAMM", "GREEN",
  A294="BWF", "YELLOW",
  OR(A294="TNBE", A294="TNBL", A294="TNBD", A294="TNWC", A294="TNBW", A294="THBS"), "PINK",
  A294="CRWD", "BLUE",
  A294="PASS", "WHITE"
)</f>
        <v>#N/A</v>
      </c>
    </row>
    <row r="295" spans="1:23" x14ac:dyDescent="0.25">
      <c r="A295" s="7"/>
      <c r="B295" s="7"/>
      <c r="H295" s="2"/>
      <c r="I295" s="3"/>
      <c r="J295" s="17"/>
      <c r="K295" s="17"/>
      <c r="L295" s="18"/>
      <c r="M295" s="18"/>
      <c r="P295" s="3"/>
      <c r="Q295" s="4"/>
      <c r="R295" s="19"/>
      <c r="S295" s="20"/>
      <c r="U295" s="3" t="str">
        <f t="shared" si="12"/>
        <v/>
      </c>
      <c r="V295" s="4" t="str">
        <f t="shared" si="13"/>
        <v/>
      </c>
      <c r="W295" s="21" t="e" cm="1">
        <f t="array" ref="W295">_xlfn.IFS(
  A295="BELL", "WHITE",
  A295="GAMP", "ORANGE",
  A295="GAMM", "GREEN",
  A295="BWF", "YELLOW",
  OR(A295="TNBE", A295="TNBL", A295="TNBD", A295="TNWC", A295="TNBW", A295="THBS"), "PINK",
  A295="CRWD", "BLUE",
  A295="PASS", "WHITE"
)</f>
        <v>#N/A</v>
      </c>
    </row>
    <row r="296" spans="1:23" x14ac:dyDescent="0.25">
      <c r="A296" s="7"/>
      <c r="B296" s="7"/>
      <c r="H296" s="2"/>
      <c r="I296" s="3"/>
      <c r="J296" s="17"/>
      <c r="K296" s="17"/>
      <c r="L296" s="18"/>
      <c r="M296" s="18"/>
      <c r="P296" s="3"/>
      <c r="Q296" s="4"/>
      <c r="R296" s="19"/>
      <c r="S296" s="20"/>
      <c r="U296" s="3" t="str">
        <f t="shared" si="12"/>
        <v/>
      </c>
      <c r="V296" s="4" t="str">
        <f t="shared" si="13"/>
        <v/>
      </c>
      <c r="W296" s="21" t="e" cm="1">
        <f t="array" ref="W296">_xlfn.IFS(
  A296="BELL", "WHITE",
  A296="GAMP", "ORANGE",
  A296="GAMM", "GREEN",
  A296="BWF", "YELLOW",
  OR(A296="TNBE", A296="TNBL", A296="TNBD", A296="TNWC", A296="TNBW", A296="THBS"), "PINK",
  A296="CRWD", "BLUE",
  A296="PASS", "WHITE"
)</f>
        <v>#N/A</v>
      </c>
    </row>
    <row r="297" spans="1:23" x14ac:dyDescent="0.25">
      <c r="A297" s="7"/>
      <c r="B297" s="7"/>
      <c r="H297" s="2"/>
      <c r="I297" s="3"/>
      <c r="J297" s="17"/>
      <c r="K297" s="17"/>
      <c r="L297" s="18"/>
      <c r="M297" s="18"/>
      <c r="P297" s="3"/>
      <c r="Q297" s="4"/>
      <c r="R297" s="19"/>
      <c r="S297" s="20"/>
      <c r="U297" s="3" t="str">
        <f t="shared" si="12"/>
        <v/>
      </c>
      <c r="V297" s="4" t="str">
        <f t="shared" si="13"/>
        <v/>
      </c>
      <c r="W297" s="21" t="e" cm="1">
        <f t="array" ref="W297">_xlfn.IFS(
  A297="BELL", "WHITE",
  A297="GAMP", "ORANGE",
  A297="GAMM", "GREEN",
  A297="BWF", "YELLOW",
  OR(A297="TNBE", A297="TNBL", A297="TNBD", A297="TNWC", A297="TNBW", A297="THBS"), "PINK",
  A297="CRWD", "BLUE",
  A297="PASS", "WHITE"
)</f>
        <v>#N/A</v>
      </c>
    </row>
    <row r="298" spans="1:23" x14ac:dyDescent="0.25">
      <c r="A298" s="7"/>
      <c r="B298" s="7"/>
      <c r="H298" s="2"/>
      <c r="I298" s="3"/>
      <c r="J298" s="17"/>
      <c r="K298" s="17"/>
      <c r="L298" s="18"/>
      <c r="M298" s="3"/>
      <c r="P298" s="3"/>
      <c r="Q298" s="4"/>
      <c r="R298" s="19"/>
      <c r="S298" s="20"/>
      <c r="U298" s="3" t="str">
        <f t="shared" si="12"/>
        <v/>
      </c>
      <c r="V298" s="4" t="str">
        <f t="shared" si="13"/>
        <v/>
      </c>
      <c r="W298" s="21" t="e" cm="1">
        <f t="array" ref="W298">_xlfn.IFS(
  A298="BELL", "WHITE",
  A298="GAMP", "ORANGE",
  A298="GAMM", "GREEN",
  A298="BWF", "YELLOW",
  OR(A298="TNBE", A298="TNBL", A298="TNBD", A298="TNWC", A298="TNBW", A298="THBS"), "PINK",
  A298="CRWD", "BLUE",
  A298="PASS", "WHITE"
)</f>
        <v>#N/A</v>
      </c>
    </row>
    <row r="299" spans="1:23" x14ac:dyDescent="0.25">
      <c r="A299" s="7"/>
      <c r="B299" s="7"/>
      <c r="H299" s="2"/>
      <c r="I299" s="3"/>
      <c r="J299" s="17"/>
      <c r="K299" s="17"/>
      <c r="L299" s="18"/>
      <c r="M299" s="3"/>
      <c r="P299" s="3"/>
      <c r="Q299" s="4"/>
      <c r="R299" s="19"/>
      <c r="S299" s="20"/>
      <c r="U299" s="3" t="str">
        <f t="shared" si="12"/>
        <v/>
      </c>
      <c r="V299" s="4" t="str">
        <f t="shared" si="13"/>
        <v/>
      </c>
      <c r="W299" s="21" t="e" cm="1">
        <f t="array" ref="W299">_xlfn.IFS(
  A299="BELL", "WHITE",
  A299="GAMP", "ORANGE",
  A299="GAMM", "GREEN",
  A299="BWF", "YELLOW",
  OR(A299="TNBE", A299="TNBL", A299="TNBD", A299="TNWC", A299="TNBW", A299="THBS"), "PINK",
  A299="CRWD", "BLUE",
  A299="PASS", "WHITE"
)</f>
        <v>#N/A</v>
      </c>
    </row>
    <row r="300" spans="1:23" x14ac:dyDescent="0.25">
      <c r="A300" s="7"/>
      <c r="B300" s="7"/>
      <c r="H300" s="2"/>
      <c r="I300" s="3"/>
      <c r="J300" s="17"/>
      <c r="K300" s="17"/>
      <c r="L300" s="18"/>
      <c r="M300" s="3"/>
      <c r="P300" s="3"/>
      <c r="Q300" s="4"/>
      <c r="R300" s="19"/>
      <c r="S300" s="20"/>
      <c r="U300" s="3" t="str">
        <f t="shared" si="12"/>
        <v/>
      </c>
      <c r="V300" s="4" t="str">
        <f t="shared" si="13"/>
        <v/>
      </c>
      <c r="W300" s="21" t="e" cm="1">
        <f t="array" ref="W300">_xlfn.IFS(
  A300="BELL", "WHITE",
  A300="GAMP", "ORANGE",
  A300="GAMM", "GREEN",
  A300="BWF", "YELLOW",
  OR(A300="TNBE", A300="TNBL", A300="TNBD", A300="TNWC", A300="TNBW", A300="THBS"), "PINK",
  A300="CRWD", "BLUE",
  A300="PASS", "WHITE"
)</f>
        <v>#N/A</v>
      </c>
    </row>
    <row r="301" spans="1:23" x14ac:dyDescent="0.25">
      <c r="A301" s="7"/>
      <c r="B301" s="7"/>
      <c r="H301" s="2"/>
      <c r="I301" s="3"/>
      <c r="J301" s="17"/>
      <c r="K301" s="17"/>
      <c r="L301" s="18"/>
      <c r="M301" s="3"/>
      <c r="P301" s="3"/>
      <c r="Q301" s="4"/>
      <c r="R301" s="19"/>
      <c r="S301" s="20"/>
      <c r="U301" s="3" t="str">
        <f t="shared" si="12"/>
        <v/>
      </c>
      <c r="V301" s="4" t="str">
        <f t="shared" si="13"/>
        <v/>
      </c>
      <c r="W301" s="21" t="e" cm="1">
        <f t="array" ref="W301">_xlfn.IFS(
  A301="BELL", "WHITE",
  A301="GAMP", "ORANGE",
  A301="GAMM", "GREEN",
  A301="BWF", "YELLOW",
  OR(A301="TNBE", A301="TNBL", A301="TNBD", A301="TNWC", A301="TNBW", A301="THBS"), "PINK",
  A301="CRWD", "BLUE",
  A301="PASS", "WHITE"
)</f>
        <v>#N/A</v>
      </c>
    </row>
    <row r="302" spans="1:23" x14ac:dyDescent="0.25">
      <c r="A302" s="7"/>
      <c r="B302" s="7"/>
      <c r="H302" s="2"/>
      <c r="I302" s="3"/>
      <c r="J302" s="17"/>
      <c r="K302" s="17"/>
      <c r="L302" s="18"/>
      <c r="M302" s="3"/>
      <c r="P302" s="3"/>
      <c r="Q302" s="4"/>
      <c r="R302" s="19"/>
      <c r="S302" s="20"/>
      <c r="U302" s="3" t="str">
        <f t="shared" si="12"/>
        <v/>
      </c>
      <c r="V302" s="4" t="str">
        <f t="shared" si="13"/>
        <v/>
      </c>
      <c r="W302" s="21" t="e" cm="1">
        <f t="array" ref="W302">_xlfn.IFS(
  A302="BELL", "WHITE",
  A302="GAMP", "ORANGE",
  A302="GAMM", "GREEN",
  A302="BWF", "YELLOW",
  OR(A302="TNBE", A302="TNBL", A302="TNBD", A302="TNWC", A302="TNBW", A302="THBS"), "PINK",
  A302="CRWD", "BLUE",
  A302="PASS", "WHITE"
)</f>
        <v>#N/A</v>
      </c>
    </row>
    <row r="303" spans="1:23" x14ac:dyDescent="0.25">
      <c r="A303" s="7"/>
      <c r="B303" s="7"/>
      <c r="D303" s="1"/>
      <c r="E303" s="1"/>
      <c r="H303" s="2"/>
      <c r="I303" s="3"/>
      <c r="J303" s="17"/>
      <c r="K303" s="17"/>
      <c r="L303" s="18"/>
      <c r="M303" s="3"/>
      <c r="P303" s="3"/>
      <c r="Q303" s="4"/>
      <c r="R303" s="19"/>
      <c r="S303" s="20"/>
      <c r="U303" s="3" t="str">
        <f t="shared" si="12"/>
        <v/>
      </c>
      <c r="V303" s="4" t="str">
        <f t="shared" si="13"/>
        <v/>
      </c>
      <c r="W303" s="21" t="e" cm="1">
        <f t="array" ref="W303">_xlfn.IFS(
  A303="BELL", "WHITE",
  A303="GAMP", "ORANGE",
  A303="GAMM", "GREEN",
  A303="BWF", "YELLOW",
  OR(A303="TNBE", A303="TNBL", A303="TNBD", A303="TNWC", A303="TNBW", A303="THBS"), "PINK",
  A303="CRWD", "BLUE",
  A303="PASS", "WHITE"
)</f>
        <v>#N/A</v>
      </c>
    </row>
    <row r="304" spans="1:23" x14ac:dyDescent="0.25">
      <c r="A304" s="7"/>
      <c r="B304" s="7"/>
      <c r="D304" s="1"/>
      <c r="E304" s="1"/>
      <c r="H304" s="2"/>
      <c r="I304" s="3"/>
      <c r="J304" s="17"/>
      <c r="K304" s="17"/>
      <c r="L304" s="18"/>
      <c r="M304" s="3"/>
      <c r="P304" s="3"/>
      <c r="Q304" s="4"/>
      <c r="R304" s="19"/>
      <c r="S304" s="20"/>
      <c r="U304" s="3" t="str">
        <f t="shared" si="12"/>
        <v/>
      </c>
      <c r="V304" s="4" t="str">
        <f t="shared" si="13"/>
        <v/>
      </c>
      <c r="W304" s="21" t="e" cm="1">
        <f t="array" ref="W304">_xlfn.IFS(
  A304="BELL", "WHITE",
  A304="GAMP", "ORANGE",
  A304="GAMM", "GREEN",
  A304="BWF", "YELLOW",
  OR(A304="TNBE", A304="TNBL", A304="TNBD", A304="TNWC", A304="TNBW", A304="THBS"), "PINK",
  A304="CRWD", "BLUE",
  A304="PASS", "WHITE"
)</f>
        <v>#N/A</v>
      </c>
    </row>
    <row r="305" spans="1:23" x14ac:dyDescent="0.25">
      <c r="A305" s="7"/>
      <c r="B305" s="26"/>
      <c r="D305" s="26"/>
      <c r="E305" s="1"/>
      <c r="H305" s="2"/>
      <c r="I305" s="3"/>
      <c r="J305" s="17"/>
      <c r="K305" s="17"/>
      <c r="L305" s="18"/>
      <c r="M305" s="3"/>
      <c r="P305" s="3"/>
      <c r="Q305" s="4"/>
      <c r="R305" s="19"/>
      <c r="S305" s="20"/>
      <c r="U305" s="3" t="str">
        <f t="shared" si="12"/>
        <v/>
      </c>
      <c r="V305" s="4" t="str">
        <f t="shared" si="13"/>
        <v/>
      </c>
      <c r="W305" s="21" t="e" cm="1">
        <f t="array" ref="W305">_xlfn.IFS(
  A305="BELL", "WHITE",
  A305="GAMP", "ORANGE",
  A305="GAMM", "GREEN",
  A305="BWF", "YELLOW",
  OR(A305="TNBE", A305="TNBL", A305="TNBD", A305="TNWC", A305="TNBW", A305="THBS"), "PINK",
  A305="CRWD", "BLUE",
  A305="PASS", "WHITE"
)</f>
        <v>#N/A</v>
      </c>
    </row>
    <row r="306" spans="1:23" x14ac:dyDescent="0.25">
      <c r="A306" s="7"/>
      <c r="B306" s="26"/>
      <c r="D306" s="26"/>
      <c r="E306" s="1"/>
      <c r="H306" s="2"/>
      <c r="I306" s="3"/>
      <c r="J306" s="17"/>
      <c r="K306" s="17"/>
      <c r="L306" s="18"/>
      <c r="M306" s="3"/>
      <c r="P306" s="3"/>
      <c r="Q306" s="4"/>
      <c r="R306" s="19"/>
      <c r="S306" s="20"/>
      <c r="U306" s="3" t="str">
        <f t="shared" si="12"/>
        <v/>
      </c>
      <c r="V306" s="4" t="str">
        <f t="shared" si="13"/>
        <v/>
      </c>
      <c r="W306" s="21" t="e" cm="1">
        <f t="array" ref="W306">_xlfn.IFS(
  A306="BELL", "WHITE",
  A306="GAMP", "ORANGE",
  A306="GAMM", "GREEN",
  A306="BWF", "YELLOW",
  OR(A306="TNBE", A306="TNBL", A306="TNBD", A306="TNWC", A306="TNBW", A306="THBS"), "PINK",
  A306="CRWD", "BLUE",
  A306="PASS", "WHITE"
)</f>
        <v>#N/A</v>
      </c>
    </row>
    <row r="307" spans="1:23" x14ac:dyDescent="0.25">
      <c r="A307" s="7"/>
      <c r="B307" s="25"/>
      <c r="D307" s="27"/>
      <c r="E307" s="27"/>
      <c r="H307" s="2"/>
      <c r="I307" s="3"/>
      <c r="J307" s="17"/>
      <c r="K307" s="17"/>
      <c r="L307" s="18"/>
      <c r="M307" s="3"/>
      <c r="P307" s="3"/>
      <c r="Q307" s="4"/>
      <c r="R307" s="19"/>
      <c r="S307" s="20"/>
      <c r="U307" s="3" t="str">
        <f t="shared" si="12"/>
        <v/>
      </c>
      <c r="V307" s="4" t="str">
        <f t="shared" si="13"/>
        <v/>
      </c>
      <c r="W307" s="21" t="e" cm="1">
        <f t="array" ref="W307">_xlfn.IFS(
  A307="BELL", "WHITE",
  A307="GAMP", "ORANGE",
  A307="GAMM", "GREEN",
  A307="BWF", "YELLOW",
  OR(A307="TNBE", A307="TNBL", A307="TNBD", A307="TNWC", A307="TNBW", A307="THBS"), "PINK",
  A307="CRWD", "BLUE",
  A307="PASS", "WHITE"
)</f>
        <v>#N/A</v>
      </c>
    </row>
    <row r="308" spans="1:23" x14ac:dyDescent="0.25">
      <c r="A308" s="7"/>
      <c r="B308" s="7"/>
      <c r="I308" s="3"/>
      <c r="J308" s="17"/>
      <c r="K308" s="17"/>
      <c r="L308" s="18"/>
      <c r="M308" s="3"/>
      <c r="P308" s="3"/>
      <c r="Q308" s="4"/>
      <c r="R308" s="19"/>
      <c r="S308" s="20"/>
      <c r="U308" s="3" t="str">
        <f t="shared" si="12"/>
        <v/>
      </c>
      <c r="V308" s="4" t="str">
        <f t="shared" si="13"/>
        <v/>
      </c>
      <c r="W308" s="21" t="e" cm="1">
        <f t="array" ref="W308">_xlfn.IFS(
  A308="BELL", "WHITE",
  A308="GAMP", "ORANGE",
  A308="GAMM", "GREEN",
  A308="BWF", "YELLOW",
  OR(A308="TNBE", A308="TNBL", A308="TNBD", A308="TNWC", A308="TNBW", A308="THBS"), "PINK",
  A308="CRWD", "BLUE",
  A308="PASS", "WHITE"
)</f>
        <v>#N/A</v>
      </c>
    </row>
    <row r="309" spans="1:23" x14ac:dyDescent="0.25">
      <c r="A309" s="7"/>
      <c r="B309" s="7"/>
      <c r="I309" s="3"/>
      <c r="J309" s="17"/>
      <c r="K309" s="17"/>
      <c r="L309" s="18"/>
      <c r="M309" s="3"/>
      <c r="P309" s="3"/>
      <c r="Q309" s="4"/>
      <c r="R309" s="19"/>
      <c r="S309" s="20"/>
      <c r="U309" s="3" t="str">
        <f t="shared" si="12"/>
        <v/>
      </c>
      <c r="V309" s="4" t="str">
        <f t="shared" si="13"/>
        <v/>
      </c>
      <c r="W309" s="21" t="e" cm="1">
        <f t="array" ref="W309">_xlfn.IFS(
  A309="BELL", "WHITE",
  A309="GAMP", "ORANGE",
  A309="GAMM", "GREEN",
  A309="BWF", "YELLOW",
  OR(A309="TNBE", A309="TNBL", A309="TNBD", A309="TNWC", A309="TNBW", A309="THBS"), "PINK",
  A309="CRWD", "BLUE",
  A309="PASS", "WHITE"
)</f>
        <v>#N/A</v>
      </c>
    </row>
    <row r="310" spans="1:23" x14ac:dyDescent="0.25">
      <c r="A310" s="7"/>
      <c r="B310" s="7"/>
      <c r="I310" s="3"/>
      <c r="J310" s="17"/>
      <c r="K310" s="17"/>
      <c r="L310" s="18"/>
      <c r="M310" s="3"/>
      <c r="P310" s="3"/>
      <c r="Q310" s="4"/>
      <c r="R310" s="19"/>
      <c r="S310" s="20"/>
      <c r="U310" s="3" t="str">
        <f t="shared" si="12"/>
        <v/>
      </c>
      <c r="V310" s="4" t="str">
        <f t="shared" si="13"/>
        <v/>
      </c>
      <c r="W310" s="21" t="e" cm="1">
        <f t="array" ref="W310">_xlfn.IFS(
  A310="BELL", "WHITE",
  A310="GAMP", "ORANGE",
  A310="GAMM", "GREEN",
  A310="BWF", "YELLOW",
  OR(A310="TNBE", A310="TNBL", A310="TNBD", A310="TNWC", A310="TNBW", A310="THBS"), "PINK",
  A310="CRWD", "BLUE",
  A310="PASS", "WHITE"
)</f>
        <v>#N/A</v>
      </c>
    </row>
    <row r="311" spans="1:23" x14ac:dyDescent="0.25">
      <c r="A311" s="7"/>
      <c r="B311" s="7"/>
      <c r="I311" s="3"/>
      <c r="J311" s="17"/>
      <c r="K311" s="17"/>
      <c r="L311" s="18"/>
      <c r="M311" s="3"/>
      <c r="P311" s="3"/>
      <c r="Q311" s="4"/>
      <c r="R311" s="19"/>
      <c r="S311" s="20"/>
      <c r="U311" s="3" t="str">
        <f t="shared" si="12"/>
        <v/>
      </c>
      <c r="V311" s="4" t="str">
        <f t="shared" si="13"/>
        <v/>
      </c>
      <c r="W311" s="21" t="e" cm="1">
        <f t="array" ref="W311">_xlfn.IFS(
  A311="BELL", "WHITE",
  A311="GAMP", "ORANGE",
  A311="GAMM", "GREEN",
  A311="BWF", "YELLOW",
  OR(A311="TNBE", A311="TNBL", A311="TNBD", A311="TNWC", A311="TNBW", A311="THBS"), "PINK",
  A311="CRWD", "BLUE",
  A311="PASS", "WHITE"
)</f>
        <v>#N/A</v>
      </c>
    </row>
    <row r="312" spans="1:23" x14ac:dyDescent="0.25">
      <c r="A312" s="7"/>
      <c r="B312" s="7"/>
      <c r="I312" s="3"/>
      <c r="J312" s="17"/>
      <c r="K312" s="17"/>
      <c r="L312" s="18"/>
      <c r="M312" s="3"/>
      <c r="P312" s="3"/>
      <c r="Q312" s="4"/>
      <c r="R312" s="19"/>
      <c r="S312" s="20"/>
      <c r="U312" s="3" t="str">
        <f t="shared" si="12"/>
        <v/>
      </c>
      <c r="V312" s="4" t="str">
        <f t="shared" si="13"/>
        <v/>
      </c>
      <c r="W312" s="21" t="e" cm="1">
        <f t="array" ref="W312">_xlfn.IFS(
  A312="BELL", "WHITE",
  A312="GAMP", "ORANGE",
  A312="GAMM", "GREEN",
  A312="BWF", "YELLOW",
  OR(A312="TNBE", A312="TNBL", A312="TNBD", A312="TNWC", A312="TNBW", A312="THBS"), "PINK",
  A312="CRWD", "BLUE",
  A312="PASS", "WHITE"
)</f>
        <v>#N/A</v>
      </c>
    </row>
    <row r="313" spans="1:23" x14ac:dyDescent="0.25">
      <c r="A313" s="7"/>
      <c r="B313" s="7"/>
      <c r="I313" s="3"/>
      <c r="J313" s="17"/>
      <c r="K313" s="17"/>
      <c r="L313" s="18"/>
      <c r="M313" s="3"/>
      <c r="P313" s="3"/>
      <c r="Q313" s="4"/>
      <c r="R313" s="19"/>
      <c r="S313" s="20"/>
      <c r="U313" s="3" t="str">
        <f t="shared" si="12"/>
        <v/>
      </c>
      <c r="V313" s="4" t="str">
        <f t="shared" si="13"/>
        <v/>
      </c>
      <c r="W313" s="21" t="e" cm="1">
        <f t="array" ref="W313">_xlfn.IFS(
  A313="BELL", "WHITE",
  A313="GAMP", "ORANGE",
  A313="GAMM", "GREEN",
  A313="BWF", "YELLOW",
  OR(A313="TNBE", A313="TNBL", A313="TNBD", A313="TNWC", A313="TNBW", A313="THBS"), "PINK",
  A313="CRWD", "BLUE",
  A313="PASS", "WHITE"
)</f>
        <v>#N/A</v>
      </c>
    </row>
    <row r="314" spans="1:23" x14ac:dyDescent="0.25">
      <c r="A314" s="7"/>
      <c r="B314" s="7"/>
      <c r="I314" s="3"/>
      <c r="J314" s="17"/>
      <c r="K314" s="17"/>
      <c r="L314" s="18"/>
      <c r="M314" s="3"/>
      <c r="P314" s="3"/>
      <c r="Q314" s="4"/>
      <c r="R314" s="19"/>
      <c r="S314" s="20"/>
      <c r="U314" s="3" t="str">
        <f t="shared" si="12"/>
        <v/>
      </c>
      <c r="V314" s="4" t="str">
        <f t="shared" si="13"/>
        <v/>
      </c>
      <c r="W314" s="21" t="e" cm="1">
        <f t="array" ref="W314">_xlfn.IFS(
  A314="BELL", "WHITE",
  A314="GAMP", "ORANGE",
  A314="GAMM", "GREEN",
  A314="BWF", "YELLOW",
  OR(A314="TNBE", A314="TNBL", A314="TNBD", A314="TNWC", A314="TNBW", A314="THBS"), "PINK",
  A314="CRWD", "BLUE",
  A314="PASS", "WHITE"
)</f>
        <v>#N/A</v>
      </c>
    </row>
    <row r="315" spans="1:23" x14ac:dyDescent="0.25">
      <c r="A315" s="7"/>
      <c r="B315" s="7"/>
      <c r="I315" s="3"/>
      <c r="J315" s="17"/>
      <c r="K315" s="17"/>
      <c r="L315" s="18"/>
      <c r="M315" s="3"/>
      <c r="P315" s="3"/>
      <c r="Q315" s="4"/>
      <c r="R315" s="19"/>
      <c r="S315" s="20"/>
      <c r="U315" s="3" t="str">
        <f t="shared" si="12"/>
        <v/>
      </c>
      <c r="V315" s="4" t="str">
        <f t="shared" si="13"/>
        <v/>
      </c>
      <c r="W315" s="21" t="e" cm="1">
        <f t="array" ref="W315">_xlfn.IFS(
  A315="BELL", "WHITE",
  A315="GAMP", "ORANGE",
  A315="GAMM", "GREEN",
  A315="BWF", "YELLOW",
  OR(A315="TNBE", A315="TNBL", A315="TNBD", A315="TNWC", A315="TNBW", A315="THBS"), "PINK",
  A315="CRWD", "BLUE",
  A315="PASS", "WHITE"
)</f>
        <v>#N/A</v>
      </c>
    </row>
    <row r="316" spans="1:23" x14ac:dyDescent="0.25">
      <c r="A316" s="7"/>
      <c r="B316" s="7"/>
      <c r="I316" s="3"/>
      <c r="J316" s="17"/>
      <c r="K316" s="17"/>
      <c r="L316" s="18"/>
      <c r="M316" s="3"/>
      <c r="P316" s="3"/>
      <c r="Q316" s="4"/>
      <c r="R316" s="19"/>
      <c r="S316" s="20"/>
      <c r="U316" s="3" t="str">
        <f t="shared" si="12"/>
        <v/>
      </c>
      <c r="V316" s="4" t="str">
        <f t="shared" si="13"/>
        <v/>
      </c>
      <c r="W316" s="21" t="e" cm="1">
        <f t="array" ref="W316">_xlfn.IFS(
  A316="BELL", "WHITE",
  A316="GAMP", "ORANGE",
  A316="GAMM", "GREEN",
  A316="BWF", "YELLOW",
  OR(A316="TNBE", A316="TNBL", A316="TNBD", A316="TNWC", A316="TNBW", A316="THBS"), "PINK",
  A316="CRWD", "BLUE",
  A316="PASS", "WHITE"
)</f>
        <v>#N/A</v>
      </c>
    </row>
    <row r="317" spans="1:23" x14ac:dyDescent="0.25">
      <c r="A317" s="7"/>
      <c r="B317" s="7"/>
      <c r="I317" s="3"/>
      <c r="J317" s="17"/>
      <c r="K317" s="17"/>
      <c r="L317" s="18"/>
      <c r="M317" s="3"/>
      <c r="P317" s="3"/>
      <c r="Q317" s="4"/>
      <c r="R317" s="19"/>
      <c r="S317" s="20"/>
      <c r="U317" s="3" t="str">
        <f t="shared" si="12"/>
        <v/>
      </c>
      <c r="V317" s="4" t="str">
        <f t="shared" si="13"/>
        <v/>
      </c>
      <c r="W317" s="21" t="e" cm="1">
        <f t="array" ref="W317">_xlfn.IFS(
  A317="BELL", "WHITE",
  A317="GAMP", "ORANGE",
  A317="GAMM", "GREEN",
  A317="BWF", "YELLOW",
  OR(A317="TNBE", A317="TNBL", A317="TNBD", A317="TNWC", A317="TNBW", A317="THBS"), "PINK",
  A317="CRWD", "BLUE",
  A317="PASS", "WHITE"
)</f>
        <v>#N/A</v>
      </c>
    </row>
    <row r="318" spans="1:23" x14ac:dyDescent="0.25">
      <c r="A318" s="7"/>
      <c r="B318" s="7"/>
      <c r="I318" s="3"/>
      <c r="J318" s="17"/>
      <c r="K318" s="17"/>
      <c r="L318" s="18"/>
      <c r="M318" s="3"/>
      <c r="P318" s="3"/>
      <c r="Q318" s="4"/>
      <c r="R318" s="19"/>
      <c r="S318" s="20"/>
      <c r="U318" s="3" t="str">
        <f t="shared" si="12"/>
        <v/>
      </c>
      <c r="V318" s="4" t="str">
        <f t="shared" si="13"/>
        <v/>
      </c>
      <c r="W318" s="21" t="e" cm="1">
        <f t="array" ref="W318">_xlfn.IFS(
  A318="BELL", "WHITE",
  A318="GAMP", "ORANGE",
  A318="GAMM", "GREEN",
  A318="BWF", "YELLOW",
  OR(A318="TNBE", A318="TNBL", A318="TNBD", A318="TNWC", A318="TNBW", A318="THBS"), "PINK",
  A318="CRWD", "BLUE",
  A318="PASS", "WHITE"
)</f>
        <v>#N/A</v>
      </c>
    </row>
    <row r="319" spans="1:23" x14ac:dyDescent="0.25">
      <c r="A319" s="7"/>
      <c r="B319" s="7"/>
      <c r="I319" s="3"/>
      <c r="J319" s="17"/>
      <c r="K319" s="17"/>
      <c r="L319" s="18"/>
      <c r="M319" s="3"/>
      <c r="P319" s="3"/>
      <c r="Q319" s="4"/>
      <c r="R319" s="19"/>
      <c r="S319" s="20"/>
      <c r="U319" s="3" t="str">
        <f t="shared" si="12"/>
        <v/>
      </c>
      <c r="V319" s="4" t="str">
        <f t="shared" si="13"/>
        <v/>
      </c>
      <c r="W319" s="21" t="e" cm="1">
        <f t="array" ref="W319">_xlfn.IFS(
  A319="BELL", "WHITE",
  A319="GAMP", "ORANGE",
  A319="GAMM", "GREEN",
  A319="BWF", "YELLOW",
  OR(A319="TNBE", A319="TNBL", A319="TNBD", A319="TNWC", A319="TNBW", A319="THBS"), "PINK",
  A319="CRWD", "BLUE",
  A319="PASS", "WHITE"
)</f>
        <v>#N/A</v>
      </c>
    </row>
    <row r="320" spans="1:23" x14ac:dyDescent="0.25">
      <c r="A320" s="7"/>
      <c r="B320" s="7"/>
      <c r="I320" s="3"/>
      <c r="J320" s="17"/>
      <c r="K320" s="17"/>
      <c r="L320" s="18"/>
      <c r="M320" s="3"/>
      <c r="P320" s="3"/>
      <c r="Q320" s="4"/>
      <c r="R320" s="19"/>
      <c r="S320" s="20"/>
      <c r="U320" s="3" t="str">
        <f t="shared" si="12"/>
        <v/>
      </c>
      <c r="V320" s="4" t="str">
        <f t="shared" si="13"/>
        <v/>
      </c>
      <c r="W320" s="21" t="e" cm="1">
        <f t="array" ref="W320">_xlfn.IFS(
  A320="BELL", "WHITE",
  A320="GAMP", "ORANGE",
  A320="GAMM", "GREEN",
  A320="BWF", "YELLOW",
  OR(A320="TNBE", A320="TNBL", A320="TNBD", A320="TNWC", A320="TNBW", A320="THBS"), "PINK",
  A320="CRWD", "BLUE",
  A320="PASS", "WHITE"
)</f>
        <v>#N/A</v>
      </c>
    </row>
    <row r="321" spans="1:23" x14ac:dyDescent="0.25">
      <c r="A321" s="7"/>
      <c r="B321" s="7"/>
      <c r="I321" s="3"/>
      <c r="J321" s="17"/>
      <c r="K321" s="17"/>
      <c r="L321" s="18"/>
      <c r="M321" s="3"/>
      <c r="P321" s="3"/>
      <c r="Q321" s="4"/>
      <c r="R321" s="19"/>
      <c r="S321" s="20"/>
      <c r="U321" s="3" t="str">
        <f t="shared" si="12"/>
        <v/>
      </c>
      <c r="V321" s="4" t="str">
        <f t="shared" si="13"/>
        <v/>
      </c>
      <c r="W321" s="21" t="e" cm="1">
        <f t="array" ref="W321">_xlfn.IFS(
  A321="BELL", "WHITE",
  A321="GAMP", "ORANGE",
  A321="GAMM", "GREEN",
  A321="BWF", "YELLOW",
  OR(A321="TNBE", A321="TNBL", A321="TNBD", A321="TNWC", A321="TNBW", A321="THBS"), "PINK",
  A321="CRWD", "BLUE",
  A321="PASS", "WHITE"
)</f>
        <v>#N/A</v>
      </c>
    </row>
    <row r="322" spans="1:23" x14ac:dyDescent="0.25">
      <c r="A322" s="7"/>
      <c r="B322" s="7"/>
      <c r="I322" s="3"/>
      <c r="J322" s="17"/>
      <c r="K322" s="17"/>
      <c r="L322" s="18"/>
      <c r="M322" s="3"/>
      <c r="P322" s="3"/>
      <c r="Q322" s="4"/>
      <c r="R322" s="19"/>
      <c r="S322" s="20"/>
      <c r="U322" s="3" t="str">
        <f t="shared" si="12"/>
        <v/>
      </c>
      <c r="V322" s="4" t="str">
        <f t="shared" si="13"/>
        <v/>
      </c>
      <c r="W322" s="21" t="e" cm="1">
        <f t="array" ref="W322">_xlfn.IFS(
  A322="BELL", "WHITE",
  A322="GAMP", "ORANGE",
  A322="GAMM", "GREEN",
  A322="BWF", "YELLOW",
  OR(A322="TNBE", A322="TNBL", A322="TNBD", A322="TNWC", A322="TNBW", A322="THBS"), "PINK",
  A322="CRWD", "BLUE",
  A322="PASS", "WHITE"
)</f>
        <v>#N/A</v>
      </c>
    </row>
    <row r="323" spans="1:23" x14ac:dyDescent="0.25">
      <c r="A323" s="7"/>
      <c r="B323" s="7"/>
      <c r="I323" s="3"/>
      <c r="J323" s="17"/>
      <c r="K323" s="17"/>
      <c r="L323" s="18"/>
      <c r="M323" s="3"/>
      <c r="P323" s="3"/>
      <c r="Q323" s="4"/>
      <c r="R323" s="19"/>
      <c r="S323" s="20"/>
      <c r="U323" s="3" t="str">
        <f t="shared" si="12"/>
        <v/>
      </c>
      <c r="V323" s="4" t="str">
        <f t="shared" si="13"/>
        <v/>
      </c>
      <c r="W323" s="21" t="e" cm="1">
        <f t="array" ref="W323">_xlfn.IFS(
  A323="BELL", "WHITE",
  A323="GAMP", "ORANGE",
  A323="GAMM", "GREEN",
  A323="BWF", "YELLOW",
  OR(A323="TNBE", A323="TNBL", A323="TNBD", A323="TNWC", A323="TNBW", A323="THBS"), "PINK",
  A323="CRWD", "BLUE",
  A323="PASS", "WHITE"
)</f>
        <v>#N/A</v>
      </c>
    </row>
    <row r="324" spans="1:23" x14ac:dyDescent="0.25">
      <c r="A324" s="7"/>
      <c r="B324" s="7"/>
      <c r="I324" s="3"/>
      <c r="J324" s="17"/>
      <c r="K324" s="17"/>
      <c r="L324" s="18"/>
      <c r="M324" s="3"/>
      <c r="P324" s="3"/>
      <c r="Q324" s="4"/>
      <c r="R324" s="19"/>
      <c r="S324" s="20"/>
      <c r="U324" s="3" t="str">
        <f t="shared" ref="U324:U387" si="14">IF(T324="","",IF(T324&gt;I324,H324,T324/G324))</f>
        <v/>
      </c>
      <c r="V324" s="4" t="str">
        <f t="shared" ref="V324:V387" si="15">IF(T324&gt;I324,T324-I324,"")</f>
        <v/>
      </c>
      <c r="W324" s="21" t="e" cm="1">
        <f t="array" ref="W324">_xlfn.IFS(
  A324="BELL", "WHITE",
  A324="GAMP", "ORANGE",
  A324="GAMM", "GREEN",
  A324="BWF", "YELLOW",
  OR(A324="TNBE", A324="TNBL", A324="TNBD", A324="TNWC", A324="TNBW", A324="THBS"), "PINK",
  A324="CRWD", "BLUE",
  A324="PASS", "WHITE"
)</f>
        <v>#N/A</v>
      </c>
    </row>
    <row r="325" spans="1:23" x14ac:dyDescent="0.25">
      <c r="A325" s="7"/>
      <c r="B325" s="7"/>
      <c r="I325" s="3"/>
      <c r="J325" s="17"/>
      <c r="K325" s="17"/>
      <c r="L325" s="18"/>
      <c r="M325" s="3"/>
      <c r="P325" s="3"/>
      <c r="Q325" s="4"/>
      <c r="R325" s="19"/>
      <c r="S325" s="20"/>
      <c r="U325" s="3" t="str">
        <f t="shared" si="14"/>
        <v/>
      </c>
      <c r="V325" s="4" t="str">
        <f t="shared" si="15"/>
        <v/>
      </c>
      <c r="W325" s="21" t="e" cm="1">
        <f t="array" ref="W325">_xlfn.IFS(
  A325="BELL", "WHITE",
  A325="GAMP", "ORANGE",
  A325="GAMM", "GREEN",
  A325="BWF", "YELLOW",
  OR(A325="TNBE", A325="TNBL", A325="TNBD", A325="TNWC", A325="TNBW", A325="THBS"), "PINK",
  A325="CRWD", "BLUE",
  A325="PASS", "WHITE"
)</f>
        <v>#N/A</v>
      </c>
    </row>
    <row r="326" spans="1:23" x14ac:dyDescent="0.25">
      <c r="A326" s="7"/>
      <c r="B326" s="7"/>
      <c r="I326" s="3"/>
      <c r="J326" s="17"/>
      <c r="K326" s="17"/>
      <c r="L326" s="18"/>
      <c r="M326" s="3"/>
      <c r="P326" s="3"/>
      <c r="Q326" s="4"/>
      <c r="R326" s="19"/>
      <c r="S326" s="20"/>
      <c r="U326" s="3" t="str">
        <f t="shared" si="14"/>
        <v/>
      </c>
      <c r="V326" s="4" t="str">
        <f t="shared" si="15"/>
        <v/>
      </c>
      <c r="W326" s="21" t="e" cm="1">
        <f t="array" ref="W326">_xlfn.IFS(
  A326="BELL", "WHITE",
  A326="GAMP", "ORANGE",
  A326="GAMM", "GREEN",
  A326="BWF", "YELLOW",
  OR(A326="TNBE", A326="TNBL", A326="TNBD", A326="TNWC", A326="TNBW", A326="THBS"), "PINK",
  A326="CRWD", "BLUE",
  A326="PASS", "WHITE"
)</f>
        <v>#N/A</v>
      </c>
    </row>
    <row r="327" spans="1:23" x14ac:dyDescent="0.25">
      <c r="A327" s="7"/>
      <c r="B327" s="7"/>
      <c r="I327" s="3"/>
      <c r="J327" s="17"/>
      <c r="K327" s="17"/>
      <c r="L327" s="18"/>
      <c r="M327" s="3"/>
      <c r="P327" s="3"/>
      <c r="Q327" s="4"/>
      <c r="R327" s="19"/>
      <c r="S327" s="20"/>
      <c r="U327" s="3" t="str">
        <f t="shared" si="14"/>
        <v/>
      </c>
      <c r="V327" s="4" t="str">
        <f t="shared" si="15"/>
        <v/>
      </c>
      <c r="W327" s="21" t="e" cm="1">
        <f t="array" ref="W327">_xlfn.IFS(
  A327="BELL", "WHITE",
  A327="GAMP", "ORANGE",
  A327="GAMM", "GREEN",
  A327="BWF", "YELLOW",
  OR(A327="TNBE", A327="TNBL", A327="TNBD", A327="TNWC", A327="TNBW", A327="THBS"), "PINK",
  A327="CRWD", "BLUE",
  A327="PASS", "WHITE"
)</f>
        <v>#N/A</v>
      </c>
    </row>
    <row r="328" spans="1:23" x14ac:dyDescent="0.25">
      <c r="A328" s="7"/>
      <c r="B328" s="7"/>
      <c r="I328" s="3"/>
      <c r="J328" s="17"/>
      <c r="K328" s="17"/>
      <c r="L328" s="18"/>
      <c r="M328" s="3"/>
      <c r="P328" s="3"/>
      <c r="Q328" s="4"/>
      <c r="R328" s="19"/>
      <c r="S328" s="20"/>
      <c r="U328" s="3" t="str">
        <f t="shared" si="14"/>
        <v/>
      </c>
      <c r="V328" s="4" t="str">
        <f t="shared" si="15"/>
        <v/>
      </c>
      <c r="W328" s="21" t="e" cm="1">
        <f t="array" ref="W328">_xlfn.IFS(
  A328="BELL", "WHITE",
  A328="GAMP", "ORANGE",
  A328="GAMM", "GREEN",
  A328="BWF", "YELLOW",
  OR(A328="TNBE", A328="TNBL", A328="TNBD", A328="TNWC", A328="TNBW", A328="THBS"), "PINK",
  A328="CRWD", "BLUE",
  A328="PASS", "WHITE"
)</f>
        <v>#N/A</v>
      </c>
    </row>
    <row r="329" spans="1:23" x14ac:dyDescent="0.25">
      <c r="A329" s="7"/>
      <c r="B329" s="7"/>
      <c r="I329" s="3"/>
      <c r="J329" s="17"/>
      <c r="K329" s="17"/>
      <c r="L329" s="18"/>
      <c r="M329" s="3"/>
      <c r="P329" s="3"/>
      <c r="Q329" s="4"/>
      <c r="R329" s="19"/>
      <c r="S329" s="20"/>
      <c r="U329" s="3" t="str">
        <f t="shared" si="14"/>
        <v/>
      </c>
      <c r="V329" s="4" t="str">
        <f t="shared" si="15"/>
        <v/>
      </c>
      <c r="W329" s="21" t="e" cm="1">
        <f t="array" ref="W329">_xlfn.IFS(
  A329="BELL", "WHITE",
  A329="GAMP", "ORANGE",
  A329="GAMM", "GREEN",
  A329="BWF", "YELLOW",
  OR(A329="TNBE", A329="TNBL", A329="TNBD", A329="TNWC", A329="TNBW", A329="THBS"), "PINK",
  A329="CRWD", "BLUE",
  A329="PASS", "WHITE"
)</f>
        <v>#N/A</v>
      </c>
    </row>
    <row r="330" spans="1:23" x14ac:dyDescent="0.25">
      <c r="A330" s="7"/>
      <c r="B330" s="7"/>
      <c r="I330" s="3"/>
      <c r="J330" s="17"/>
      <c r="K330" s="17"/>
      <c r="L330" s="18"/>
      <c r="M330" s="3"/>
      <c r="P330" s="3"/>
      <c r="Q330" s="4"/>
      <c r="R330" s="19"/>
      <c r="S330" s="20"/>
      <c r="U330" s="3" t="str">
        <f t="shared" si="14"/>
        <v/>
      </c>
      <c r="V330" s="4" t="str">
        <f t="shared" si="15"/>
        <v/>
      </c>
      <c r="W330" s="21" t="e" cm="1">
        <f t="array" ref="W330">_xlfn.IFS(
  A330="BELL", "WHITE",
  A330="GAMP", "ORANGE",
  A330="GAMM", "GREEN",
  A330="BWF", "YELLOW",
  OR(A330="TNBE", A330="TNBL", A330="TNBD", A330="TNWC", A330="TNBW", A330="THBS"), "PINK",
  A330="CRWD", "BLUE",
  A330="PASS", "WHITE"
)</f>
        <v>#N/A</v>
      </c>
    </row>
    <row r="331" spans="1:23" x14ac:dyDescent="0.25">
      <c r="A331" s="7"/>
      <c r="B331" s="7"/>
      <c r="I331" s="3"/>
      <c r="J331" s="17"/>
      <c r="K331" s="17"/>
      <c r="L331" s="18"/>
      <c r="M331" s="3"/>
      <c r="P331" s="3"/>
      <c r="Q331" s="4"/>
      <c r="R331" s="19"/>
      <c r="S331" s="20"/>
      <c r="U331" s="3" t="str">
        <f t="shared" si="14"/>
        <v/>
      </c>
      <c r="V331" s="4" t="str">
        <f t="shared" si="15"/>
        <v/>
      </c>
      <c r="W331" s="21" t="e" cm="1">
        <f t="array" ref="W331">_xlfn.IFS(
  A331="BELL", "WHITE",
  A331="GAMP", "ORANGE",
  A331="GAMM", "GREEN",
  A331="BWF", "YELLOW",
  OR(A331="TNBE", A331="TNBL", A331="TNBD", A331="TNWC", A331="TNBW", A331="THBS"), "PINK",
  A331="CRWD", "BLUE",
  A331="PASS", "WHITE"
)</f>
        <v>#N/A</v>
      </c>
    </row>
    <row r="332" spans="1:23" x14ac:dyDescent="0.25">
      <c r="A332" s="7"/>
      <c r="B332" s="7"/>
      <c r="I332" s="3"/>
      <c r="J332" s="17"/>
      <c r="K332" s="17"/>
      <c r="L332" s="18"/>
      <c r="M332" s="3"/>
      <c r="P332" s="3"/>
      <c r="Q332" s="4"/>
      <c r="R332" s="19"/>
      <c r="S332" s="20"/>
      <c r="U332" s="3" t="str">
        <f t="shared" si="14"/>
        <v/>
      </c>
      <c r="V332" s="4" t="str">
        <f t="shared" si="15"/>
        <v/>
      </c>
      <c r="W332" s="21" t="e" cm="1">
        <f t="array" ref="W332">_xlfn.IFS(
  A332="BELL", "WHITE",
  A332="GAMP", "ORANGE",
  A332="GAMM", "GREEN",
  A332="BWF", "YELLOW",
  OR(A332="TNBE", A332="TNBL", A332="TNBD", A332="TNWC", A332="TNBW", A332="THBS"), "PINK",
  A332="CRWD", "BLUE",
  A332="PASS", "WHITE"
)</f>
        <v>#N/A</v>
      </c>
    </row>
    <row r="333" spans="1:23" x14ac:dyDescent="0.25">
      <c r="A333" s="7"/>
      <c r="B333" s="7"/>
      <c r="I333" s="3"/>
      <c r="J333" s="17"/>
      <c r="K333" s="17"/>
      <c r="L333" s="18"/>
      <c r="M333" s="3"/>
      <c r="P333" s="3"/>
      <c r="Q333" s="4"/>
      <c r="R333" s="19"/>
      <c r="S333" s="20"/>
      <c r="U333" s="3" t="str">
        <f t="shared" si="14"/>
        <v/>
      </c>
      <c r="V333" s="4" t="str">
        <f t="shared" si="15"/>
        <v/>
      </c>
      <c r="W333" s="21" t="e" cm="1">
        <f t="array" ref="W333">_xlfn.IFS(
  A333="BELL", "WHITE",
  A333="GAMP", "ORANGE",
  A333="GAMM", "GREEN",
  A333="BWF", "YELLOW",
  OR(A333="TNBE", A333="TNBL", A333="TNBD", A333="TNWC", A333="TNBW", A333="THBS"), "PINK",
  A333="CRWD", "BLUE",
  A333="PASS", "WHITE"
)</f>
        <v>#N/A</v>
      </c>
    </row>
    <row r="334" spans="1:23" x14ac:dyDescent="0.25">
      <c r="A334" s="7"/>
      <c r="B334" s="7"/>
      <c r="I334" s="3"/>
      <c r="J334" s="17"/>
      <c r="K334" s="17"/>
      <c r="L334" s="18"/>
      <c r="M334" s="3"/>
      <c r="P334" s="3"/>
      <c r="Q334" s="4"/>
      <c r="R334" s="19"/>
      <c r="S334" s="20"/>
      <c r="U334" s="3" t="str">
        <f t="shared" si="14"/>
        <v/>
      </c>
      <c r="V334" s="4" t="str">
        <f t="shared" si="15"/>
        <v/>
      </c>
      <c r="W334" s="21" t="e" cm="1">
        <f t="array" ref="W334">_xlfn.IFS(
  A334="BELL", "WHITE",
  A334="GAMP", "ORANGE",
  A334="GAMM", "GREEN",
  A334="BWF", "YELLOW",
  OR(A334="TNBE", A334="TNBL", A334="TNBD", A334="TNWC", A334="TNBW", A334="THBS"), "PINK",
  A334="CRWD", "BLUE",
  A334="PASS", "WHITE"
)</f>
        <v>#N/A</v>
      </c>
    </row>
    <row r="335" spans="1:23" x14ac:dyDescent="0.25">
      <c r="A335" s="7"/>
      <c r="B335" s="7"/>
      <c r="I335" s="3"/>
      <c r="J335" s="17"/>
      <c r="K335" s="17"/>
      <c r="L335" s="18"/>
      <c r="M335" s="3"/>
      <c r="P335" s="3"/>
      <c r="Q335" s="4"/>
      <c r="R335" s="19"/>
      <c r="S335" s="20"/>
      <c r="U335" s="3" t="str">
        <f t="shared" si="14"/>
        <v/>
      </c>
      <c r="V335" s="4" t="str">
        <f t="shared" si="15"/>
        <v/>
      </c>
      <c r="W335" s="21" t="e" cm="1">
        <f t="array" ref="W335">_xlfn.IFS(
  A335="BELL", "WHITE",
  A335="GAMP", "ORANGE",
  A335="GAMM", "GREEN",
  A335="BWF", "YELLOW",
  OR(A335="TNBE", A335="TNBL", A335="TNBD", A335="TNWC", A335="TNBW", A335="THBS"), "PINK",
  A335="CRWD", "BLUE",
  A335="PASS", "WHITE"
)</f>
        <v>#N/A</v>
      </c>
    </row>
    <row r="336" spans="1:23" x14ac:dyDescent="0.25">
      <c r="A336" s="7"/>
      <c r="B336" s="7"/>
      <c r="I336" s="3"/>
      <c r="J336" s="17"/>
      <c r="K336" s="17"/>
      <c r="L336" s="18"/>
      <c r="M336" s="3"/>
      <c r="P336" s="3"/>
      <c r="Q336" s="4"/>
      <c r="R336" s="19"/>
      <c r="S336" s="20"/>
      <c r="U336" s="3" t="str">
        <f t="shared" si="14"/>
        <v/>
      </c>
      <c r="V336" s="4" t="str">
        <f t="shared" si="15"/>
        <v/>
      </c>
      <c r="W336" s="21" t="e" cm="1">
        <f t="array" ref="W336">_xlfn.IFS(
  A336="BELL", "WHITE",
  A336="GAMP", "ORANGE",
  A336="GAMM", "GREEN",
  A336="BWF", "YELLOW",
  OR(A336="TNBE", A336="TNBL", A336="TNBD", A336="TNWC", A336="TNBW", A336="THBS"), "PINK",
  A336="CRWD", "BLUE",
  A336="PASS", "WHITE"
)</f>
        <v>#N/A</v>
      </c>
    </row>
    <row r="337" spans="1:23" x14ac:dyDescent="0.25">
      <c r="A337" s="7"/>
      <c r="B337" s="7"/>
      <c r="I337" s="3"/>
      <c r="J337" s="17"/>
      <c r="K337" s="17"/>
      <c r="L337" s="18"/>
      <c r="M337" s="3"/>
      <c r="P337" s="3"/>
      <c r="Q337" s="4"/>
      <c r="R337" s="19"/>
      <c r="S337" s="20"/>
      <c r="U337" s="3" t="str">
        <f t="shared" si="14"/>
        <v/>
      </c>
      <c r="V337" s="4" t="str">
        <f t="shared" si="15"/>
        <v/>
      </c>
      <c r="W337" s="21" t="e" cm="1">
        <f t="array" ref="W337">_xlfn.IFS(
  A337="BELL", "WHITE",
  A337="GAMP", "ORANGE",
  A337="GAMM", "GREEN",
  A337="BWF", "YELLOW",
  OR(A337="TNBE", A337="TNBL", A337="TNBD", A337="TNWC", A337="TNBW", A337="THBS"), "PINK",
  A337="CRWD", "BLUE",
  A337="PASS", "WHITE"
)</f>
        <v>#N/A</v>
      </c>
    </row>
    <row r="338" spans="1:23" x14ac:dyDescent="0.25">
      <c r="A338" s="7"/>
      <c r="B338" s="7"/>
      <c r="I338" s="3"/>
      <c r="J338" s="17"/>
      <c r="K338" s="17"/>
      <c r="L338" s="18"/>
      <c r="M338" s="3"/>
      <c r="P338" s="3"/>
      <c r="Q338" s="4"/>
      <c r="R338" s="19"/>
      <c r="S338" s="20"/>
      <c r="U338" s="3" t="str">
        <f t="shared" si="14"/>
        <v/>
      </c>
      <c r="V338" s="4" t="str">
        <f t="shared" si="15"/>
        <v/>
      </c>
      <c r="W338" s="21" t="e" cm="1">
        <f t="array" ref="W338">_xlfn.IFS(
  A338="BELL", "WHITE",
  A338="GAMP", "ORANGE",
  A338="GAMM", "GREEN",
  A338="BWF", "YELLOW",
  OR(A338="TNBE", A338="TNBL", A338="TNBD", A338="TNWC", A338="TNBW", A338="THBS"), "PINK",
  A338="CRWD", "BLUE",
  A338="PASS", "WHITE"
)</f>
        <v>#N/A</v>
      </c>
    </row>
    <row r="339" spans="1:23" x14ac:dyDescent="0.25">
      <c r="A339" s="7"/>
      <c r="B339" s="7"/>
      <c r="I339" s="3"/>
      <c r="J339" s="17"/>
      <c r="K339" s="17"/>
      <c r="L339" s="18"/>
      <c r="M339" s="3"/>
      <c r="P339" s="3"/>
      <c r="Q339" s="4"/>
      <c r="R339" s="19"/>
      <c r="S339" s="20"/>
      <c r="U339" s="3" t="str">
        <f t="shared" si="14"/>
        <v/>
      </c>
      <c r="V339" s="4" t="str">
        <f t="shared" si="15"/>
        <v/>
      </c>
      <c r="W339" s="21" t="e" cm="1">
        <f t="array" ref="W339">_xlfn.IFS(
  A339="BELL", "WHITE",
  A339="GAMP", "ORANGE",
  A339="GAMM", "GREEN",
  A339="BWF", "YELLOW",
  OR(A339="TNBE", A339="TNBL", A339="TNBD", A339="TNWC", A339="TNBW", A339="THBS"), "PINK",
  A339="CRWD", "BLUE",
  A339="PASS", "WHITE"
)</f>
        <v>#N/A</v>
      </c>
    </row>
    <row r="340" spans="1:23" x14ac:dyDescent="0.25">
      <c r="A340" s="7"/>
      <c r="B340" s="7"/>
      <c r="I340" s="3"/>
      <c r="J340" s="17"/>
      <c r="K340" s="17"/>
      <c r="L340" s="18"/>
      <c r="M340" s="3"/>
      <c r="P340" s="3"/>
      <c r="Q340" s="4"/>
      <c r="R340" s="19"/>
      <c r="S340" s="20"/>
      <c r="U340" s="3" t="str">
        <f t="shared" si="14"/>
        <v/>
      </c>
      <c r="V340" s="4" t="str">
        <f t="shared" si="15"/>
        <v/>
      </c>
      <c r="W340" s="21" t="e" cm="1">
        <f t="array" ref="W340">_xlfn.IFS(
  A340="BELL", "WHITE",
  A340="GAMP", "ORANGE",
  A340="GAMM", "GREEN",
  A340="BWF", "YELLOW",
  OR(A340="TNBE", A340="TNBL", A340="TNBD", A340="TNWC", A340="TNBW", A340="THBS"), "PINK",
  A340="CRWD", "BLUE",
  A340="PASS", "WHITE"
)</f>
        <v>#N/A</v>
      </c>
    </row>
    <row r="341" spans="1:23" x14ac:dyDescent="0.25">
      <c r="A341" s="7"/>
      <c r="B341" s="7"/>
      <c r="I341" s="3"/>
      <c r="J341" s="17"/>
      <c r="K341" s="17"/>
      <c r="L341" s="18"/>
      <c r="M341" s="3"/>
      <c r="P341" s="3"/>
      <c r="Q341" s="4"/>
      <c r="R341" s="19"/>
      <c r="S341" s="20"/>
      <c r="U341" s="3" t="str">
        <f t="shared" si="14"/>
        <v/>
      </c>
      <c r="V341" s="4" t="str">
        <f t="shared" si="15"/>
        <v/>
      </c>
      <c r="W341" s="21" t="e" cm="1">
        <f t="array" ref="W341">_xlfn.IFS(
  A341="BELL", "WHITE",
  A341="GAMP", "ORANGE",
  A341="GAMM", "GREEN",
  A341="BWF", "YELLOW",
  OR(A341="TNBE", A341="TNBL", A341="TNBD", A341="TNWC", A341="TNBW", A341="THBS"), "PINK",
  A341="CRWD", "BLUE",
  A341="PASS", "WHITE"
)</f>
        <v>#N/A</v>
      </c>
    </row>
    <row r="342" spans="1:23" x14ac:dyDescent="0.25">
      <c r="A342" s="7"/>
      <c r="B342" s="7"/>
      <c r="I342" s="3"/>
      <c r="J342" s="17"/>
      <c r="K342" s="17"/>
      <c r="L342" s="18"/>
      <c r="M342" s="3"/>
      <c r="P342" s="3"/>
      <c r="Q342" s="4"/>
      <c r="R342" s="19"/>
      <c r="S342" s="20"/>
      <c r="U342" s="3" t="str">
        <f t="shared" si="14"/>
        <v/>
      </c>
      <c r="V342" s="4" t="str">
        <f t="shared" si="15"/>
        <v/>
      </c>
      <c r="W342" s="21" t="e" cm="1">
        <f t="array" ref="W342">_xlfn.IFS(
  A342="BELL", "WHITE",
  A342="GAMP", "ORANGE",
  A342="GAMM", "GREEN",
  A342="BWF", "YELLOW",
  OR(A342="TNBE", A342="TNBL", A342="TNBD", A342="TNWC", A342="TNBW", A342="THBS"), "PINK",
  A342="CRWD", "BLUE",
  A342="PASS", "WHITE"
)</f>
        <v>#N/A</v>
      </c>
    </row>
    <row r="343" spans="1:23" x14ac:dyDescent="0.25">
      <c r="A343" s="7"/>
      <c r="B343" s="7"/>
      <c r="I343" s="3"/>
      <c r="J343" s="17"/>
      <c r="K343" s="17"/>
      <c r="L343" s="18"/>
      <c r="M343" s="3"/>
      <c r="P343" s="3"/>
      <c r="Q343" s="4"/>
      <c r="R343" s="19"/>
      <c r="S343" s="20"/>
      <c r="U343" s="3" t="str">
        <f t="shared" si="14"/>
        <v/>
      </c>
      <c r="V343" s="4" t="str">
        <f t="shared" si="15"/>
        <v/>
      </c>
      <c r="W343" s="21" t="e" cm="1">
        <f t="array" ref="W343">_xlfn.IFS(
  A343="BELL", "WHITE",
  A343="GAMP", "ORANGE",
  A343="GAMM", "GREEN",
  A343="BWF", "YELLOW",
  OR(A343="TNBE", A343="TNBL", A343="TNBD", A343="TNWC", A343="TNBW", A343="THBS"), "PINK",
  A343="CRWD", "BLUE",
  A343="PASS", "WHITE"
)</f>
        <v>#N/A</v>
      </c>
    </row>
    <row r="344" spans="1:23" x14ac:dyDescent="0.25">
      <c r="A344" s="7"/>
      <c r="B344" s="7"/>
      <c r="I344" s="3"/>
      <c r="J344" s="17"/>
      <c r="K344" s="17"/>
      <c r="L344" s="18"/>
      <c r="M344" s="3"/>
      <c r="P344" s="3"/>
      <c r="Q344" s="4"/>
      <c r="R344" s="19"/>
      <c r="S344" s="20"/>
      <c r="U344" s="3" t="str">
        <f t="shared" si="14"/>
        <v/>
      </c>
      <c r="V344" s="4" t="str">
        <f t="shared" si="15"/>
        <v/>
      </c>
      <c r="W344" s="21" t="e" cm="1">
        <f t="array" ref="W344">_xlfn.IFS(
  A344="BELL", "WHITE",
  A344="GAMP", "ORANGE",
  A344="GAMM", "GREEN",
  A344="BWF", "YELLOW",
  OR(A344="TNBE", A344="TNBL", A344="TNBD", A344="TNWC", A344="TNBW", A344="THBS"), "PINK",
  A344="CRWD", "BLUE",
  A344="PASS", "WHITE"
)</f>
        <v>#N/A</v>
      </c>
    </row>
    <row r="345" spans="1:23" x14ac:dyDescent="0.25">
      <c r="A345" s="7"/>
      <c r="B345" s="7"/>
      <c r="I345" s="3"/>
      <c r="J345" s="17"/>
      <c r="K345" s="17"/>
      <c r="L345" s="18"/>
      <c r="M345" s="3"/>
      <c r="P345" s="3"/>
      <c r="Q345" s="4"/>
      <c r="R345" s="19"/>
      <c r="S345" s="20"/>
      <c r="U345" s="3" t="str">
        <f t="shared" si="14"/>
        <v/>
      </c>
      <c r="V345" s="4" t="str">
        <f t="shared" si="15"/>
        <v/>
      </c>
      <c r="W345" s="21" t="e" cm="1">
        <f t="array" ref="W345">_xlfn.IFS(
  A345="BELL", "WHITE",
  A345="GAMP", "ORANGE",
  A345="GAMM", "GREEN",
  A345="BWF", "YELLOW",
  OR(A345="TNBE", A345="TNBL", A345="TNBD", A345="TNWC", A345="TNBW", A345="THBS"), "PINK",
  A345="CRWD", "BLUE",
  A345="PASS", "WHITE"
)</f>
        <v>#N/A</v>
      </c>
    </row>
    <row r="346" spans="1:23" x14ac:dyDescent="0.25">
      <c r="A346" s="7"/>
      <c r="B346" s="7"/>
      <c r="I346" s="3"/>
      <c r="J346" s="17"/>
      <c r="K346" s="17"/>
      <c r="L346" s="18"/>
      <c r="M346" s="3"/>
      <c r="P346" s="3"/>
      <c r="Q346" s="4"/>
      <c r="R346" s="19"/>
      <c r="S346" s="20"/>
      <c r="U346" s="3" t="str">
        <f t="shared" si="14"/>
        <v/>
      </c>
      <c r="V346" s="4" t="str">
        <f t="shared" si="15"/>
        <v/>
      </c>
      <c r="W346" s="21" t="e" cm="1">
        <f t="array" ref="W346">_xlfn.IFS(
  A346="BELL", "WHITE",
  A346="GAMP", "ORANGE",
  A346="GAMM", "GREEN",
  A346="BWF", "YELLOW",
  OR(A346="TNBE", A346="TNBL", A346="TNBD", A346="TNWC", A346="TNBW", A346="THBS"), "PINK",
  A346="CRWD", "BLUE",
  A346="PASS", "WHITE"
)</f>
        <v>#N/A</v>
      </c>
    </row>
    <row r="347" spans="1:23" x14ac:dyDescent="0.25">
      <c r="A347" s="7"/>
      <c r="B347" s="7"/>
      <c r="I347" s="3"/>
      <c r="J347" s="17"/>
      <c r="K347" s="17"/>
      <c r="L347" s="18"/>
      <c r="M347" s="3"/>
      <c r="P347" s="3"/>
      <c r="Q347" s="4"/>
      <c r="R347" s="19"/>
      <c r="S347" s="20"/>
      <c r="U347" s="3" t="str">
        <f t="shared" si="14"/>
        <v/>
      </c>
      <c r="V347" s="4" t="str">
        <f t="shared" si="15"/>
        <v/>
      </c>
      <c r="W347" s="21" t="e" cm="1">
        <f t="array" ref="W347">_xlfn.IFS(
  A347="BELL", "WHITE",
  A347="GAMP", "ORANGE",
  A347="GAMM", "GREEN",
  A347="BWF", "YELLOW",
  OR(A347="TNBE", A347="TNBL", A347="TNBD", A347="TNWC", A347="TNBW", A347="THBS"), "PINK",
  A347="CRWD", "BLUE",
  A347="PASS", "WHITE"
)</f>
        <v>#N/A</v>
      </c>
    </row>
    <row r="348" spans="1:23" x14ac:dyDescent="0.25">
      <c r="A348" s="7"/>
      <c r="B348" s="7"/>
      <c r="I348" s="3"/>
      <c r="J348" s="17"/>
      <c r="K348" s="17"/>
      <c r="L348" s="18"/>
      <c r="M348" s="3"/>
      <c r="P348" s="3"/>
      <c r="Q348" s="4"/>
      <c r="R348" s="19"/>
      <c r="S348" s="20"/>
      <c r="U348" s="3" t="str">
        <f t="shared" si="14"/>
        <v/>
      </c>
      <c r="V348" s="4" t="str">
        <f t="shared" si="15"/>
        <v/>
      </c>
      <c r="W348" s="21" t="e" cm="1">
        <f t="array" ref="W348">_xlfn.IFS(
  A348="BELL", "WHITE",
  A348="GAMP", "ORANGE",
  A348="GAMM", "GREEN",
  A348="BWF", "YELLOW",
  OR(A348="TNBE", A348="TNBL", A348="TNBD", A348="TNWC", A348="TNBW", A348="THBS"), "PINK",
  A348="CRWD", "BLUE",
  A348="PASS", "WHITE"
)</f>
        <v>#N/A</v>
      </c>
    </row>
    <row r="349" spans="1:23" x14ac:dyDescent="0.25">
      <c r="A349" s="7"/>
      <c r="B349" s="7"/>
      <c r="I349" s="3"/>
      <c r="J349" s="17"/>
      <c r="K349" s="17"/>
      <c r="L349" s="18"/>
      <c r="M349" s="3"/>
      <c r="P349" s="3"/>
      <c r="Q349" s="4"/>
      <c r="R349" s="19"/>
      <c r="S349" s="20"/>
      <c r="U349" s="3" t="str">
        <f t="shared" si="14"/>
        <v/>
      </c>
      <c r="V349" s="4" t="str">
        <f t="shared" si="15"/>
        <v/>
      </c>
      <c r="W349" s="21" t="e" cm="1">
        <f t="array" ref="W349">_xlfn.IFS(
  A349="BELL", "WHITE",
  A349="GAMP", "ORANGE",
  A349="GAMM", "GREEN",
  A349="BWF", "YELLOW",
  OR(A349="TNBE", A349="TNBL", A349="TNBD", A349="TNWC", A349="TNBW", A349="THBS"), "PINK",
  A349="CRWD", "BLUE",
  A349="PASS", "WHITE"
)</f>
        <v>#N/A</v>
      </c>
    </row>
    <row r="350" spans="1:23" x14ac:dyDescent="0.25">
      <c r="A350" s="7"/>
      <c r="B350" s="7"/>
      <c r="I350" s="3"/>
      <c r="J350" s="17"/>
      <c r="K350" s="17"/>
      <c r="L350" s="18"/>
      <c r="M350" s="3"/>
      <c r="P350" s="3"/>
      <c r="Q350" s="4"/>
      <c r="R350" s="19"/>
      <c r="S350" s="20"/>
      <c r="U350" s="3" t="str">
        <f t="shared" si="14"/>
        <v/>
      </c>
      <c r="V350" s="4" t="str">
        <f t="shared" si="15"/>
        <v/>
      </c>
      <c r="W350" s="21" t="e" cm="1">
        <f t="array" ref="W350">_xlfn.IFS(
  A350="BELL", "WHITE",
  A350="GAMP", "ORANGE",
  A350="GAMM", "GREEN",
  A350="BWF", "YELLOW",
  OR(A350="TNBE", A350="TNBL", A350="TNBD", A350="TNWC", A350="TNBW", A350="THBS"), "PINK",
  A350="CRWD", "BLUE",
  A350="PASS", "WHITE"
)</f>
        <v>#N/A</v>
      </c>
    </row>
    <row r="351" spans="1:23" x14ac:dyDescent="0.25">
      <c r="A351" s="7"/>
      <c r="B351" s="7"/>
      <c r="I351" s="3"/>
      <c r="J351" s="17"/>
      <c r="K351" s="17"/>
      <c r="L351" s="18"/>
      <c r="M351" s="3"/>
      <c r="P351" s="3"/>
      <c r="Q351" s="4"/>
      <c r="R351" s="19"/>
      <c r="S351" s="20"/>
      <c r="U351" s="3" t="str">
        <f t="shared" si="14"/>
        <v/>
      </c>
      <c r="V351" s="4" t="str">
        <f t="shared" si="15"/>
        <v/>
      </c>
      <c r="W351" s="21" t="e" cm="1">
        <f t="array" ref="W351">_xlfn.IFS(
  A351="BELL", "WHITE",
  A351="GAMP", "ORANGE",
  A351="GAMM", "GREEN",
  A351="BWF", "YELLOW",
  OR(A351="TNBE", A351="TNBL", A351="TNBD", A351="TNWC", A351="TNBW", A351="THBS"), "PINK",
  A351="CRWD", "BLUE",
  A351="PASS", "WHITE"
)</f>
        <v>#N/A</v>
      </c>
    </row>
    <row r="352" spans="1:23" x14ac:dyDescent="0.25">
      <c r="A352" s="7"/>
      <c r="B352" s="7"/>
      <c r="I352" s="3"/>
      <c r="J352" s="17"/>
      <c r="K352" s="17"/>
      <c r="L352" s="18"/>
      <c r="M352" s="3"/>
      <c r="P352" s="3"/>
      <c r="Q352" s="4"/>
      <c r="R352" s="19"/>
      <c r="S352" s="20"/>
      <c r="U352" s="3" t="str">
        <f t="shared" si="14"/>
        <v/>
      </c>
      <c r="V352" s="4" t="str">
        <f t="shared" si="15"/>
        <v/>
      </c>
      <c r="W352" s="21" t="e" cm="1">
        <f t="array" ref="W352">_xlfn.IFS(
  A352="BELL", "WHITE",
  A352="GAMP", "ORANGE",
  A352="GAMM", "GREEN",
  A352="BWF", "YELLOW",
  OR(A352="TNBE", A352="TNBL", A352="TNBD", A352="TNWC", A352="TNBW", A352="THBS"), "PINK",
  A352="CRWD", "BLUE",
  A352="PASS", "WHITE"
)</f>
        <v>#N/A</v>
      </c>
    </row>
    <row r="353" spans="1:23" x14ac:dyDescent="0.25">
      <c r="A353" s="7"/>
      <c r="B353" s="7"/>
      <c r="I353" s="3"/>
      <c r="J353" s="17"/>
      <c r="K353" s="17"/>
      <c r="L353" s="18"/>
      <c r="M353" s="3"/>
      <c r="P353" s="3"/>
      <c r="Q353" s="4"/>
      <c r="R353" s="19"/>
      <c r="S353" s="20"/>
      <c r="U353" s="3" t="str">
        <f t="shared" si="14"/>
        <v/>
      </c>
      <c r="V353" s="4" t="str">
        <f t="shared" si="15"/>
        <v/>
      </c>
      <c r="W353" s="21" t="e" cm="1">
        <f t="array" ref="W353">_xlfn.IFS(
  A353="BELL", "WHITE",
  A353="GAMP", "ORANGE",
  A353="GAMM", "GREEN",
  A353="BWF", "YELLOW",
  OR(A353="TNBE", A353="TNBL", A353="TNBD", A353="TNWC", A353="TNBW", A353="THBS"), "PINK",
  A353="CRWD", "BLUE",
  A353="PASS", "WHITE"
)</f>
        <v>#N/A</v>
      </c>
    </row>
    <row r="354" spans="1:23" x14ac:dyDescent="0.25">
      <c r="A354" s="7"/>
      <c r="B354" s="7"/>
      <c r="I354" s="3"/>
      <c r="J354" s="17"/>
      <c r="K354" s="17"/>
      <c r="L354" s="18"/>
      <c r="M354" s="3"/>
      <c r="P354" s="3"/>
      <c r="Q354" s="4"/>
      <c r="R354" s="19"/>
      <c r="S354" s="20"/>
      <c r="U354" s="3" t="str">
        <f t="shared" si="14"/>
        <v/>
      </c>
      <c r="V354" s="4" t="str">
        <f t="shared" si="15"/>
        <v/>
      </c>
      <c r="W354" s="21" t="e" cm="1">
        <f t="array" ref="W354">_xlfn.IFS(
  A354="BELL", "WHITE",
  A354="GAMP", "ORANGE",
  A354="GAMM", "GREEN",
  A354="BWF", "YELLOW",
  OR(A354="TNBE", A354="TNBL", A354="TNBD", A354="TNWC", A354="TNBW", A354="THBS"), "PINK",
  A354="CRWD", "BLUE",
  A354="PASS", "WHITE"
)</f>
        <v>#N/A</v>
      </c>
    </row>
    <row r="355" spans="1:23" x14ac:dyDescent="0.25">
      <c r="A355" s="7"/>
      <c r="B355" s="7"/>
      <c r="I355" s="3"/>
      <c r="J355" s="17"/>
      <c r="K355" s="17"/>
      <c r="L355" s="18"/>
      <c r="M355" s="3"/>
      <c r="P355" s="3"/>
      <c r="Q355" s="4"/>
      <c r="R355" s="19"/>
      <c r="S355" s="20"/>
      <c r="U355" s="3" t="str">
        <f t="shared" si="14"/>
        <v/>
      </c>
      <c r="V355" s="4" t="str">
        <f t="shared" si="15"/>
        <v/>
      </c>
      <c r="W355" s="21" t="e" cm="1">
        <f t="array" ref="W355">_xlfn.IFS(
  A355="BELL", "WHITE",
  A355="GAMP", "ORANGE",
  A355="GAMM", "GREEN",
  A355="BWF", "YELLOW",
  OR(A355="TNBE", A355="TNBL", A355="TNBD", A355="TNWC", A355="TNBW", A355="THBS"), "PINK",
  A355="CRWD", "BLUE",
  A355="PASS", "WHITE"
)</f>
        <v>#N/A</v>
      </c>
    </row>
    <row r="356" spans="1:23" x14ac:dyDescent="0.25">
      <c r="A356" s="7"/>
      <c r="B356" s="7"/>
      <c r="I356" s="3"/>
      <c r="J356" s="17"/>
      <c r="K356" s="17"/>
      <c r="L356" s="18"/>
      <c r="M356" s="3"/>
      <c r="P356" s="3"/>
      <c r="Q356" s="4"/>
      <c r="R356" s="19"/>
      <c r="S356" s="20"/>
      <c r="U356" s="3" t="str">
        <f t="shared" si="14"/>
        <v/>
      </c>
      <c r="V356" s="4" t="str">
        <f t="shared" si="15"/>
        <v/>
      </c>
      <c r="W356" s="21" t="e" cm="1">
        <f t="array" ref="W356">_xlfn.IFS(
  A356="BELL", "WHITE",
  A356="GAMP", "ORANGE",
  A356="GAMM", "GREEN",
  A356="BWF", "YELLOW",
  OR(A356="TNBE", A356="TNBL", A356="TNBD", A356="TNWC", A356="TNBW", A356="THBS"), "PINK",
  A356="CRWD", "BLUE",
  A356="PASS", "WHITE"
)</f>
        <v>#N/A</v>
      </c>
    </row>
    <row r="357" spans="1:23" x14ac:dyDescent="0.25">
      <c r="A357" s="7"/>
      <c r="B357" s="7"/>
      <c r="I357" s="3"/>
      <c r="J357" s="17"/>
      <c r="K357" s="17"/>
      <c r="L357" s="18"/>
      <c r="M357" s="3"/>
      <c r="P357" s="3"/>
      <c r="Q357" s="4"/>
      <c r="R357" s="19"/>
      <c r="S357" s="20"/>
      <c r="U357" s="3" t="str">
        <f t="shared" si="14"/>
        <v/>
      </c>
      <c r="V357" s="4" t="str">
        <f t="shared" si="15"/>
        <v/>
      </c>
      <c r="W357" s="21" t="e" cm="1">
        <f t="array" ref="W357">_xlfn.IFS(
  A357="BELL", "WHITE",
  A357="GAMP", "ORANGE",
  A357="GAMM", "GREEN",
  A357="BWF", "YELLOW",
  OR(A357="TNBE", A357="TNBL", A357="TNBD", A357="TNWC", A357="TNBW", A357="THBS"), "PINK",
  A357="CRWD", "BLUE",
  A357="PASS", "WHITE"
)</f>
        <v>#N/A</v>
      </c>
    </row>
    <row r="358" spans="1:23" x14ac:dyDescent="0.25">
      <c r="A358" s="7"/>
      <c r="B358" s="7"/>
      <c r="I358" s="3"/>
      <c r="J358" s="17"/>
      <c r="K358" s="17"/>
      <c r="L358" s="18"/>
      <c r="M358" s="3"/>
      <c r="P358" s="3"/>
      <c r="Q358" s="4"/>
      <c r="R358" s="19"/>
      <c r="S358" s="20"/>
      <c r="U358" s="3" t="str">
        <f t="shared" si="14"/>
        <v/>
      </c>
      <c r="V358" s="4" t="str">
        <f t="shared" si="15"/>
        <v/>
      </c>
      <c r="W358" s="21" t="e" cm="1">
        <f t="array" ref="W358">_xlfn.IFS(
  A358="BELL", "WHITE",
  A358="GAMP", "ORANGE",
  A358="GAMM", "GREEN",
  A358="BWF", "YELLOW",
  OR(A358="TNBE", A358="TNBL", A358="TNBD", A358="TNWC", A358="TNBW", A358="THBS"), "PINK",
  A358="CRWD", "BLUE",
  A358="PASS", "WHITE"
)</f>
        <v>#N/A</v>
      </c>
    </row>
    <row r="359" spans="1:23" x14ac:dyDescent="0.25">
      <c r="A359" s="7"/>
      <c r="B359" s="7"/>
      <c r="I359" s="3"/>
      <c r="J359" s="17"/>
      <c r="K359" s="17"/>
      <c r="L359" s="18"/>
      <c r="M359" s="18"/>
      <c r="P359" s="3"/>
      <c r="Q359" s="4"/>
      <c r="R359" s="19"/>
      <c r="S359" s="20"/>
      <c r="U359" s="3" t="str">
        <f t="shared" si="14"/>
        <v/>
      </c>
      <c r="V359" s="4" t="str">
        <f t="shared" si="15"/>
        <v/>
      </c>
      <c r="W359" s="21" t="e" cm="1">
        <f t="array" ref="W359">_xlfn.IFS(
  A359="BELL", "WHITE",
  A359="GAMP", "ORANGE",
  A359="GAMM", "GREEN",
  A359="BWF", "YELLOW",
  OR(A359="TNBE", A359="TNBL", A359="TNBD", A359="TNWC", A359="TNBW", A359="THBS"), "PINK",
  A359="CRWD", "BLUE",
  A359="PASS", "WHITE"
)</f>
        <v>#N/A</v>
      </c>
    </row>
    <row r="360" spans="1:23" x14ac:dyDescent="0.25">
      <c r="A360" s="7"/>
      <c r="B360" s="7"/>
      <c r="I360" s="3"/>
      <c r="J360" s="17"/>
      <c r="K360" s="17"/>
      <c r="L360" s="18"/>
      <c r="M360" s="3"/>
      <c r="P360" s="3"/>
      <c r="Q360" s="4"/>
      <c r="R360" s="19"/>
      <c r="S360" s="20"/>
      <c r="U360" s="3" t="str">
        <f t="shared" si="14"/>
        <v/>
      </c>
      <c r="V360" s="4" t="str">
        <f t="shared" si="15"/>
        <v/>
      </c>
      <c r="W360" s="21" t="e" cm="1">
        <f t="array" ref="W360">_xlfn.IFS(
  A360="BELL", "WHITE",
  A360="GAMP", "ORANGE",
  A360="GAMM", "GREEN",
  A360="BWF", "YELLOW",
  OR(A360="TNBE", A360="TNBL", A360="TNBD", A360="TNWC", A360="TNBW", A360="THBS"), "PINK",
  A360="CRWD", "BLUE",
  A360="PASS", "WHITE"
)</f>
        <v>#N/A</v>
      </c>
    </row>
    <row r="361" spans="1:23" x14ac:dyDescent="0.25">
      <c r="A361" s="7"/>
      <c r="B361" s="7"/>
      <c r="I361" s="3"/>
      <c r="J361" s="17"/>
      <c r="K361" s="17"/>
      <c r="L361" s="18"/>
      <c r="M361" s="3"/>
      <c r="P361" s="3"/>
      <c r="Q361" s="4"/>
      <c r="R361" s="19"/>
      <c r="S361" s="20"/>
      <c r="U361" s="3" t="str">
        <f t="shared" si="14"/>
        <v/>
      </c>
      <c r="V361" s="4" t="str">
        <f t="shared" si="15"/>
        <v/>
      </c>
      <c r="W361" s="21" t="e" cm="1">
        <f t="array" ref="W361">_xlfn.IFS(
  A361="BELL", "WHITE",
  A361="GAMP", "ORANGE",
  A361="GAMM", "GREEN",
  A361="BWF", "YELLOW",
  OR(A361="TNBE", A361="TNBL", A361="TNBD", A361="TNWC", A361="TNBW", A361="THBS"), "PINK",
  A361="CRWD", "BLUE",
  A361="PASS", "WHITE"
)</f>
        <v>#N/A</v>
      </c>
    </row>
    <row r="362" spans="1:23" x14ac:dyDescent="0.25">
      <c r="A362" s="7"/>
      <c r="B362" s="7"/>
      <c r="I362" s="3"/>
      <c r="J362" s="17"/>
      <c r="K362" s="17"/>
      <c r="L362" s="18"/>
      <c r="M362" s="3"/>
      <c r="P362" s="3"/>
      <c r="Q362" s="4"/>
      <c r="R362" s="19"/>
      <c r="S362" s="20"/>
      <c r="U362" s="3" t="str">
        <f t="shared" si="14"/>
        <v/>
      </c>
      <c r="V362" s="4" t="str">
        <f t="shared" si="15"/>
        <v/>
      </c>
      <c r="W362" s="21" t="e" cm="1">
        <f t="array" ref="W362">_xlfn.IFS(
  A362="BELL", "WHITE",
  A362="GAMP", "ORANGE",
  A362="GAMM", "GREEN",
  A362="BWF", "YELLOW",
  OR(A362="TNBE", A362="TNBL", A362="TNBD", A362="TNWC", A362="TNBW", A362="THBS"), "PINK",
  A362="CRWD", "BLUE",
  A362="PASS", "WHITE"
)</f>
        <v>#N/A</v>
      </c>
    </row>
    <row r="363" spans="1:23" x14ac:dyDescent="0.25">
      <c r="A363" s="7"/>
      <c r="B363" s="7"/>
      <c r="I363" s="3"/>
      <c r="J363" s="17"/>
      <c r="K363" s="17"/>
      <c r="L363" s="18"/>
      <c r="M363" s="3"/>
      <c r="P363" s="3"/>
      <c r="Q363" s="4"/>
      <c r="R363" s="19"/>
      <c r="S363" s="20"/>
      <c r="U363" s="3" t="str">
        <f t="shared" si="14"/>
        <v/>
      </c>
      <c r="V363" s="4" t="str">
        <f t="shared" si="15"/>
        <v/>
      </c>
      <c r="W363" s="21" t="e" cm="1">
        <f t="array" ref="W363">_xlfn.IFS(
  A363="BELL", "WHITE",
  A363="GAMP", "ORANGE",
  A363="GAMM", "GREEN",
  A363="BWF", "YELLOW",
  OR(A363="TNBE", A363="TNBL", A363="TNBD", A363="TNWC", A363="TNBW", A363="THBS"), "PINK",
  A363="CRWD", "BLUE",
  A363="PASS", "WHITE"
)</f>
        <v>#N/A</v>
      </c>
    </row>
    <row r="364" spans="1:23" x14ac:dyDescent="0.25">
      <c r="A364" s="7"/>
      <c r="B364" s="7"/>
      <c r="I364" s="3"/>
      <c r="J364" s="17"/>
      <c r="K364" s="17"/>
      <c r="L364" s="18"/>
      <c r="M364" s="3"/>
      <c r="P364" s="3"/>
      <c r="Q364" s="4"/>
      <c r="R364" s="19"/>
      <c r="S364" s="20"/>
      <c r="U364" s="3" t="str">
        <f t="shared" si="14"/>
        <v/>
      </c>
      <c r="V364" s="4" t="str">
        <f t="shared" si="15"/>
        <v/>
      </c>
      <c r="W364" s="21" t="e" cm="1">
        <f t="array" ref="W364">_xlfn.IFS(
  A364="BELL", "WHITE",
  A364="GAMP", "ORANGE",
  A364="GAMM", "GREEN",
  A364="BWF", "YELLOW",
  OR(A364="TNBE", A364="TNBL", A364="TNBD", A364="TNWC", A364="TNBW", A364="THBS"), "PINK",
  A364="CRWD", "BLUE",
  A364="PASS", "WHITE"
)</f>
        <v>#N/A</v>
      </c>
    </row>
    <row r="365" spans="1:23" x14ac:dyDescent="0.25">
      <c r="A365" s="7"/>
      <c r="B365" s="7"/>
      <c r="I365" s="3"/>
      <c r="J365" s="17"/>
      <c r="K365" s="17"/>
      <c r="L365" s="18"/>
      <c r="M365" s="3"/>
      <c r="P365" s="3"/>
      <c r="Q365" s="4"/>
      <c r="R365" s="19"/>
      <c r="S365" s="20"/>
      <c r="U365" s="3" t="str">
        <f t="shared" si="14"/>
        <v/>
      </c>
      <c r="V365" s="4" t="str">
        <f t="shared" si="15"/>
        <v/>
      </c>
      <c r="W365" s="21" t="e" cm="1">
        <f t="array" ref="W365">_xlfn.IFS(
  A365="BELL", "WHITE",
  A365="GAMP", "ORANGE",
  A365="GAMM", "GREEN",
  A365="BWF", "YELLOW",
  OR(A365="TNBE", A365="TNBL", A365="TNBD", A365="TNWC", A365="TNBW", A365="THBS"), "PINK",
  A365="CRWD", "BLUE",
  A365="PASS", "WHITE"
)</f>
        <v>#N/A</v>
      </c>
    </row>
    <row r="366" spans="1:23" x14ac:dyDescent="0.25">
      <c r="A366" s="7"/>
      <c r="B366" s="7"/>
      <c r="I366" s="3"/>
      <c r="J366" s="17"/>
      <c r="K366" s="17"/>
      <c r="L366" s="18"/>
      <c r="M366" s="3"/>
      <c r="P366" s="3"/>
      <c r="Q366" s="4"/>
      <c r="R366" s="19"/>
      <c r="S366" s="20"/>
      <c r="U366" s="3" t="str">
        <f t="shared" si="14"/>
        <v/>
      </c>
      <c r="V366" s="4" t="str">
        <f t="shared" si="15"/>
        <v/>
      </c>
      <c r="W366" s="21" t="e" cm="1">
        <f t="array" ref="W366">_xlfn.IFS(
  A366="BELL", "WHITE",
  A366="GAMP", "ORANGE",
  A366="GAMM", "GREEN",
  A366="BWF", "YELLOW",
  OR(A366="TNBE", A366="TNBL", A366="TNBD", A366="TNWC", A366="TNBW", A366="THBS"), "PINK",
  A366="CRWD", "BLUE",
  A366="PASS", "WHITE"
)</f>
        <v>#N/A</v>
      </c>
    </row>
    <row r="367" spans="1:23" x14ac:dyDescent="0.25">
      <c r="A367" s="7"/>
      <c r="B367" s="7"/>
      <c r="I367" s="3"/>
      <c r="J367" s="17"/>
      <c r="K367" s="17"/>
      <c r="L367" s="18"/>
      <c r="M367" s="3"/>
      <c r="P367" s="3"/>
      <c r="Q367" s="4"/>
      <c r="R367" s="19"/>
      <c r="S367" s="20"/>
      <c r="U367" s="3" t="str">
        <f t="shared" si="14"/>
        <v/>
      </c>
      <c r="V367" s="4" t="str">
        <f t="shared" si="15"/>
        <v/>
      </c>
      <c r="W367" s="21" t="e" cm="1">
        <f t="array" ref="W367">_xlfn.IFS(
  A367="BELL", "WHITE",
  A367="GAMP", "ORANGE",
  A367="GAMM", "GREEN",
  A367="BWF", "YELLOW",
  OR(A367="TNBE", A367="TNBL", A367="TNBD", A367="TNWC", A367="TNBW", A367="THBS"), "PINK",
  A367="CRWD", "BLUE",
  A367="PASS", "WHITE"
)</f>
        <v>#N/A</v>
      </c>
    </row>
    <row r="368" spans="1:23" x14ac:dyDescent="0.25">
      <c r="A368" s="7"/>
      <c r="B368" s="7"/>
      <c r="I368" s="3"/>
      <c r="J368" s="17"/>
      <c r="K368" s="17"/>
      <c r="L368" s="18"/>
      <c r="M368" s="3"/>
      <c r="P368" s="3"/>
      <c r="Q368" s="4"/>
      <c r="R368" s="19"/>
      <c r="S368" s="20"/>
      <c r="U368" s="3" t="str">
        <f t="shared" si="14"/>
        <v/>
      </c>
      <c r="V368" s="4" t="str">
        <f t="shared" si="15"/>
        <v/>
      </c>
      <c r="W368" s="21" t="e" cm="1">
        <f t="array" ref="W368">_xlfn.IFS(
  A368="BELL", "WHITE",
  A368="GAMP", "ORANGE",
  A368="GAMM", "GREEN",
  A368="BWF", "YELLOW",
  OR(A368="TNBE", A368="TNBL", A368="TNBD", A368="TNWC", A368="TNBW", A368="THBS"), "PINK",
  A368="CRWD", "BLUE",
  A368="PASS", "WHITE"
)</f>
        <v>#N/A</v>
      </c>
    </row>
    <row r="369" spans="1:23" x14ac:dyDescent="0.25">
      <c r="A369" s="7"/>
      <c r="B369" s="7"/>
      <c r="I369" s="3"/>
      <c r="J369" s="17"/>
      <c r="K369" s="17"/>
      <c r="L369" s="18"/>
      <c r="M369" s="3"/>
      <c r="P369" s="3"/>
      <c r="Q369" s="4"/>
      <c r="R369" s="19"/>
      <c r="S369" s="20"/>
      <c r="U369" s="3" t="str">
        <f t="shared" si="14"/>
        <v/>
      </c>
      <c r="V369" s="4" t="str">
        <f t="shared" si="15"/>
        <v/>
      </c>
      <c r="W369" s="21" t="e" cm="1">
        <f t="array" ref="W369">_xlfn.IFS(
  A369="BELL", "WHITE",
  A369="GAMP", "ORANGE",
  A369="GAMM", "GREEN",
  A369="BWF", "YELLOW",
  OR(A369="TNBE", A369="TNBL", A369="TNBD", A369="TNWC", A369="TNBW", A369="THBS"), "PINK",
  A369="CRWD", "BLUE",
  A369="PASS", "WHITE"
)</f>
        <v>#N/A</v>
      </c>
    </row>
    <row r="370" spans="1:23" x14ac:dyDescent="0.25">
      <c r="A370" s="7"/>
      <c r="B370" s="7"/>
      <c r="I370" s="3"/>
      <c r="J370" s="17"/>
      <c r="K370" s="17"/>
      <c r="L370" s="18"/>
      <c r="M370" s="3"/>
      <c r="P370" s="3"/>
      <c r="Q370" s="4"/>
      <c r="R370" s="19"/>
      <c r="S370" s="20"/>
      <c r="U370" s="3" t="str">
        <f t="shared" si="14"/>
        <v/>
      </c>
      <c r="V370" s="4" t="str">
        <f t="shared" si="15"/>
        <v/>
      </c>
      <c r="W370" s="21" t="e" cm="1">
        <f t="array" ref="W370">_xlfn.IFS(
  A370="BELL", "WHITE",
  A370="GAMP", "ORANGE",
  A370="GAMM", "GREEN",
  A370="BWF", "YELLOW",
  OR(A370="TNBE", A370="TNBL", A370="TNBD", A370="TNWC", A370="TNBW", A370="THBS"), "PINK",
  A370="CRWD", "BLUE",
  A370="PASS", "WHITE"
)</f>
        <v>#N/A</v>
      </c>
    </row>
    <row r="371" spans="1:23" x14ac:dyDescent="0.25">
      <c r="A371" s="7"/>
      <c r="B371" s="7"/>
      <c r="I371" s="3"/>
      <c r="J371" s="17"/>
      <c r="K371" s="17"/>
      <c r="L371" s="18"/>
      <c r="M371" s="3"/>
      <c r="P371" s="3"/>
      <c r="Q371" s="4"/>
      <c r="R371" s="19"/>
      <c r="S371" s="20"/>
      <c r="U371" s="3" t="str">
        <f t="shared" si="14"/>
        <v/>
      </c>
      <c r="V371" s="4" t="str">
        <f t="shared" si="15"/>
        <v/>
      </c>
      <c r="W371" s="21" t="e" cm="1">
        <f t="array" ref="W371">_xlfn.IFS(
  A371="BELL", "WHITE",
  A371="GAMP", "ORANGE",
  A371="GAMM", "GREEN",
  A371="BWF", "YELLOW",
  OR(A371="TNBE", A371="TNBL", A371="TNBD", A371="TNWC", A371="TNBW", A371="THBS"), "PINK",
  A371="CRWD", "BLUE",
  A371="PASS", "WHITE"
)</f>
        <v>#N/A</v>
      </c>
    </row>
    <row r="372" spans="1:23" x14ac:dyDescent="0.25">
      <c r="A372" s="7"/>
      <c r="B372" s="7"/>
      <c r="I372" s="3"/>
      <c r="J372" s="17"/>
      <c r="K372" s="17"/>
      <c r="L372" s="18"/>
      <c r="M372" s="3"/>
      <c r="P372" s="3"/>
      <c r="Q372" s="4"/>
      <c r="R372" s="19"/>
      <c r="S372" s="20"/>
      <c r="U372" s="3" t="str">
        <f t="shared" si="14"/>
        <v/>
      </c>
      <c r="V372" s="4" t="str">
        <f t="shared" si="15"/>
        <v/>
      </c>
      <c r="W372" s="21" t="e" cm="1">
        <f t="array" ref="W372">_xlfn.IFS(
  A372="BELL", "WHITE",
  A372="GAMP", "ORANGE",
  A372="GAMM", "GREEN",
  A372="BWF", "YELLOW",
  OR(A372="TNBE", A372="TNBL", A372="TNBD", A372="TNWC", A372="TNBW", A372="THBS"), "PINK",
  A372="CRWD", "BLUE",
  A372="PASS", "WHITE"
)</f>
        <v>#N/A</v>
      </c>
    </row>
    <row r="373" spans="1:23" x14ac:dyDescent="0.25">
      <c r="A373" s="7"/>
      <c r="B373" s="7"/>
      <c r="I373" s="3"/>
      <c r="J373" s="17"/>
      <c r="K373" s="17"/>
      <c r="L373" s="18"/>
      <c r="M373" s="3"/>
      <c r="P373" s="3"/>
      <c r="Q373" s="4"/>
      <c r="R373" s="19"/>
      <c r="S373" s="20"/>
      <c r="U373" s="3" t="str">
        <f t="shared" si="14"/>
        <v/>
      </c>
      <c r="V373" s="4" t="str">
        <f t="shared" si="15"/>
        <v/>
      </c>
      <c r="W373" s="21" t="e" cm="1">
        <f t="array" ref="W373">_xlfn.IFS(
  A373="BELL", "WHITE",
  A373="GAMP", "ORANGE",
  A373="GAMM", "GREEN",
  A373="BWF", "YELLOW",
  OR(A373="TNBE", A373="TNBL", A373="TNBD", A373="TNWC", A373="TNBW", A373="THBS"), "PINK",
  A373="CRWD", "BLUE",
  A373="PASS", "WHITE"
)</f>
        <v>#N/A</v>
      </c>
    </row>
    <row r="374" spans="1:23" x14ac:dyDescent="0.25">
      <c r="A374" s="7"/>
      <c r="B374" s="7"/>
      <c r="I374" s="3"/>
      <c r="J374" s="17"/>
      <c r="K374" s="17"/>
      <c r="L374" s="18"/>
      <c r="M374" s="3"/>
      <c r="P374" s="3"/>
      <c r="Q374" s="4"/>
      <c r="R374" s="19"/>
      <c r="S374" s="20"/>
      <c r="U374" s="3" t="str">
        <f t="shared" si="14"/>
        <v/>
      </c>
      <c r="V374" s="4" t="str">
        <f t="shared" si="15"/>
        <v/>
      </c>
      <c r="W374" s="21" t="e" cm="1">
        <f t="array" ref="W374">_xlfn.IFS(
  A374="BELL", "WHITE",
  A374="GAMP", "ORANGE",
  A374="GAMM", "GREEN",
  A374="BWF", "YELLOW",
  OR(A374="TNBE", A374="TNBL", A374="TNBD", A374="TNWC", A374="TNBW", A374="THBS"), "PINK",
  A374="CRWD", "BLUE",
  A374="PASS", "WHITE"
)</f>
        <v>#N/A</v>
      </c>
    </row>
    <row r="375" spans="1:23" x14ac:dyDescent="0.25">
      <c r="A375" s="7"/>
      <c r="B375" s="7"/>
      <c r="I375" s="3"/>
      <c r="J375" s="17"/>
      <c r="K375" s="17"/>
      <c r="L375" s="18"/>
      <c r="M375" s="3"/>
      <c r="P375" s="3"/>
      <c r="Q375" s="4"/>
      <c r="R375" s="19"/>
      <c r="S375" s="20"/>
      <c r="U375" s="3" t="str">
        <f t="shared" si="14"/>
        <v/>
      </c>
      <c r="V375" s="4" t="str">
        <f t="shared" si="15"/>
        <v/>
      </c>
      <c r="W375" s="21" t="e" cm="1">
        <f t="array" ref="W375">_xlfn.IFS(
  A375="BELL", "WHITE",
  A375="GAMP", "ORANGE",
  A375="GAMM", "GREEN",
  A375="BWF", "YELLOW",
  OR(A375="TNBE", A375="TNBL", A375="TNBD", A375="TNWC", A375="TNBW", A375="THBS"), "PINK",
  A375="CRWD", "BLUE",
  A375="PASS", "WHITE"
)</f>
        <v>#N/A</v>
      </c>
    </row>
    <row r="376" spans="1:23" x14ac:dyDescent="0.25">
      <c r="A376" s="7"/>
      <c r="B376" s="7"/>
      <c r="I376" s="3"/>
      <c r="J376" s="17"/>
      <c r="K376" s="17"/>
      <c r="L376" s="18"/>
      <c r="M376" s="3"/>
      <c r="P376" s="3"/>
      <c r="Q376" s="4"/>
      <c r="R376" s="19"/>
      <c r="S376" s="20"/>
      <c r="U376" s="3" t="str">
        <f t="shared" si="14"/>
        <v/>
      </c>
      <c r="V376" s="4" t="str">
        <f t="shared" si="15"/>
        <v/>
      </c>
      <c r="W376" s="21" t="e" cm="1">
        <f t="array" ref="W376">_xlfn.IFS(
  A376="BELL", "WHITE",
  A376="GAMP", "ORANGE",
  A376="GAMM", "GREEN",
  A376="BWF", "YELLOW",
  OR(A376="TNBE", A376="TNBL", A376="TNBD", A376="TNWC", A376="TNBW", A376="THBS"), "PINK",
  A376="CRWD", "BLUE",
  A376="PASS", "WHITE"
)</f>
        <v>#N/A</v>
      </c>
    </row>
    <row r="377" spans="1:23" x14ac:dyDescent="0.25">
      <c r="A377" s="7"/>
      <c r="B377" s="7"/>
      <c r="I377" s="3"/>
      <c r="J377" s="17"/>
      <c r="K377" s="17"/>
      <c r="L377" s="18"/>
      <c r="M377" s="3"/>
      <c r="P377" s="3"/>
      <c r="Q377" s="4"/>
      <c r="R377" s="19"/>
      <c r="S377" s="20"/>
      <c r="U377" s="3" t="str">
        <f t="shared" si="14"/>
        <v/>
      </c>
      <c r="V377" s="4" t="str">
        <f t="shared" si="15"/>
        <v/>
      </c>
      <c r="W377" s="21" t="e" cm="1">
        <f t="array" ref="W377">_xlfn.IFS(
  A377="BELL", "WHITE",
  A377="GAMP", "ORANGE",
  A377="GAMM", "GREEN",
  A377="BWF", "YELLOW",
  OR(A377="TNBE", A377="TNBL", A377="TNBD", A377="TNWC", A377="TNBW", A377="THBS"), "PINK",
  A377="CRWD", "BLUE",
  A377="PASS", "WHITE"
)</f>
        <v>#N/A</v>
      </c>
    </row>
    <row r="378" spans="1:23" x14ac:dyDescent="0.25">
      <c r="A378" s="7"/>
      <c r="B378" s="7"/>
      <c r="I378" s="3"/>
      <c r="J378" s="17"/>
      <c r="K378" s="17"/>
      <c r="L378" s="18"/>
      <c r="M378" s="3"/>
      <c r="P378" s="3"/>
      <c r="Q378" s="4"/>
      <c r="R378" s="19"/>
      <c r="S378" s="20"/>
      <c r="U378" s="3" t="str">
        <f t="shared" si="14"/>
        <v/>
      </c>
      <c r="V378" s="4" t="str">
        <f t="shared" si="15"/>
        <v/>
      </c>
      <c r="W378" s="21" t="e" cm="1">
        <f t="array" ref="W378">_xlfn.IFS(
  A378="BELL", "WHITE",
  A378="GAMP", "ORANGE",
  A378="GAMM", "GREEN",
  A378="BWF", "YELLOW",
  OR(A378="TNBE", A378="TNBL", A378="TNBD", A378="TNWC", A378="TNBW", A378="THBS"), "PINK",
  A378="CRWD", "BLUE",
  A378="PASS", "WHITE"
)</f>
        <v>#N/A</v>
      </c>
    </row>
    <row r="379" spans="1:23" x14ac:dyDescent="0.25">
      <c r="A379" s="7"/>
      <c r="B379" s="7"/>
      <c r="I379" s="3"/>
      <c r="J379" s="17"/>
      <c r="K379" s="17"/>
      <c r="L379" s="18"/>
      <c r="M379" s="3"/>
      <c r="P379" s="3"/>
      <c r="Q379" s="4"/>
      <c r="R379" s="19"/>
      <c r="S379" s="20"/>
      <c r="U379" s="3" t="str">
        <f t="shared" si="14"/>
        <v/>
      </c>
      <c r="V379" s="4" t="str">
        <f t="shared" si="15"/>
        <v/>
      </c>
      <c r="W379" s="21" t="e" cm="1">
        <f t="array" ref="W379">_xlfn.IFS(
  A379="BELL", "WHITE",
  A379="GAMP", "ORANGE",
  A379="GAMM", "GREEN",
  A379="BWF", "YELLOW",
  OR(A379="TNBE", A379="TNBL", A379="TNBD", A379="TNWC", A379="TNBW", A379="THBS"), "PINK",
  A379="CRWD", "BLUE",
  A379="PASS", "WHITE"
)</f>
        <v>#N/A</v>
      </c>
    </row>
    <row r="380" spans="1:23" x14ac:dyDescent="0.25">
      <c r="A380" s="7"/>
      <c r="B380"/>
      <c r="L380" s="18"/>
      <c r="M380" s="3"/>
      <c r="P380" s="3"/>
      <c r="Q380" s="4"/>
      <c r="R380" s="19"/>
      <c r="S380" s="20"/>
      <c r="U380" s="3" t="str">
        <f t="shared" si="14"/>
        <v/>
      </c>
      <c r="V380" s="4" t="str">
        <f t="shared" si="15"/>
        <v/>
      </c>
      <c r="W380" s="21" t="e" cm="1">
        <f t="array" ref="W380">_xlfn.IFS(
  A380="BELL", "WHITE",
  A380="GAMP", "ORANGE",
  A380="GAMM", "GREEN",
  A380="BWF", "YELLOW",
  OR(A380="TNBE", A380="TNBL", A380="TNBD", A380="TNWC", A380="TNBW", A380="THBS"), "PINK",
  A380="CRWD", "BLUE",
  A380="PASS", "WHITE"
)</f>
        <v>#N/A</v>
      </c>
    </row>
    <row r="381" spans="1:23" x14ac:dyDescent="0.25">
      <c r="A381" s="7"/>
      <c r="B381"/>
      <c r="L381" s="18"/>
      <c r="M381" s="3"/>
      <c r="P381" s="3"/>
      <c r="Q381" s="4"/>
      <c r="R381" s="19"/>
      <c r="S381" s="20"/>
      <c r="U381" s="3" t="str">
        <f t="shared" si="14"/>
        <v/>
      </c>
      <c r="V381" s="4" t="str">
        <f t="shared" si="15"/>
        <v/>
      </c>
      <c r="W381" s="21" t="e" cm="1">
        <f t="array" ref="W381">_xlfn.IFS(
  A381="BELL", "WHITE",
  A381="GAMP", "ORANGE",
  A381="GAMM", "GREEN",
  A381="BWF", "YELLOW",
  OR(A381="TNBE", A381="TNBL", A381="TNBD", A381="TNWC", A381="TNBW", A381="THBS"), "PINK",
  A381="CRWD", "BLUE",
  A381="PASS", "WHITE"
)</f>
        <v>#N/A</v>
      </c>
    </row>
    <row r="382" spans="1:23" x14ac:dyDescent="0.25">
      <c r="A382" s="7"/>
      <c r="B382"/>
      <c r="L382" s="18"/>
      <c r="M382" s="3"/>
      <c r="P382" s="3"/>
      <c r="Q382" s="4"/>
      <c r="R382" s="19"/>
      <c r="S382" s="20"/>
      <c r="U382" s="3" t="str">
        <f t="shared" si="14"/>
        <v/>
      </c>
      <c r="V382" s="4" t="str">
        <f t="shared" si="15"/>
        <v/>
      </c>
      <c r="W382" s="21" t="e" cm="1">
        <f t="array" ref="W382">_xlfn.IFS(
  A382="BELL", "WHITE",
  A382="GAMP", "ORANGE",
  A382="GAMM", "GREEN",
  A382="BWF", "YELLOW",
  OR(A382="TNBE", A382="TNBL", A382="TNBD", A382="TNWC", A382="TNBW", A382="THBS"), "PINK",
  A382="CRWD", "BLUE",
  A382="PASS", "WHITE"
)</f>
        <v>#N/A</v>
      </c>
    </row>
    <row r="383" spans="1:23" x14ac:dyDescent="0.25">
      <c r="A383" s="7"/>
      <c r="B383"/>
      <c r="L383" s="18"/>
      <c r="M383" s="3"/>
      <c r="P383" s="3"/>
      <c r="Q383" s="4"/>
      <c r="R383" s="19"/>
      <c r="S383" s="20"/>
      <c r="U383" s="3" t="str">
        <f t="shared" si="14"/>
        <v/>
      </c>
      <c r="V383" s="4" t="str">
        <f t="shared" si="15"/>
        <v/>
      </c>
      <c r="W383" s="21" t="e" cm="1">
        <f t="array" ref="W383">_xlfn.IFS(
  A383="BELL", "WHITE",
  A383="GAMP", "ORANGE",
  A383="GAMM", "GREEN",
  A383="BWF", "YELLOW",
  OR(A383="TNBE", A383="TNBL", A383="TNBD", A383="TNWC", A383="TNBW", A383="THBS"), "PINK",
  A383="CRWD", "BLUE",
  A383="PASS", "WHITE"
)</f>
        <v>#N/A</v>
      </c>
    </row>
    <row r="384" spans="1:23" x14ac:dyDescent="0.25">
      <c r="A384" s="7"/>
      <c r="B384"/>
      <c r="L384" s="18"/>
      <c r="M384" s="3"/>
      <c r="P384" s="3"/>
      <c r="Q384" s="4"/>
      <c r="R384" s="19"/>
      <c r="S384" s="20"/>
      <c r="U384" s="3" t="str">
        <f t="shared" si="14"/>
        <v/>
      </c>
      <c r="V384" s="4" t="str">
        <f t="shared" si="15"/>
        <v/>
      </c>
      <c r="W384" s="21" t="e" cm="1">
        <f t="array" ref="W384">_xlfn.IFS(
  A384="BELL", "WHITE",
  A384="GAMP", "ORANGE",
  A384="GAMM", "GREEN",
  A384="BWF", "YELLOW",
  OR(A384="TNBE", A384="TNBL", A384="TNBD", A384="TNWC", A384="TNBW", A384="THBS"), "PINK",
  A384="CRWD", "BLUE",
  A384="PASS", "WHITE"
)</f>
        <v>#N/A</v>
      </c>
    </row>
    <row r="385" spans="1:23" x14ac:dyDescent="0.25">
      <c r="A385" s="7"/>
      <c r="B385"/>
      <c r="L385" s="18"/>
      <c r="M385" s="3"/>
      <c r="P385" s="3"/>
      <c r="Q385" s="4"/>
      <c r="R385" s="19"/>
      <c r="S385" s="20"/>
      <c r="U385" s="3" t="str">
        <f t="shared" si="14"/>
        <v/>
      </c>
      <c r="V385" s="4" t="str">
        <f t="shared" si="15"/>
        <v/>
      </c>
      <c r="W385" s="21" t="e" cm="1">
        <f t="array" ref="W385">_xlfn.IFS(
  A385="BELL", "WHITE",
  A385="GAMP", "ORANGE",
  A385="GAMM", "GREEN",
  A385="BWF", "YELLOW",
  OR(A385="TNBE", A385="TNBL", A385="TNBD", A385="TNWC", A385="TNBW", A385="THBS"), "PINK",
  A385="CRWD", "BLUE",
  A385="PASS", "WHITE"
)</f>
        <v>#N/A</v>
      </c>
    </row>
    <row r="386" spans="1:23" x14ac:dyDescent="0.25">
      <c r="A386" s="7"/>
      <c r="B386"/>
      <c r="L386" s="18"/>
      <c r="M386" s="3"/>
      <c r="P386" s="3"/>
      <c r="Q386" s="4"/>
      <c r="R386" s="19"/>
      <c r="S386" s="20"/>
      <c r="U386" s="3" t="str">
        <f t="shared" si="14"/>
        <v/>
      </c>
      <c r="V386" s="4" t="str">
        <f t="shared" si="15"/>
        <v/>
      </c>
      <c r="W386" s="21" t="e" cm="1">
        <f t="array" ref="W386">_xlfn.IFS(
  A386="BELL", "WHITE",
  A386="GAMP", "ORANGE",
  A386="GAMM", "GREEN",
  A386="BWF", "YELLOW",
  OR(A386="TNBE", A386="TNBL", A386="TNBD", A386="TNWC", A386="TNBW", A386="THBS"), "PINK",
  A386="CRWD", "BLUE",
  A386="PASS", "WHITE"
)</f>
        <v>#N/A</v>
      </c>
    </row>
    <row r="387" spans="1:23" x14ac:dyDescent="0.25">
      <c r="A387" s="7"/>
      <c r="B387" s="7"/>
      <c r="L387" s="18"/>
      <c r="M387" s="3"/>
      <c r="P387" s="3"/>
      <c r="Q387" s="4"/>
      <c r="R387" s="19"/>
      <c r="S387" s="20"/>
      <c r="U387" s="3" t="str">
        <f t="shared" si="14"/>
        <v/>
      </c>
      <c r="V387" s="4" t="str">
        <f t="shared" si="15"/>
        <v/>
      </c>
      <c r="W387" s="21" t="e" cm="1">
        <f t="array" ref="W387">_xlfn.IFS(
  A387="BELL", "WHITE",
  A387="GAMP", "ORANGE",
  A387="GAMM", "GREEN",
  A387="BWF", "YELLOW",
  OR(A387="TNBE", A387="TNBL", A387="TNBD", A387="TNWC", A387="TNBW", A387="THBS"), "PINK",
  A387="CRWD", "BLUE",
  A387="PASS", "WHITE"
)</f>
        <v>#N/A</v>
      </c>
    </row>
    <row r="388" spans="1:23" x14ac:dyDescent="0.25">
      <c r="A388" s="7"/>
      <c r="B388" s="7"/>
      <c r="L388" s="18"/>
      <c r="M388" s="18"/>
      <c r="P388" s="3"/>
      <c r="Q388" s="4"/>
      <c r="R388" s="19"/>
      <c r="S388" s="20"/>
      <c r="U388" s="3" t="str">
        <f t="shared" ref="U388:U451" si="16">IF(T388="","",IF(T388&gt;I388,H388,T388/G388))</f>
        <v/>
      </c>
      <c r="V388" s="4" t="str">
        <f t="shared" ref="V388:V451" si="17">IF(T388&gt;I388,T388-I388,"")</f>
        <v/>
      </c>
      <c r="W388" s="21" t="e" cm="1">
        <f t="array" ref="W388">_xlfn.IFS(
  A388="BELL", "WHITE",
  A388="GAMP", "ORANGE",
  A388="GAMM", "GREEN",
  A388="BWF", "YELLOW",
  OR(A388="TNBE", A388="TNBL", A388="TNBD", A388="TNWC", A388="TNBW", A388="THBS"), "PINK",
  A388="CRWD", "BLUE",
  A388="PASS", "WHITE"
)</f>
        <v>#N/A</v>
      </c>
    </row>
    <row r="389" spans="1:23" x14ac:dyDescent="0.25">
      <c r="A389" s="7"/>
      <c r="B389"/>
      <c r="L389" s="18"/>
      <c r="M389" s="3"/>
      <c r="P389" s="3"/>
      <c r="Q389" s="4"/>
      <c r="R389" s="19"/>
      <c r="S389" s="20"/>
      <c r="U389" s="3" t="str">
        <f t="shared" si="16"/>
        <v/>
      </c>
      <c r="V389" s="4" t="str">
        <f t="shared" si="17"/>
        <v/>
      </c>
      <c r="W389" s="21" t="e" cm="1">
        <f t="array" ref="W389">_xlfn.IFS(
  A389="BELL", "WHITE",
  A389="GAMP", "ORANGE",
  A389="GAMM", "GREEN",
  A389="BWF", "YELLOW",
  OR(A389="TNBE", A389="TNBL", A389="TNBD", A389="TNWC", A389="TNBW", A389="THBS"), "PINK",
  A389="CRWD", "BLUE",
  A389="PASS", "WHITE"
)</f>
        <v>#N/A</v>
      </c>
    </row>
    <row r="390" spans="1:23" x14ac:dyDescent="0.25">
      <c r="A390" s="7"/>
      <c r="B390"/>
      <c r="D390" s="27"/>
      <c r="E390" s="27"/>
      <c r="L390" s="18"/>
      <c r="M390" s="18"/>
      <c r="P390" s="3"/>
      <c r="Q390" s="4"/>
      <c r="R390" s="19"/>
      <c r="S390" s="20"/>
      <c r="U390" s="3" t="str">
        <f t="shared" si="16"/>
        <v/>
      </c>
      <c r="V390" s="4" t="str">
        <f t="shared" si="17"/>
        <v/>
      </c>
      <c r="W390" s="21" t="e" cm="1">
        <f t="array" ref="W390">_xlfn.IFS(
  A390="BELL", "WHITE",
  A390="GAMP", "ORANGE",
  A390="GAMM", "GREEN",
  A390="BWF", "YELLOW",
  OR(A390="TNBE", A390="TNBL", A390="TNBD", A390="TNWC", A390="TNBW", A390="THBS"), "PINK",
  A390="CRWD", "BLUE",
  A390="PASS", "WHITE"
)</f>
        <v>#N/A</v>
      </c>
    </row>
    <row r="391" spans="1:23" x14ac:dyDescent="0.25">
      <c r="A391" s="7"/>
      <c r="B391" s="7"/>
      <c r="C391" s="4"/>
      <c r="I391" s="3"/>
      <c r="J391" s="17"/>
      <c r="K391" s="17"/>
      <c r="L391" s="18"/>
      <c r="M391" s="3"/>
      <c r="P391" s="3"/>
      <c r="Q391" s="4"/>
      <c r="R391" s="19"/>
      <c r="S391" s="20"/>
      <c r="U391" s="3" t="str">
        <f t="shared" si="16"/>
        <v/>
      </c>
      <c r="V391" s="4" t="str">
        <f t="shared" si="17"/>
        <v/>
      </c>
      <c r="W391" s="21" t="e" cm="1">
        <f t="array" ref="W391">_xlfn.IFS(
  A391="BELL", "WHITE",
  A391="GAMP", "ORANGE",
  A391="GAMM", "GREEN",
  A391="BWF", "YELLOW",
  OR(A391="TNBE", A391="TNBL", A391="TNBD", A391="TNWC", A391="TNBW", A391="THBS"), "PINK",
  A391="CRWD", "BLUE",
  A391="PASS", "WHITE"
)</f>
        <v>#N/A</v>
      </c>
    </row>
    <row r="392" spans="1:23" x14ac:dyDescent="0.25">
      <c r="A392" s="7"/>
      <c r="B392" s="7"/>
      <c r="C392" s="4"/>
      <c r="I392" s="3"/>
      <c r="J392" s="17"/>
      <c r="K392" s="17"/>
      <c r="L392" s="18"/>
      <c r="M392" s="3"/>
      <c r="P392" s="3"/>
      <c r="Q392" s="4"/>
      <c r="R392" s="19"/>
      <c r="S392" s="20"/>
      <c r="U392" s="3" t="str">
        <f t="shared" si="16"/>
        <v/>
      </c>
      <c r="V392" s="4" t="str">
        <f t="shared" si="17"/>
        <v/>
      </c>
      <c r="W392" s="21" t="e" cm="1">
        <f t="array" ref="W392">_xlfn.IFS(
  A392="BELL", "WHITE",
  A392="GAMP", "ORANGE",
  A392="GAMM", "GREEN",
  A392="BWF", "YELLOW",
  OR(A392="TNBE", A392="TNBL", A392="TNBD", A392="TNWC", A392="TNBW", A392="THBS"), "PINK",
  A392="CRWD", "BLUE",
  A392="PASS", "WHITE"
)</f>
        <v>#N/A</v>
      </c>
    </row>
    <row r="393" spans="1:23" x14ac:dyDescent="0.25">
      <c r="A393" s="7"/>
      <c r="B393" s="7"/>
      <c r="C393" s="4"/>
      <c r="I393" s="3"/>
      <c r="J393" s="17"/>
      <c r="K393" s="17"/>
      <c r="L393" s="18"/>
      <c r="M393" s="3"/>
      <c r="P393" s="3"/>
      <c r="Q393" s="4"/>
      <c r="R393" s="19"/>
      <c r="S393" s="20"/>
      <c r="U393" s="3" t="str">
        <f t="shared" si="16"/>
        <v/>
      </c>
      <c r="V393" s="4" t="str">
        <f t="shared" si="17"/>
        <v/>
      </c>
      <c r="W393" s="21" t="e" cm="1">
        <f t="array" ref="W393">_xlfn.IFS(
  A393="BELL", "WHITE",
  A393="GAMP", "ORANGE",
  A393="GAMM", "GREEN",
  A393="BWF", "YELLOW",
  OR(A393="TNBE", A393="TNBL", A393="TNBD", A393="TNWC", A393="TNBW", A393="THBS"), "PINK",
  A393="CRWD", "BLUE",
  A393="PASS", "WHITE"
)</f>
        <v>#N/A</v>
      </c>
    </row>
    <row r="394" spans="1:23" x14ac:dyDescent="0.25">
      <c r="A394" s="7"/>
      <c r="B394" s="7"/>
      <c r="C394" s="4"/>
      <c r="I394" s="3"/>
      <c r="J394" s="17"/>
      <c r="K394" s="17"/>
      <c r="L394" s="18"/>
      <c r="M394" s="3"/>
      <c r="P394" s="3"/>
      <c r="Q394" s="4"/>
      <c r="R394" s="19"/>
      <c r="S394" s="20"/>
      <c r="U394" s="3" t="str">
        <f t="shared" si="16"/>
        <v/>
      </c>
      <c r="V394" s="4" t="str">
        <f t="shared" si="17"/>
        <v/>
      </c>
      <c r="W394" s="21" t="e" cm="1">
        <f t="array" ref="W394">_xlfn.IFS(
  A394="BELL", "WHITE",
  A394="GAMP", "ORANGE",
  A394="GAMM", "GREEN",
  A394="BWF", "YELLOW",
  OR(A394="TNBE", A394="TNBL", A394="TNBD", A394="TNWC", A394="TNBW", A394="THBS"), "PINK",
  A394="CRWD", "BLUE",
  A394="PASS", "WHITE"
)</f>
        <v>#N/A</v>
      </c>
    </row>
    <row r="395" spans="1:23" x14ac:dyDescent="0.25">
      <c r="A395" s="7"/>
      <c r="B395" s="7"/>
      <c r="C395" s="4"/>
      <c r="I395" s="3"/>
      <c r="J395" s="17"/>
      <c r="K395" s="17"/>
      <c r="L395" s="18"/>
      <c r="M395" s="3"/>
      <c r="P395" s="3"/>
      <c r="Q395" s="4"/>
      <c r="R395" s="19"/>
      <c r="S395" s="20"/>
      <c r="U395" s="3" t="str">
        <f t="shared" si="16"/>
        <v/>
      </c>
      <c r="V395" s="4" t="str">
        <f t="shared" si="17"/>
        <v/>
      </c>
      <c r="W395" s="21" t="e" cm="1">
        <f t="array" ref="W395">_xlfn.IFS(
  A395="BELL", "WHITE",
  A395="GAMP", "ORANGE",
  A395="GAMM", "GREEN",
  A395="BWF", "YELLOW",
  OR(A395="TNBE", A395="TNBL", A395="TNBD", A395="TNWC", A395="TNBW", A395="THBS"), "PINK",
  A395="CRWD", "BLUE",
  A395="PASS", "WHITE"
)</f>
        <v>#N/A</v>
      </c>
    </row>
    <row r="396" spans="1:23" x14ac:dyDescent="0.25">
      <c r="A396" s="7"/>
      <c r="B396" s="7"/>
      <c r="C396" s="4"/>
      <c r="I396" s="3"/>
      <c r="J396" s="17"/>
      <c r="K396" s="17"/>
      <c r="L396" s="18"/>
      <c r="M396" s="3"/>
      <c r="P396" s="3"/>
      <c r="Q396" s="4"/>
      <c r="R396" s="19"/>
      <c r="S396" s="20"/>
      <c r="U396" s="3" t="str">
        <f t="shared" si="16"/>
        <v/>
      </c>
      <c r="V396" s="4" t="str">
        <f t="shared" si="17"/>
        <v/>
      </c>
      <c r="W396" s="21" t="e" cm="1">
        <f t="array" ref="W396">_xlfn.IFS(
  A396="BELL", "WHITE",
  A396="GAMP", "ORANGE",
  A396="GAMM", "GREEN",
  A396="BWF", "YELLOW",
  OR(A396="TNBE", A396="TNBL", A396="TNBD", A396="TNWC", A396="TNBW", A396="THBS"), "PINK",
  A396="CRWD", "BLUE",
  A396="PASS", "WHITE"
)</f>
        <v>#N/A</v>
      </c>
    </row>
    <row r="397" spans="1:23" x14ac:dyDescent="0.25">
      <c r="A397" s="7"/>
      <c r="B397" s="7"/>
      <c r="C397" s="4"/>
      <c r="I397" s="3"/>
      <c r="J397" s="17"/>
      <c r="K397" s="17"/>
      <c r="L397" s="18"/>
      <c r="M397" s="3"/>
      <c r="P397" s="3"/>
      <c r="Q397" s="4"/>
      <c r="R397" s="19"/>
      <c r="S397" s="20"/>
      <c r="U397" s="3" t="str">
        <f t="shared" si="16"/>
        <v/>
      </c>
      <c r="V397" s="4" t="str">
        <f t="shared" si="17"/>
        <v/>
      </c>
      <c r="W397" s="21" t="e" cm="1">
        <f t="array" ref="W397">_xlfn.IFS(
  A397="BELL", "WHITE",
  A397="GAMP", "ORANGE",
  A397="GAMM", "GREEN",
  A397="BWF", "YELLOW",
  OR(A397="TNBE", A397="TNBL", A397="TNBD", A397="TNWC", A397="TNBW", A397="THBS"), "PINK",
  A397="CRWD", "BLUE",
  A397="PASS", "WHITE"
)</f>
        <v>#N/A</v>
      </c>
    </row>
    <row r="398" spans="1:23" x14ac:dyDescent="0.25">
      <c r="A398" s="7"/>
      <c r="B398" s="7"/>
      <c r="C398" s="4"/>
      <c r="I398" s="3"/>
      <c r="J398" s="17"/>
      <c r="K398" s="17"/>
      <c r="L398" s="18"/>
      <c r="M398" s="3"/>
      <c r="P398" s="3"/>
      <c r="Q398" s="4"/>
      <c r="R398" s="19"/>
      <c r="S398" s="20"/>
      <c r="U398" s="3" t="str">
        <f t="shared" si="16"/>
        <v/>
      </c>
      <c r="V398" s="4" t="str">
        <f t="shared" si="17"/>
        <v/>
      </c>
      <c r="W398" s="21" t="e" cm="1">
        <f t="array" ref="W398">_xlfn.IFS(
  A398="BELL", "WHITE",
  A398="GAMP", "ORANGE",
  A398="GAMM", "GREEN",
  A398="BWF", "YELLOW",
  OR(A398="TNBE", A398="TNBL", A398="TNBD", A398="TNWC", A398="TNBW", A398="THBS"), "PINK",
  A398="CRWD", "BLUE",
  A398="PASS", "WHITE"
)</f>
        <v>#N/A</v>
      </c>
    </row>
    <row r="399" spans="1:23" x14ac:dyDescent="0.25">
      <c r="A399" s="7"/>
      <c r="B399" s="7"/>
      <c r="C399" s="4"/>
      <c r="I399" s="3"/>
      <c r="J399" s="17"/>
      <c r="K399" s="17"/>
      <c r="L399" s="18"/>
      <c r="M399" s="3"/>
      <c r="P399" s="3"/>
      <c r="Q399" s="4"/>
      <c r="R399" s="19"/>
      <c r="S399" s="20"/>
      <c r="U399" s="3" t="str">
        <f t="shared" si="16"/>
        <v/>
      </c>
      <c r="V399" s="4" t="str">
        <f t="shared" si="17"/>
        <v/>
      </c>
      <c r="W399" s="21" t="e" cm="1">
        <f t="array" ref="W399">_xlfn.IFS(
  A399="BELL", "WHITE",
  A399="GAMP", "ORANGE",
  A399="GAMM", "GREEN",
  A399="BWF", "YELLOW",
  OR(A399="TNBE", A399="TNBL", A399="TNBD", A399="TNWC", A399="TNBW", A399="THBS"), "PINK",
  A399="CRWD", "BLUE",
  A399="PASS", "WHITE"
)</f>
        <v>#N/A</v>
      </c>
    </row>
    <row r="400" spans="1:23" x14ac:dyDescent="0.25">
      <c r="A400" s="7"/>
      <c r="B400" s="7"/>
      <c r="C400" s="4"/>
      <c r="I400" s="3"/>
      <c r="J400" s="17"/>
      <c r="K400" s="17"/>
      <c r="L400" s="18"/>
      <c r="M400" s="3"/>
      <c r="P400" s="3"/>
      <c r="Q400" s="4"/>
      <c r="R400" s="19"/>
      <c r="S400" s="20"/>
      <c r="U400" s="3" t="str">
        <f t="shared" si="16"/>
        <v/>
      </c>
      <c r="V400" s="4" t="str">
        <f t="shared" si="17"/>
        <v/>
      </c>
      <c r="W400" s="21" t="e" cm="1">
        <f t="array" ref="W400">_xlfn.IFS(
  A400="BELL", "WHITE",
  A400="GAMP", "ORANGE",
  A400="GAMM", "GREEN",
  A400="BWF", "YELLOW",
  OR(A400="TNBE", A400="TNBL", A400="TNBD", A400="TNWC", A400="TNBW", A400="THBS"), "PINK",
  A400="CRWD", "BLUE",
  A400="PASS", "WHITE"
)</f>
        <v>#N/A</v>
      </c>
    </row>
    <row r="401" spans="1:23" x14ac:dyDescent="0.25">
      <c r="A401" s="7"/>
      <c r="B401" s="7"/>
      <c r="C401" s="4"/>
      <c r="I401" s="3"/>
      <c r="J401" s="17"/>
      <c r="K401" s="17"/>
      <c r="L401" s="18"/>
      <c r="M401" s="3"/>
      <c r="P401" s="3"/>
      <c r="Q401" s="4"/>
      <c r="R401" s="19"/>
      <c r="S401" s="20"/>
      <c r="U401" s="3" t="str">
        <f t="shared" si="16"/>
        <v/>
      </c>
      <c r="V401" s="4" t="str">
        <f t="shared" si="17"/>
        <v/>
      </c>
      <c r="W401" s="21" t="e" cm="1">
        <f t="array" ref="W401">_xlfn.IFS(
  A401="BELL", "WHITE",
  A401="GAMP", "ORANGE",
  A401="GAMM", "GREEN",
  A401="BWF", "YELLOW",
  OR(A401="TNBE", A401="TNBL", A401="TNBD", A401="TNWC", A401="TNBW", A401="THBS"), "PINK",
  A401="CRWD", "BLUE",
  A401="PASS", "WHITE"
)</f>
        <v>#N/A</v>
      </c>
    </row>
    <row r="402" spans="1:23" x14ac:dyDescent="0.25">
      <c r="A402" s="7"/>
      <c r="B402" s="7"/>
      <c r="C402" s="4"/>
      <c r="I402" s="3"/>
      <c r="J402" s="17"/>
      <c r="K402" s="17"/>
      <c r="L402" s="18"/>
      <c r="M402" s="3"/>
      <c r="P402" s="3"/>
      <c r="Q402" s="4"/>
      <c r="R402" s="19"/>
      <c r="S402" s="20"/>
      <c r="U402" s="3" t="str">
        <f t="shared" si="16"/>
        <v/>
      </c>
      <c r="V402" s="4" t="str">
        <f t="shared" si="17"/>
        <v/>
      </c>
      <c r="W402" s="21" t="e" cm="1">
        <f t="array" ref="W402">_xlfn.IFS(
  A402="BELL", "WHITE",
  A402="GAMP", "ORANGE",
  A402="GAMM", "GREEN",
  A402="BWF", "YELLOW",
  OR(A402="TNBE", A402="TNBL", A402="TNBD", A402="TNWC", A402="TNBW", A402="THBS"), "PINK",
  A402="CRWD", "BLUE",
  A402="PASS", "WHITE"
)</f>
        <v>#N/A</v>
      </c>
    </row>
    <row r="403" spans="1:23" x14ac:dyDescent="0.25">
      <c r="A403" s="7"/>
      <c r="B403" s="7"/>
      <c r="C403" s="4"/>
      <c r="I403" s="3"/>
      <c r="J403" s="17"/>
      <c r="K403" s="17"/>
      <c r="L403" s="18"/>
      <c r="M403" s="3"/>
      <c r="P403" s="3"/>
      <c r="Q403" s="4"/>
      <c r="R403" s="19"/>
      <c r="S403" s="20"/>
      <c r="U403" s="3" t="str">
        <f t="shared" si="16"/>
        <v/>
      </c>
      <c r="V403" s="4" t="str">
        <f t="shared" si="17"/>
        <v/>
      </c>
      <c r="W403" s="21" t="e" cm="1">
        <f t="array" ref="W403">_xlfn.IFS(
  A403="BELL", "WHITE",
  A403="GAMP", "ORANGE",
  A403="GAMM", "GREEN",
  A403="BWF", "YELLOW",
  OR(A403="TNBE", A403="TNBL", A403="TNBD", A403="TNWC", A403="TNBW", A403="THBS"), "PINK",
  A403="CRWD", "BLUE",
  A403="PASS", "WHITE"
)</f>
        <v>#N/A</v>
      </c>
    </row>
    <row r="404" spans="1:23" x14ac:dyDescent="0.25">
      <c r="A404" s="7"/>
      <c r="B404" s="7"/>
      <c r="C404" s="4"/>
      <c r="I404" s="3"/>
      <c r="J404" s="17"/>
      <c r="K404" s="17"/>
      <c r="L404" s="18"/>
      <c r="M404" s="3"/>
      <c r="P404" s="3"/>
      <c r="Q404" s="4"/>
      <c r="R404" s="19"/>
      <c r="S404" s="20"/>
      <c r="U404" s="3" t="str">
        <f t="shared" si="16"/>
        <v/>
      </c>
      <c r="V404" s="4" t="str">
        <f t="shared" si="17"/>
        <v/>
      </c>
      <c r="W404" s="21" t="e" cm="1">
        <f t="array" ref="W404">_xlfn.IFS(
  A404="BELL", "WHITE",
  A404="GAMP", "ORANGE",
  A404="GAMM", "GREEN",
  A404="BWF", "YELLOW",
  OR(A404="TNBE", A404="TNBL", A404="TNBD", A404="TNWC", A404="TNBW", A404="THBS"), "PINK",
  A404="CRWD", "BLUE",
  A404="PASS", "WHITE"
)</f>
        <v>#N/A</v>
      </c>
    </row>
    <row r="405" spans="1:23" x14ac:dyDescent="0.25">
      <c r="A405" s="7"/>
      <c r="B405" s="7"/>
      <c r="C405" s="4"/>
      <c r="I405" s="3"/>
      <c r="J405" s="17"/>
      <c r="K405" s="17"/>
      <c r="L405" s="18"/>
      <c r="M405" s="3"/>
      <c r="P405" s="3"/>
      <c r="Q405" s="4"/>
      <c r="R405" s="19"/>
      <c r="S405" s="20"/>
      <c r="U405" s="3" t="str">
        <f t="shared" si="16"/>
        <v/>
      </c>
      <c r="V405" s="4" t="str">
        <f t="shared" si="17"/>
        <v/>
      </c>
      <c r="W405" s="21" t="e" cm="1">
        <f t="array" ref="W405">_xlfn.IFS(
  A405="BELL", "WHITE",
  A405="GAMP", "ORANGE",
  A405="GAMM", "GREEN",
  A405="BWF", "YELLOW",
  OR(A405="TNBE", A405="TNBL", A405="TNBD", A405="TNWC", A405="TNBW", A405="THBS"), "PINK",
  A405="CRWD", "BLUE",
  A405="PASS", "WHITE"
)</f>
        <v>#N/A</v>
      </c>
    </row>
    <row r="406" spans="1:23" x14ac:dyDescent="0.25">
      <c r="A406" s="7"/>
      <c r="B406" s="7"/>
      <c r="C406" s="4"/>
      <c r="I406" s="3"/>
      <c r="J406" s="17"/>
      <c r="K406" s="17"/>
      <c r="L406" s="18"/>
      <c r="M406" s="3"/>
      <c r="P406" s="3"/>
      <c r="Q406" s="4"/>
      <c r="R406" s="19"/>
      <c r="S406" s="20"/>
      <c r="U406" s="3" t="str">
        <f t="shared" si="16"/>
        <v/>
      </c>
      <c r="V406" s="4" t="str">
        <f t="shared" si="17"/>
        <v/>
      </c>
      <c r="W406" s="21" t="e" cm="1">
        <f t="array" ref="W406">_xlfn.IFS(
  A406="BELL", "WHITE",
  A406="GAMP", "ORANGE",
  A406="GAMM", "GREEN",
  A406="BWF", "YELLOW",
  OR(A406="TNBE", A406="TNBL", A406="TNBD", A406="TNWC", A406="TNBW", A406="THBS"), "PINK",
  A406="CRWD", "BLUE",
  A406="PASS", "WHITE"
)</f>
        <v>#N/A</v>
      </c>
    </row>
    <row r="407" spans="1:23" x14ac:dyDescent="0.25">
      <c r="A407" s="7"/>
      <c r="B407" s="7"/>
      <c r="C407" s="4"/>
      <c r="I407" s="3"/>
      <c r="J407" s="17"/>
      <c r="K407" s="17"/>
      <c r="L407" s="18"/>
      <c r="M407" s="3"/>
      <c r="P407" s="3"/>
      <c r="Q407" s="4"/>
      <c r="R407" s="19"/>
      <c r="S407" s="20"/>
      <c r="U407" s="3" t="str">
        <f t="shared" si="16"/>
        <v/>
      </c>
      <c r="V407" s="4" t="str">
        <f t="shared" si="17"/>
        <v/>
      </c>
      <c r="W407" s="21" t="e" cm="1">
        <f t="array" ref="W407">_xlfn.IFS(
  A407="BELL", "WHITE",
  A407="GAMP", "ORANGE",
  A407="GAMM", "GREEN",
  A407="BWF", "YELLOW",
  OR(A407="TNBE", A407="TNBL", A407="TNBD", A407="TNWC", A407="TNBW", A407="THBS"), "PINK",
  A407="CRWD", "BLUE",
  A407="PASS", "WHITE"
)</f>
        <v>#N/A</v>
      </c>
    </row>
    <row r="408" spans="1:23" x14ac:dyDescent="0.25">
      <c r="A408" s="7"/>
      <c r="B408" s="7"/>
      <c r="C408" s="4"/>
      <c r="I408" s="3"/>
      <c r="J408" s="17"/>
      <c r="K408" s="17"/>
      <c r="L408" s="18"/>
      <c r="M408" s="3"/>
      <c r="P408" s="3"/>
      <c r="Q408" s="4"/>
      <c r="R408" s="19"/>
      <c r="S408" s="20"/>
      <c r="U408" s="3" t="str">
        <f t="shared" si="16"/>
        <v/>
      </c>
      <c r="V408" s="4" t="str">
        <f t="shared" si="17"/>
        <v/>
      </c>
      <c r="W408" s="21" t="e" cm="1">
        <f t="array" ref="W408">_xlfn.IFS(
  A408="BELL", "WHITE",
  A408="GAMP", "ORANGE",
  A408="GAMM", "GREEN",
  A408="BWF", "YELLOW",
  OR(A408="TNBE", A408="TNBL", A408="TNBD", A408="TNWC", A408="TNBW", A408="THBS"), "PINK",
  A408="CRWD", "BLUE",
  A408="PASS", "WHITE"
)</f>
        <v>#N/A</v>
      </c>
    </row>
    <row r="409" spans="1:23" x14ac:dyDescent="0.25">
      <c r="A409" s="7"/>
      <c r="B409" s="7"/>
      <c r="C409" s="4"/>
      <c r="I409" s="3"/>
      <c r="J409" s="17"/>
      <c r="K409" s="17"/>
      <c r="L409" s="18"/>
      <c r="M409" s="3"/>
      <c r="P409" s="3"/>
      <c r="Q409" s="4"/>
      <c r="R409" s="19"/>
      <c r="S409" s="20"/>
      <c r="U409" s="3" t="str">
        <f t="shared" si="16"/>
        <v/>
      </c>
      <c r="V409" s="4" t="str">
        <f t="shared" si="17"/>
        <v/>
      </c>
      <c r="W409" s="21" t="e" cm="1">
        <f t="array" ref="W409">_xlfn.IFS(
  A409="BELL", "WHITE",
  A409="GAMP", "ORANGE",
  A409="GAMM", "GREEN",
  A409="BWF", "YELLOW",
  OR(A409="TNBE", A409="TNBL", A409="TNBD", A409="TNWC", A409="TNBW", A409="THBS"), "PINK",
  A409="CRWD", "BLUE",
  A409="PASS", "WHITE"
)</f>
        <v>#N/A</v>
      </c>
    </row>
    <row r="410" spans="1:23" x14ac:dyDescent="0.25">
      <c r="A410" s="7"/>
      <c r="B410" s="7"/>
      <c r="C410" s="4"/>
      <c r="I410" s="3"/>
      <c r="J410" s="17"/>
      <c r="K410" s="17"/>
      <c r="L410" s="18"/>
      <c r="M410" s="3"/>
      <c r="P410" s="3"/>
      <c r="Q410" s="4"/>
      <c r="R410" s="19"/>
      <c r="S410" s="20"/>
      <c r="U410" s="3" t="str">
        <f t="shared" si="16"/>
        <v/>
      </c>
      <c r="V410" s="4" t="str">
        <f t="shared" si="17"/>
        <v/>
      </c>
      <c r="W410" s="21" t="e" cm="1">
        <f t="array" ref="W410">_xlfn.IFS(
  A410="BELL", "WHITE",
  A410="GAMP", "ORANGE",
  A410="GAMM", "GREEN",
  A410="BWF", "YELLOW",
  OR(A410="TNBE", A410="TNBL", A410="TNBD", A410="TNWC", A410="TNBW", A410="THBS"), "PINK",
  A410="CRWD", "BLUE",
  A410="PASS", "WHITE"
)</f>
        <v>#N/A</v>
      </c>
    </row>
    <row r="411" spans="1:23" x14ac:dyDescent="0.25">
      <c r="A411" s="7"/>
      <c r="B411" s="7"/>
      <c r="C411" s="4"/>
      <c r="I411" s="3"/>
      <c r="J411" s="17"/>
      <c r="K411" s="17"/>
      <c r="L411" s="18"/>
      <c r="M411" s="3"/>
      <c r="P411" s="3"/>
      <c r="Q411" s="4"/>
      <c r="R411" s="19"/>
      <c r="S411" s="20"/>
      <c r="U411" s="3" t="str">
        <f t="shared" si="16"/>
        <v/>
      </c>
      <c r="V411" s="4" t="str">
        <f t="shared" si="17"/>
        <v/>
      </c>
      <c r="W411" s="21" t="e" cm="1">
        <f t="array" ref="W411">_xlfn.IFS(
  A411="BELL", "WHITE",
  A411="GAMP", "ORANGE",
  A411="GAMM", "GREEN",
  A411="BWF", "YELLOW",
  OR(A411="TNBE", A411="TNBL", A411="TNBD", A411="TNWC", A411="TNBW", A411="THBS"), "PINK",
  A411="CRWD", "BLUE",
  A411="PASS", "WHITE"
)</f>
        <v>#N/A</v>
      </c>
    </row>
    <row r="412" spans="1:23" x14ac:dyDescent="0.25">
      <c r="A412" s="7"/>
      <c r="B412" s="7"/>
      <c r="C412" s="4"/>
      <c r="I412" s="3"/>
      <c r="J412" s="17"/>
      <c r="K412" s="17"/>
      <c r="L412" s="18"/>
      <c r="M412" s="3"/>
      <c r="P412" s="3"/>
      <c r="Q412" s="4"/>
      <c r="R412" s="19"/>
      <c r="S412" s="20"/>
      <c r="U412" s="3" t="str">
        <f t="shared" si="16"/>
        <v/>
      </c>
      <c r="V412" s="4" t="str">
        <f t="shared" si="17"/>
        <v/>
      </c>
      <c r="W412" s="21" t="e" cm="1">
        <f t="array" ref="W412">_xlfn.IFS(
  A412="BELL", "WHITE",
  A412="GAMP", "ORANGE",
  A412="GAMM", "GREEN",
  A412="BWF", "YELLOW",
  OR(A412="TNBE", A412="TNBL", A412="TNBD", A412="TNWC", A412="TNBW", A412="THBS"), "PINK",
  A412="CRWD", "BLUE",
  A412="PASS", "WHITE"
)</f>
        <v>#N/A</v>
      </c>
    </row>
    <row r="413" spans="1:23" x14ac:dyDescent="0.25">
      <c r="A413" s="7"/>
      <c r="B413" s="7"/>
      <c r="C413" s="4"/>
      <c r="I413" s="3"/>
      <c r="J413" s="17"/>
      <c r="K413" s="17"/>
      <c r="L413" s="18"/>
      <c r="M413" s="3"/>
      <c r="P413" s="3"/>
      <c r="Q413" s="4"/>
      <c r="R413" s="19"/>
      <c r="S413" s="20"/>
      <c r="U413" s="3" t="str">
        <f t="shared" si="16"/>
        <v/>
      </c>
      <c r="V413" s="4" t="str">
        <f t="shared" si="17"/>
        <v/>
      </c>
      <c r="W413" s="21" t="e" cm="1">
        <f t="array" ref="W413">_xlfn.IFS(
  A413="BELL", "WHITE",
  A413="GAMP", "ORANGE",
  A413="GAMM", "GREEN",
  A413="BWF", "YELLOW",
  OR(A413="TNBE", A413="TNBL", A413="TNBD", A413="TNWC", A413="TNBW", A413="THBS"), "PINK",
  A413="CRWD", "BLUE",
  A413="PASS", "WHITE"
)</f>
        <v>#N/A</v>
      </c>
    </row>
    <row r="414" spans="1:23" x14ac:dyDescent="0.25">
      <c r="A414" s="7"/>
      <c r="B414" s="7"/>
      <c r="C414" s="4"/>
      <c r="I414" s="3"/>
      <c r="J414" s="17"/>
      <c r="K414" s="17"/>
      <c r="L414" s="18"/>
      <c r="M414" s="3"/>
      <c r="P414" s="3"/>
      <c r="Q414" s="4"/>
      <c r="R414" s="19"/>
      <c r="S414" s="20"/>
      <c r="U414" s="3" t="str">
        <f t="shared" si="16"/>
        <v/>
      </c>
      <c r="V414" s="4" t="str">
        <f t="shared" si="17"/>
        <v/>
      </c>
      <c r="W414" s="21" t="e" cm="1">
        <f t="array" ref="W414">_xlfn.IFS(
  A414="BELL", "WHITE",
  A414="GAMP", "ORANGE",
  A414="GAMM", "GREEN",
  A414="BWF", "YELLOW",
  OR(A414="TNBE", A414="TNBL", A414="TNBD", A414="TNWC", A414="TNBW", A414="THBS"), "PINK",
  A414="CRWD", "BLUE",
  A414="PASS", "WHITE"
)</f>
        <v>#N/A</v>
      </c>
    </row>
    <row r="415" spans="1:23" x14ac:dyDescent="0.25">
      <c r="A415" s="7"/>
      <c r="B415" s="7"/>
      <c r="C415" s="4"/>
      <c r="I415" s="3"/>
      <c r="J415" s="17"/>
      <c r="K415" s="17"/>
      <c r="L415" s="18"/>
      <c r="M415" s="3"/>
      <c r="P415" s="3"/>
      <c r="Q415" s="4"/>
      <c r="R415" s="19"/>
      <c r="S415" s="20"/>
      <c r="U415" s="3" t="str">
        <f t="shared" si="16"/>
        <v/>
      </c>
      <c r="V415" s="4" t="str">
        <f t="shared" si="17"/>
        <v/>
      </c>
      <c r="W415" s="21" t="e" cm="1">
        <f t="array" ref="W415">_xlfn.IFS(
  A415="BELL", "WHITE",
  A415="GAMP", "ORANGE",
  A415="GAMM", "GREEN",
  A415="BWF", "YELLOW",
  OR(A415="TNBE", A415="TNBL", A415="TNBD", A415="TNWC", A415="TNBW", A415="THBS"), "PINK",
  A415="CRWD", "BLUE",
  A415="PASS", "WHITE"
)</f>
        <v>#N/A</v>
      </c>
    </row>
    <row r="416" spans="1:23" x14ac:dyDescent="0.25">
      <c r="A416" s="7"/>
      <c r="B416" s="7"/>
      <c r="C416" s="4"/>
      <c r="I416" s="3"/>
      <c r="J416" s="17"/>
      <c r="K416" s="17"/>
      <c r="L416" s="18"/>
      <c r="M416" s="3"/>
      <c r="P416" s="3"/>
      <c r="Q416" s="4"/>
      <c r="R416" s="19"/>
      <c r="S416" s="20"/>
      <c r="U416" s="3" t="str">
        <f t="shared" si="16"/>
        <v/>
      </c>
      <c r="V416" s="4" t="str">
        <f t="shared" si="17"/>
        <v/>
      </c>
      <c r="W416" s="21" t="e" cm="1">
        <f t="array" ref="W416">_xlfn.IFS(
  A416="BELL", "WHITE",
  A416="GAMP", "ORANGE",
  A416="GAMM", "GREEN",
  A416="BWF", "YELLOW",
  OR(A416="TNBE", A416="TNBL", A416="TNBD", A416="TNWC", A416="TNBW", A416="THBS"), "PINK",
  A416="CRWD", "BLUE",
  A416="PASS", "WHITE"
)</f>
        <v>#N/A</v>
      </c>
    </row>
    <row r="417" spans="1:23" x14ac:dyDescent="0.25">
      <c r="A417" s="7"/>
      <c r="B417" s="7"/>
      <c r="C417" s="4"/>
      <c r="I417" s="3"/>
      <c r="J417" s="17"/>
      <c r="K417" s="17"/>
      <c r="L417" s="18"/>
      <c r="M417" s="3"/>
      <c r="P417" s="3"/>
      <c r="Q417" s="4"/>
      <c r="R417" s="19"/>
      <c r="S417" s="20"/>
      <c r="U417" s="3" t="str">
        <f t="shared" si="16"/>
        <v/>
      </c>
      <c r="V417" s="4" t="str">
        <f t="shared" si="17"/>
        <v/>
      </c>
      <c r="W417" s="21" t="e" cm="1">
        <f t="array" ref="W417">_xlfn.IFS(
  A417="BELL", "WHITE",
  A417="GAMP", "ORANGE",
  A417="GAMM", "GREEN",
  A417="BWF", "YELLOW",
  OR(A417="TNBE", A417="TNBL", A417="TNBD", A417="TNWC", A417="TNBW", A417="THBS"), "PINK",
  A417="CRWD", "BLUE",
  A417="PASS", "WHITE"
)</f>
        <v>#N/A</v>
      </c>
    </row>
    <row r="418" spans="1:23" x14ac:dyDescent="0.25">
      <c r="A418" s="7"/>
      <c r="B418" s="7"/>
      <c r="C418" s="4"/>
      <c r="I418" s="3"/>
      <c r="J418" s="17"/>
      <c r="K418" s="17"/>
      <c r="L418" s="18"/>
      <c r="M418" s="3"/>
      <c r="P418" s="3"/>
      <c r="Q418" s="4"/>
      <c r="R418" s="19"/>
      <c r="S418" s="20"/>
      <c r="U418" s="3" t="str">
        <f t="shared" si="16"/>
        <v/>
      </c>
      <c r="V418" s="4" t="str">
        <f t="shared" si="17"/>
        <v/>
      </c>
      <c r="W418" s="21" t="e" cm="1">
        <f t="array" ref="W418">_xlfn.IFS(
  A418="BELL", "WHITE",
  A418="GAMP", "ORANGE",
  A418="GAMM", "GREEN",
  A418="BWF", "YELLOW",
  OR(A418="TNBE", A418="TNBL", A418="TNBD", A418="TNWC", A418="TNBW", A418="THBS"), "PINK",
  A418="CRWD", "BLUE",
  A418="PASS", "WHITE"
)</f>
        <v>#N/A</v>
      </c>
    </row>
    <row r="419" spans="1:23" x14ac:dyDescent="0.25">
      <c r="A419" s="7"/>
      <c r="B419" s="7"/>
      <c r="C419" s="4"/>
      <c r="I419" s="3"/>
      <c r="J419" s="17"/>
      <c r="K419" s="17"/>
      <c r="L419" s="18"/>
      <c r="M419" s="3"/>
      <c r="P419" s="3"/>
      <c r="Q419" s="4"/>
      <c r="R419" s="19"/>
      <c r="S419" s="20"/>
      <c r="U419" s="3" t="str">
        <f t="shared" si="16"/>
        <v/>
      </c>
      <c r="V419" s="4" t="str">
        <f t="shared" si="17"/>
        <v/>
      </c>
      <c r="W419" s="21" t="e" cm="1">
        <f t="array" ref="W419">_xlfn.IFS(
  A419="BELL", "WHITE",
  A419="GAMP", "ORANGE",
  A419="GAMM", "GREEN",
  A419="BWF", "YELLOW",
  OR(A419="TNBE", A419="TNBL", A419="TNBD", A419="TNWC", A419="TNBW", A419="THBS"), "PINK",
  A419="CRWD", "BLUE",
  A419="PASS", "WHITE"
)</f>
        <v>#N/A</v>
      </c>
    </row>
    <row r="420" spans="1:23" x14ac:dyDescent="0.25">
      <c r="A420" s="7"/>
      <c r="B420" s="7"/>
      <c r="C420" s="4"/>
      <c r="I420" s="3"/>
      <c r="J420" s="17"/>
      <c r="K420" s="17"/>
      <c r="L420" s="18"/>
      <c r="M420" s="3"/>
      <c r="P420" s="3"/>
      <c r="Q420" s="4"/>
      <c r="R420" s="19"/>
      <c r="S420" s="20"/>
      <c r="U420" s="3" t="str">
        <f t="shared" si="16"/>
        <v/>
      </c>
      <c r="V420" s="4" t="str">
        <f t="shared" si="17"/>
        <v/>
      </c>
      <c r="W420" s="21" t="e" cm="1">
        <f t="array" ref="W420">_xlfn.IFS(
  A420="BELL", "WHITE",
  A420="GAMP", "ORANGE",
  A420="GAMM", "GREEN",
  A420="BWF", "YELLOW",
  OR(A420="TNBE", A420="TNBL", A420="TNBD", A420="TNWC", A420="TNBW", A420="THBS"), "PINK",
  A420="CRWD", "BLUE",
  A420="PASS", "WHITE"
)</f>
        <v>#N/A</v>
      </c>
    </row>
    <row r="421" spans="1:23" x14ac:dyDescent="0.25">
      <c r="A421" s="7"/>
      <c r="B421" s="7"/>
      <c r="C421" s="4"/>
      <c r="I421" s="3"/>
      <c r="J421" s="17"/>
      <c r="K421" s="17"/>
      <c r="L421" s="18"/>
      <c r="M421" s="3"/>
      <c r="P421" s="3"/>
      <c r="Q421" s="4"/>
      <c r="R421" s="19"/>
      <c r="S421" s="20"/>
      <c r="U421" s="3" t="str">
        <f t="shared" si="16"/>
        <v/>
      </c>
      <c r="V421" s="4" t="str">
        <f t="shared" si="17"/>
        <v/>
      </c>
      <c r="W421" s="21" t="e" cm="1">
        <f t="array" ref="W421">_xlfn.IFS(
  A421="BELL", "WHITE",
  A421="GAMP", "ORANGE",
  A421="GAMM", "GREEN",
  A421="BWF", "YELLOW",
  OR(A421="TNBE", A421="TNBL", A421="TNBD", A421="TNWC", A421="TNBW", A421="THBS"), "PINK",
  A421="CRWD", "BLUE",
  A421="PASS", "WHITE"
)</f>
        <v>#N/A</v>
      </c>
    </row>
    <row r="422" spans="1:23" x14ac:dyDescent="0.25">
      <c r="A422" s="7"/>
      <c r="B422" s="7"/>
      <c r="C422" s="4"/>
      <c r="I422" s="3"/>
      <c r="J422" s="17"/>
      <c r="K422" s="17"/>
      <c r="L422" s="18"/>
      <c r="M422" s="3"/>
      <c r="P422" s="3"/>
      <c r="Q422" s="4"/>
      <c r="R422" s="19"/>
      <c r="S422" s="20"/>
      <c r="U422" s="3" t="str">
        <f t="shared" si="16"/>
        <v/>
      </c>
      <c r="V422" s="4" t="str">
        <f t="shared" si="17"/>
        <v/>
      </c>
      <c r="W422" s="21" t="e" cm="1">
        <f t="array" ref="W422">_xlfn.IFS(
  A422="BELL", "WHITE",
  A422="GAMP", "ORANGE",
  A422="GAMM", "GREEN",
  A422="BWF", "YELLOW",
  OR(A422="TNBE", A422="TNBL", A422="TNBD", A422="TNWC", A422="TNBW", A422="THBS"), "PINK",
  A422="CRWD", "BLUE",
  A422="PASS", "WHITE"
)</f>
        <v>#N/A</v>
      </c>
    </row>
    <row r="423" spans="1:23" x14ac:dyDescent="0.25">
      <c r="A423" s="7"/>
      <c r="B423" s="7"/>
      <c r="C423" s="4"/>
      <c r="I423" s="3"/>
      <c r="J423" s="17"/>
      <c r="K423" s="17"/>
      <c r="L423" s="18"/>
      <c r="M423" s="3"/>
      <c r="P423" s="3"/>
      <c r="Q423" s="4"/>
      <c r="R423" s="19"/>
      <c r="S423" s="20"/>
      <c r="U423" s="3" t="str">
        <f t="shared" si="16"/>
        <v/>
      </c>
      <c r="V423" s="4" t="str">
        <f t="shared" si="17"/>
        <v/>
      </c>
      <c r="W423" s="21" t="e" cm="1">
        <f t="array" ref="W423">_xlfn.IFS(
  A423="BELL", "WHITE",
  A423="GAMP", "ORANGE",
  A423="GAMM", "GREEN",
  A423="BWF", "YELLOW",
  OR(A423="TNBE", A423="TNBL", A423="TNBD", A423="TNWC", A423="TNBW", A423="THBS"), "PINK",
  A423="CRWD", "BLUE",
  A423="PASS", "WHITE"
)</f>
        <v>#N/A</v>
      </c>
    </row>
    <row r="424" spans="1:23" x14ac:dyDescent="0.25">
      <c r="A424" s="7"/>
      <c r="B424" s="7"/>
      <c r="C424" s="4"/>
      <c r="I424" s="3"/>
      <c r="J424" s="17"/>
      <c r="K424" s="17"/>
      <c r="L424" s="18"/>
      <c r="M424" s="3"/>
      <c r="P424" s="3"/>
      <c r="Q424" s="4"/>
      <c r="R424" s="19"/>
      <c r="S424" s="20"/>
      <c r="U424" s="3" t="str">
        <f t="shared" si="16"/>
        <v/>
      </c>
      <c r="V424" s="4" t="str">
        <f t="shared" si="17"/>
        <v/>
      </c>
      <c r="W424" s="21" t="e" cm="1">
        <f t="array" ref="W424">_xlfn.IFS(
  A424="BELL", "WHITE",
  A424="GAMP", "ORANGE",
  A424="GAMM", "GREEN",
  A424="BWF", "YELLOW",
  OR(A424="TNBE", A424="TNBL", A424="TNBD", A424="TNWC", A424="TNBW", A424="THBS"), "PINK",
  A424="CRWD", "BLUE",
  A424="PASS", "WHITE"
)</f>
        <v>#N/A</v>
      </c>
    </row>
    <row r="425" spans="1:23" x14ac:dyDescent="0.25">
      <c r="A425" s="7"/>
      <c r="B425" s="7"/>
      <c r="C425" s="4"/>
      <c r="I425" s="3"/>
      <c r="J425" s="17"/>
      <c r="K425" s="17"/>
      <c r="L425" s="18"/>
      <c r="M425" s="3"/>
      <c r="P425" s="3"/>
      <c r="Q425" s="4"/>
      <c r="R425" s="19"/>
      <c r="S425" s="20"/>
      <c r="U425" s="3" t="str">
        <f t="shared" si="16"/>
        <v/>
      </c>
      <c r="V425" s="4" t="str">
        <f t="shared" si="17"/>
        <v/>
      </c>
      <c r="W425" s="21" t="e" cm="1">
        <f t="array" ref="W425">_xlfn.IFS(
  A425="BELL", "WHITE",
  A425="GAMP", "ORANGE",
  A425="GAMM", "GREEN",
  A425="BWF", "YELLOW",
  OR(A425="TNBE", A425="TNBL", A425="TNBD", A425="TNWC", A425="TNBW", A425="THBS"), "PINK",
  A425="CRWD", "BLUE",
  A425="PASS", "WHITE"
)</f>
        <v>#N/A</v>
      </c>
    </row>
    <row r="426" spans="1:23" x14ac:dyDescent="0.25">
      <c r="A426" s="7"/>
      <c r="B426" s="7"/>
      <c r="C426" s="4"/>
      <c r="I426" s="3"/>
      <c r="J426" s="17"/>
      <c r="K426" s="17"/>
      <c r="L426" s="18"/>
      <c r="M426" s="3"/>
      <c r="P426" s="3"/>
      <c r="Q426" s="4"/>
      <c r="R426" s="19"/>
      <c r="S426" s="20"/>
      <c r="U426" s="3" t="str">
        <f t="shared" si="16"/>
        <v/>
      </c>
      <c r="V426" s="4" t="str">
        <f t="shared" si="17"/>
        <v/>
      </c>
      <c r="W426" s="21" t="e" cm="1">
        <f t="array" ref="W426">_xlfn.IFS(
  A426="BELL", "WHITE",
  A426="GAMP", "ORANGE",
  A426="GAMM", "GREEN",
  A426="BWF", "YELLOW",
  OR(A426="TNBE", A426="TNBL", A426="TNBD", A426="TNWC", A426="TNBW", A426="THBS"), "PINK",
  A426="CRWD", "BLUE",
  A426="PASS", "WHITE"
)</f>
        <v>#N/A</v>
      </c>
    </row>
    <row r="427" spans="1:23" x14ac:dyDescent="0.25">
      <c r="A427" s="7"/>
      <c r="B427" s="7"/>
      <c r="C427" s="4"/>
      <c r="I427" s="3"/>
      <c r="J427" s="17"/>
      <c r="K427" s="17"/>
      <c r="L427" s="18"/>
      <c r="M427" s="3"/>
      <c r="P427" s="3"/>
      <c r="Q427" s="4"/>
      <c r="R427" s="19"/>
      <c r="S427" s="20"/>
      <c r="U427" s="3" t="str">
        <f t="shared" si="16"/>
        <v/>
      </c>
      <c r="V427" s="4" t="str">
        <f t="shared" si="17"/>
        <v/>
      </c>
      <c r="W427" s="21" t="e" cm="1">
        <f t="array" ref="W427">_xlfn.IFS(
  A427="BELL", "WHITE",
  A427="GAMP", "ORANGE",
  A427="GAMM", "GREEN",
  A427="BWF", "YELLOW",
  OR(A427="TNBE", A427="TNBL", A427="TNBD", A427="TNWC", A427="TNBW", A427="THBS"), "PINK",
  A427="CRWD", "BLUE",
  A427="PASS", "WHITE"
)</f>
        <v>#N/A</v>
      </c>
    </row>
    <row r="428" spans="1:23" x14ac:dyDescent="0.25">
      <c r="A428" s="7"/>
      <c r="B428" s="7"/>
      <c r="C428" s="4"/>
      <c r="I428" s="3"/>
      <c r="J428" s="17"/>
      <c r="K428" s="17"/>
      <c r="L428" s="18"/>
      <c r="M428" s="3"/>
      <c r="P428" s="3"/>
      <c r="Q428" s="4"/>
      <c r="R428" s="19"/>
      <c r="S428" s="20"/>
      <c r="U428" s="3" t="str">
        <f t="shared" si="16"/>
        <v/>
      </c>
      <c r="V428" s="4" t="str">
        <f t="shared" si="17"/>
        <v/>
      </c>
      <c r="W428" s="21" t="e" cm="1">
        <f t="array" ref="W428">_xlfn.IFS(
  A428="BELL", "WHITE",
  A428="GAMP", "ORANGE",
  A428="GAMM", "GREEN",
  A428="BWF", "YELLOW",
  OR(A428="TNBE", A428="TNBL", A428="TNBD", A428="TNWC", A428="TNBW", A428="THBS"), "PINK",
  A428="CRWD", "BLUE",
  A428="PASS", "WHITE"
)</f>
        <v>#N/A</v>
      </c>
    </row>
    <row r="429" spans="1:23" x14ac:dyDescent="0.25">
      <c r="A429" s="7"/>
      <c r="B429" s="7"/>
      <c r="C429" s="4"/>
      <c r="I429" s="3"/>
      <c r="J429" s="17"/>
      <c r="K429" s="17"/>
      <c r="L429" s="18"/>
      <c r="M429" s="3"/>
      <c r="P429" s="3"/>
      <c r="Q429" s="4"/>
      <c r="R429" s="19"/>
      <c r="S429" s="20"/>
      <c r="U429" s="3" t="str">
        <f t="shared" si="16"/>
        <v/>
      </c>
      <c r="V429" s="4" t="str">
        <f t="shared" si="17"/>
        <v/>
      </c>
      <c r="W429" s="21" t="e" cm="1">
        <f t="array" ref="W429">_xlfn.IFS(
  A429="BELL", "WHITE",
  A429="GAMP", "ORANGE",
  A429="GAMM", "GREEN",
  A429="BWF", "YELLOW",
  OR(A429="TNBE", A429="TNBL", A429="TNBD", A429="TNWC", A429="TNBW", A429="THBS"), "PINK",
  A429="CRWD", "BLUE",
  A429="PASS", "WHITE"
)</f>
        <v>#N/A</v>
      </c>
    </row>
    <row r="430" spans="1:23" x14ac:dyDescent="0.25">
      <c r="A430" s="7"/>
      <c r="B430" s="7"/>
      <c r="C430" s="4"/>
      <c r="I430" s="3"/>
      <c r="J430" s="17"/>
      <c r="K430" s="17"/>
      <c r="L430" s="18"/>
      <c r="M430" s="3"/>
      <c r="P430" s="3"/>
      <c r="Q430" s="4"/>
      <c r="R430" s="19"/>
      <c r="S430" s="20"/>
      <c r="U430" s="3" t="str">
        <f t="shared" si="16"/>
        <v/>
      </c>
      <c r="V430" s="4" t="str">
        <f t="shared" si="17"/>
        <v/>
      </c>
      <c r="W430" s="21" t="e" cm="1">
        <f t="array" ref="W430">_xlfn.IFS(
  A430="BELL", "WHITE",
  A430="GAMP", "ORANGE",
  A430="GAMM", "GREEN",
  A430="BWF", "YELLOW",
  OR(A430="TNBE", A430="TNBL", A430="TNBD", A430="TNWC", A430="TNBW", A430="THBS"), "PINK",
  A430="CRWD", "BLUE",
  A430="PASS", "WHITE"
)</f>
        <v>#N/A</v>
      </c>
    </row>
    <row r="431" spans="1:23" x14ac:dyDescent="0.25">
      <c r="A431" s="7"/>
      <c r="B431" s="7"/>
      <c r="C431" s="4"/>
      <c r="I431" s="3"/>
      <c r="J431" s="17"/>
      <c r="K431" s="17"/>
      <c r="L431" s="18"/>
      <c r="M431" s="3"/>
      <c r="P431" s="3"/>
      <c r="Q431" s="4"/>
      <c r="R431" s="19"/>
      <c r="S431" s="20"/>
      <c r="U431" s="3" t="str">
        <f t="shared" si="16"/>
        <v/>
      </c>
      <c r="V431" s="4" t="str">
        <f t="shared" si="17"/>
        <v/>
      </c>
      <c r="W431" s="21" t="e" cm="1">
        <f t="array" ref="W431">_xlfn.IFS(
  A431="BELL", "WHITE",
  A431="GAMP", "ORANGE",
  A431="GAMM", "GREEN",
  A431="BWF", "YELLOW",
  OR(A431="TNBE", A431="TNBL", A431="TNBD", A431="TNWC", A431="TNBW", A431="THBS"), "PINK",
  A431="CRWD", "BLUE",
  A431="PASS", "WHITE"
)</f>
        <v>#N/A</v>
      </c>
    </row>
    <row r="432" spans="1:23" x14ac:dyDescent="0.25">
      <c r="A432" s="7"/>
      <c r="B432" s="7"/>
      <c r="C432" s="4"/>
      <c r="I432" s="3"/>
      <c r="J432" s="17"/>
      <c r="K432" s="17"/>
      <c r="L432" s="18"/>
      <c r="M432" s="3"/>
      <c r="P432" s="3"/>
      <c r="Q432" s="4"/>
      <c r="R432" s="19"/>
      <c r="S432" s="20"/>
      <c r="U432" s="3" t="str">
        <f t="shared" si="16"/>
        <v/>
      </c>
      <c r="V432" s="4" t="str">
        <f t="shared" si="17"/>
        <v/>
      </c>
      <c r="W432" s="21" t="e" cm="1">
        <f t="array" ref="W432">_xlfn.IFS(
  A432="BELL", "WHITE",
  A432="GAMP", "ORANGE",
  A432="GAMM", "GREEN",
  A432="BWF", "YELLOW",
  OR(A432="TNBE", A432="TNBL", A432="TNBD", A432="TNWC", A432="TNBW", A432="THBS"), "PINK",
  A432="CRWD", "BLUE",
  A432="PASS", "WHITE"
)</f>
        <v>#N/A</v>
      </c>
    </row>
    <row r="433" spans="1:23" x14ac:dyDescent="0.25">
      <c r="A433" s="7"/>
      <c r="B433" s="7"/>
      <c r="C433" s="4"/>
      <c r="I433" s="3"/>
      <c r="J433" s="17"/>
      <c r="K433" s="17"/>
      <c r="L433" s="18"/>
      <c r="M433" s="3"/>
      <c r="P433" s="3"/>
      <c r="Q433" s="4"/>
      <c r="R433" s="19"/>
      <c r="S433" s="20"/>
      <c r="U433" s="3" t="str">
        <f t="shared" si="16"/>
        <v/>
      </c>
      <c r="V433" s="4" t="str">
        <f t="shared" si="17"/>
        <v/>
      </c>
      <c r="W433" s="21" t="e" cm="1">
        <f t="array" ref="W433">_xlfn.IFS(
  A433="BELL", "WHITE",
  A433="GAMP", "ORANGE",
  A433="GAMM", "GREEN",
  A433="BWF", "YELLOW",
  OR(A433="TNBE", A433="TNBL", A433="TNBD", A433="TNWC", A433="TNBW", A433="THBS"), "PINK",
  A433="CRWD", "BLUE",
  A433="PASS", "WHITE"
)</f>
        <v>#N/A</v>
      </c>
    </row>
    <row r="434" spans="1:23" x14ac:dyDescent="0.25">
      <c r="A434" s="7"/>
      <c r="B434" s="7"/>
      <c r="C434" s="4"/>
      <c r="I434" s="3"/>
      <c r="J434" s="17"/>
      <c r="K434" s="17"/>
      <c r="L434" s="18"/>
      <c r="M434" s="3"/>
      <c r="P434" s="3"/>
      <c r="Q434" s="4"/>
      <c r="R434" s="19"/>
      <c r="S434" s="20"/>
      <c r="U434" s="3" t="str">
        <f t="shared" si="16"/>
        <v/>
      </c>
      <c r="V434" s="4" t="str">
        <f t="shared" si="17"/>
        <v/>
      </c>
      <c r="W434" s="21" t="e" cm="1">
        <f t="array" ref="W434">_xlfn.IFS(
  A434="BELL", "WHITE",
  A434="GAMP", "ORANGE",
  A434="GAMM", "GREEN",
  A434="BWF", "YELLOW",
  OR(A434="TNBE", A434="TNBL", A434="TNBD", A434="TNWC", A434="TNBW", A434="THBS"), "PINK",
  A434="CRWD", "BLUE",
  A434="PASS", "WHITE"
)</f>
        <v>#N/A</v>
      </c>
    </row>
    <row r="435" spans="1:23" x14ac:dyDescent="0.25">
      <c r="A435" s="7"/>
      <c r="B435" s="7"/>
      <c r="C435" s="4"/>
      <c r="I435" s="3"/>
      <c r="J435" s="17"/>
      <c r="K435" s="17"/>
      <c r="L435" s="18"/>
      <c r="M435" s="3"/>
      <c r="P435" s="3"/>
      <c r="Q435" s="4"/>
      <c r="R435" s="19"/>
      <c r="S435" s="20"/>
      <c r="U435" s="3" t="str">
        <f t="shared" si="16"/>
        <v/>
      </c>
      <c r="V435" s="4" t="str">
        <f t="shared" si="17"/>
        <v/>
      </c>
      <c r="W435" s="21" t="e" cm="1">
        <f t="array" ref="W435">_xlfn.IFS(
  A435="BELL", "WHITE",
  A435="GAMP", "ORANGE",
  A435="GAMM", "GREEN",
  A435="BWF", "YELLOW",
  OR(A435="TNBE", A435="TNBL", A435="TNBD", A435="TNWC", A435="TNBW", A435="THBS"), "PINK",
  A435="CRWD", "BLUE",
  A435="PASS", "WHITE"
)</f>
        <v>#N/A</v>
      </c>
    </row>
    <row r="436" spans="1:23" x14ac:dyDescent="0.25">
      <c r="A436" s="7"/>
      <c r="B436" s="7"/>
      <c r="C436" s="4"/>
      <c r="I436" s="3"/>
      <c r="J436" s="17"/>
      <c r="K436" s="17"/>
      <c r="L436" s="18"/>
      <c r="M436" s="3"/>
      <c r="P436" s="3"/>
      <c r="Q436" s="4"/>
      <c r="R436" s="19"/>
      <c r="S436" s="20"/>
      <c r="U436" s="3" t="str">
        <f t="shared" si="16"/>
        <v/>
      </c>
      <c r="V436" s="4" t="str">
        <f t="shared" si="17"/>
        <v/>
      </c>
      <c r="W436" s="21" t="e" cm="1">
        <f t="array" ref="W436">_xlfn.IFS(
  A436="BELL", "WHITE",
  A436="GAMP", "ORANGE",
  A436="GAMM", "GREEN",
  A436="BWF", "YELLOW",
  OR(A436="TNBE", A436="TNBL", A436="TNBD", A436="TNWC", A436="TNBW", A436="THBS"), "PINK",
  A436="CRWD", "BLUE",
  A436="PASS", "WHITE"
)</f>
        <v>#N/A</v>
      </c>
    </row>
    <row r="437" spans="1:23" x14ac:dyDescent="0.25">
      <c r="A437" s="7"/>
      <c r="B437" s="7"/>
      <c r="C437" s="4"/>
      <c r="I437" s="3"/>
      <c r="J437" s="17"/>
      <c r="K437" s="17"/>
      <c r="L437" s="18"/>
      <c r="M437" s="3"/>
      <c r="P437" s="3"/>
      <c r="Q437" s="4"/>
      <c r="R437" s="19"/>
      <c r="S437" s="20"/>
      <c r="U437" s="3" t="str">
        <f t="shared" si="16"/>
        <v/>
      </c>
      <c r="V437" s="4" t="str">
        <f t="shared" si="17"/>
        <v/>
      </c>
      <c r="W437" s="21" t="e" cm="1">
        <f t="array" ref="W437">_xlfn.IFS(
  A437="BELL", "WHITE",
  A437="GAMP", "ORANGE",
  A437="GAMM", "GREEN",
  A437="BWF", "YELLOW",
  OR(A437="TNBE", A437="TNBL", A437="TNBD", A437="TNWC", A437="TNBW", A437="THBS"), "PINK",
  A437="CRWD", "BLUE",
  A437="PASS", "WHITE"
)</f>
        <v>#N/A</v>
      </c>
    </row>
    <row r="438" spans="1:23" x14ac:dyDescent="0.25">
      <c r="A438" s="7"/>
      <c r="B438" s="7"/>
      <c r="C438" s="4"/>
      <c r="I438" s="3"/>
      <c r="J438" s="17"/>
      <c r="K438" s="17"/>
      <c r="L438" s="18"/>
      <c r="M438" s="3"/>
      <c r="P438" s="3"/>
      <c r="Q438" s="4"/>
      <c r="R438" s="19"/>
      <c r="S438" s="20"/>
      <c r="U438" s="3" t="str">
        <f t="shared" si="16"/>
        <v/>
      </c>
      <c r="V438" s="4" t="str">
        <f t="shared" si="17"/>
        <v/>
      </c>
      <c r="W438" s="21" t="e" cm="1">
        <f t="array" ref="W438">_xlfn.IFS(
  A438="BELL", "WHITE",
  A438="GAMP", "ORANGE",
  A438="GAMM", "GREEN",
  A438="BWF", "YELLOW",
  OR(A438="TNBE", A438="TNBL", A438="TNBD", A438="TNWC", A438="TNBW", A438="THBS"), "PINK",
  A438="CRWD", "BLUE",
  A438="PASS", "WHITE"
)</f>
        <v>#N/A</v>
      </c>
    </row>
    <row r="439" spans="1:23" x14ac:dyDescent="0.25">
      <c r="A439" s="7"/>
      <c r="B439" s="7"/>
      <c r="C439" s="4"/>
      <c r="I439" s="3"/>
      <c r="J439" s="17"/>
      <c r="K439" s="17"/>
      <c r="L439" s="18"/>
      <c r="M439" s="3"/>
      <c r="P439" s="3"/>
      <c r="Q439" s="4"/>
      <c r="R439" s="19"/>
      <c r="S439" s="20"/>
      <c r="U439" s="3" t="str">
        <f t="shared" si="16"/>
        <v/>
      </c>
      <c r="V439" s="4" t="str">
        <f t="shared" si="17"/>
        <v/>
      </c>
      <c r="W439" s="21" t="e" cm="1">
        <f t="array" ref="W439">_xlfn.IFS(
  A439="BELL", "WHITE",
  A439="GAMP", "ORANGE",
  A439="GAMM", "GREEN",
  A439="BWF", "YELLOW",
  OR(A439="TNBE", A439="TNBL", A439="TNBD", A439="TNWC", A439="TNBW", A439="THBS"), "PINK",
  A439="CRWD", "BLUE",
  A439="PASS", "WHITE"
)</f>
        <v>#N/A</v>
      </c>
    </row>
    <row r="440" spans="1:23" x14ac:dyDescent="0.25">
      <c r="A440" s="7"/>
      <c r="B440" s="7"/>
      <c r="C440" s="4"/>
      <c r="I440" s="3"/>
      <c r="J440" s="17"/>
      <c r="K440" s="17"/>
      <c r="L440" s="18"/>
      <c r="M440" s="3"/>
      <c r="P440" s="3"/>
      <c r="Q440" s="4"/>
      <c r="R440" s="19"/>
      <c r="S440" s="20"/>
      <c r="U440" s="3" t="str">
        <f t="shared" si="16"/>
        <v/>
      </c>
      <c r="V440" s="4" t="str">
        <f t="shared" si="17"/>
        <v/>
      </c>
      <c r="W440" s="21" t="e" cm="1">
        <f t="array" ref="W440">_xlfn.IFS(
  A440="BELL", "WHITE",
  A440="GAMP", "ORANGE",
  A440="GAMM", "GREEN",
  A440="BWF", "YELLOW",
  OR(A440="TNBE", A440="TNBL", A440="TNBD", A440="TNWC", A440="TNBW", A440="THBS"), "PINK",
  A440="CRWD", "BLUE",
  A440="PASS", "WHITE"
)</f>
        <v>#N/A</v>
      </c>
    </row>
    <row r="441" spans="1:23" x14ac:dyDescent="0.25">
      <c r="A441" s="7"/>
      <c r="B441" s="7"/>
      <c r="C441" s="4"/>
      <c r="I441" s="3"/>
      <c r="J441" s="17"/>
      <c r="K441" s="17"/>
      <c r="L441" s="18"/>
      <c r="M441" s="3"/>
      <c r="P441" s="3"/>
      <c r="Q441" s="4"/>
      <c r="R441" s="19"/>
      <c r="S441" s="20"/>
      <c r="U441" s="3" t="str">
        <f t="shared" si="16"/>
        <v/>
      </c>
      <c r="V441" s="4" t="str">
        <f t="shared" si="17"/>
        <v/>
      </c>
      <c r="W441" s="21" t="e" cm="1">
        <f t="array" ref="W441">_xlfn.IFS(
  A441="BELL", "WHITE",
  A441="GAMP", "ORANGE",
  A441="GAMM", "GREEN",
  A441="BWF", "YELLOW",
  OR(A441="TNBE", A441="TNBL", A441="TNBD", A441="TNWC", A441="TNBW", A441="THBS"), "PINK",
  A441="CRWD", "BLUE",
  A441="PASS", "WHITE"
)</f>
        <v>#N/A</v>
      </c>
    </row>
    <row r="442" spans="1:23" x14ac:dyDescent="0.25">
      <c r="A442" s="7"/>
      <c r="B442" s="7"/>
      <c r="C442" s="4"/>
      <c r="H442" s="2"/>
      <c r="I442" s="3"/>
      <c r="J442" s="17"/>
      <c r="K442" s="17"/>
      <c r="L442" s="18"/>
      <c r="M442" s="18"/>
      <c r="P442" s="3"/>
      <c r="Q442" s="4"/>
      <c r="R442" s="19"/>
      <c r="S442" s="20"/>
      <c r="U442" s="3" t="str">
        <f t="shared" si="16"/>
        <v/>
      </c>
      <c r="V442" s="4" t="str">
        <f t="shared" si="17"/>
        <v/>
      </c>
      <c r="W442" s="21" t="e" cm="1">
        <f t="array" ref="W442">_xlfn.IFS(
  A442="BELL", "WHITE",
  A442="GAMP", "ORANGE",
  A442="GAMM", "GREEN",
  A442="BWF", "YELLOW",
  OR(A442="TNBE", A442="TNBL", A442="TNBD", A442="TNWC", A442="TNBW", A442="THBS"), "PINK",
  A442="CRWD", "BLUE",
  A442="PASS", "WHITE"
)</f>
        <v>#N/A</v>
      </c>
    </row>
    <row r="443" spans="1:23" x14ac:dyDescent="0.25">
      <c r="A443" s="7"/>
      <c r="B443" s="7"/>
      <c r="C443" s="4"/>
      <c r="H443" s="2"/>
      <c r="I443" s="3"/>
      <c r="J443" s="17"/>
      <c r="K443" s="17"/>
      <c r="L443" s="18"/>
      <c r="M443" s="18"/>
      <c r="P443" s="3"/>
      <c r="Q443" s="4"/>
      <c r="R443" s="19"/>
      <c r="S443" s="20"/>
      <c r="U443" s="3" t="str">
        <f t="shared" si="16"/>
        <v/>
      </c>
      <c r="V443" s="4" t="str">
        <f t="shared" si="17"/>
        <v/>
      </c>
      <c r="W443" s="21" t="e" cm="1">
        <f t="array" ref="W443">_xlfn.IFS(
  A443="BELL", "WHITE",
  A443="GAMP", "ORANGE",
  A443="GAMM", "GREEN",
  A443="BWF", "YELLOW",
  OR(A443="TNBE", A443="TNBL", A443="TNBD", A443="TNWC", A443="TNBW", A443="THBS"), "PINK",
  A443="CRWD", "BLUE",
  A443="PASS", "WHITE"
)</f>
        <v>#N/A</v>
      </c>
    </row>
    <row r="444" spans="1:23" x14ac:dyDescent="0.25">
      <c r="A444" s="7"/>
      <c r="B444" s="7"/>
      <c r="C444" s="4"/>
      <c r="H444" s="2"/>
      <c r="I444" s="3"/>
      <c r="J444" s="17"/>
      <c r="K444" s="17"/>
      <c r="L444" s="18"/>
      <c r="M444" s="18"/>
      <c r="P444" s="3"/>
      <c r="Q444" s="4"/>
      <c r="R444" s="19"/>
      <c r="S444" s="20"/>
      <c r="U444" s="3" t="str">
        <f t="shared" si="16"/>
        <v/>
      </c>
      <c r="V444" s="4" t="str">
        <f t="shared" si="17"/>
        <v/>
      </c>
      <c r="W444" s="21" t="e" cm="1">
        <f t="array" ref="W444">_xlfn.IFS(
  A444="BELL", "WHITE",
  A444="GAMP", "ORANGE",
  A444="GAMM", "GREEN",
  A444="BWF", "YELLOW",
  OR(A444="TNBE", A444="TNBL", A444="TNBD", A444="TNWC", A444="TNBW", A444="THBS"), "PINK",
  A444="CRWD", "BLUE",
  A444="PASS", "WHITE"
)</f>
        <v>#N/A</v>
      </c>
    </row>
    <row r="445" spans="1:23" x14ac:dyDescent="0.25">
      <c r="A445" s="7"/>
      <c r="B445" s="7"/>
      <c r="C445" s="4"/>
      <c r="I445" s="3"/>
      <c r="J445" s="17"/>
      <c r="K445" s="17"/>
      <c r="L445" s="18"/>
      <c r="M445" s="3"/>
      <c r="P445" s="3"/>
      <c r="Q445" s="4"/>
      <c r="R445" s="19"/>
      <c r="S445" s="20"/>
      <c r="U445" s="3" t="str">
        <f t="shared" si="16"/>
        <v/>
      </c>
      <c r="V445" s="4" t="str">
        <f t="shared" si="17"/>
        <v/>
      </c>
      <c r="W445" s="21" t="e" cm="1">
        <f t="array" ref="W445">_xlfn.IFS(
  A445="BELL", "WHITE",
  A445="GAMP", "ORANGE",
  A445="GAMM", "GREEN",
  A445="BWF", "YELLOW",
  OR(A445="TNBE", A445="TNBL", A445="TNBD", A445="TNWC", A445="TNBW", A445="THBS"), "PINK",
  A445="CRWD", "BLUE",
  A445="PASS", "WHITE"
)</f>
        <v>#N/A</v>
      </c>
    </row>
    <row r="446" spans="1:23" x14ac:dyDescent="0.25">
      <c r="A446" s="7"/>
      <c r="B446" s="7"/>
      <c r="C446" s="4"/>
      <c r="I446" s="3"/>
      <c r="J446" s="17"/>
      <c r="K446" s="17"/>
      <c r="L446" s="18"/>
      <c r="M446" s="3"/>
      <c r="P446" s="3"/>
      <c r="Q446" s="4"/>
      <c r="R446" s="19"/>
      <c r="S446" s="20"/>
      <c r="U446" s="3" t="str">
        <f t="shared" si="16"/>
        <v/>
      </c>
      <c r="V446" s="4" t="str">
        <f t="shared" si="17"/>
        <v/>
      </c>
      <c r="W446" s="21" t="e" cm="1">
        <f t="array" ref="W446">_xlfn.IFS(
  A446="BELL", "WHITE",
  A446="GAMP", "ORANGE",
  A446="GAMM", "GREEN",
  A446="BWF", "YELLOW",
  OR(A446="TNBE", A446="TNBL", A446="TNBD", A446="TNWC", A446="TNBW", A446="THBS"), "PINK",
  A446="CRWD", "BLUE",
  A446="PASS", "WHITE"
)</f>
        <v>#N/A</v>
      </c>
    </row>
    <row r="447" spans="1:23" x14ac:dyDescent="0.25">
      <c r="A447" s="7"/>
      <c r="B447" s="7"/>
      <c r="C447" s="4"/>
      <c r="I447" s="3"/>
      <c r="J447" s="17"/>
      <c r="K447" s="17"/>
      <c r="L447" s="18"/>
      <c r="M447" s="3"/>
      <c r="P447" s="3"/>
      <c r="Q447" s="4"/>
      <c r="R447" s="19"/>
      <c r="S447" s="20"/>
      <c r="U447" s="3" t="str">
        <f t="shared" si="16"/>
        <v/>
      </c>
      <c r="V447" s="4" t="str">
        <f t="shared" si="17"/>
        <v/>
      </c>
      <c r="W447" s="21" t="e" cm="1">
        <f t="array" ref="W447">_xlfn.IFS(
  A447="BELL", "WHITE",
  A447="GAMP", "ORANGE",
  A447="GAMM", "GREEN",
  A447="BWF", "YELLOW",
  OR(A447="TNBE", A447="TNBL", A447="TNBD", A447="TNWC", A447="TNBW", A447="THBS"), "PINK",
  A447="CRWD", "BLUE",
  A447="PASS", "WHITE"
)</f>
        <v>#N/A</v>
      </c>
    </row>
    <row r="448" spans="1:23" x14ac:dyDescent="0.25">
      <c r="A448" s="7"/>
      <c r="B448" s="7"/>
      <c r="C448" s="4"/>
      <c r="I448" s="3"/>
      <c r="J448" s="17"/>
      <c r="K448" s="17"/>
      <c r="L448" s="18"/>
      <c r="M448" s="3"/>
      <c r="P448" s="3"/>
      <c r="Q448" s="4"/>
      <c r="R448" s="19"/>
      <c r="S448" s="20"/>
      <c r="U448" s="3" t="str">
        <f t="shared" si="16"/>
        <v/>
      </c>
      <c r="V448" s="4" t="str">
        <f t="shared" si="17"/>
        <v/>
      </c>
      <c r="W448" s="21" t="e" cm="1">
        <f t="array" ref="W448">_xlfn.IFS(
  A448="BELL", "WHITE",
  A448="GAMP", "ORANGE",
  A448="GAMM", "GREEN",
  A448="BWF", "YELLOW",
  OR(A448="TNBE", A448="TNBL", A448="TNBD", A448="TNWC", A448="TNBW", A448="THBS"), "PINK",
  A448="CRWD", "BLUE",
  A448="PASS", "WHITE"
)</f>
        <v>#N/A</v>
      </c>
    </row>
    <row r="449" spans="1:23" x14ac:dyDescent="0.25">
      <c r="A449" s="7"/>
      <c r="B449" s="7"/>
      <c r="C449" s="4"/>
      <c r="I449" s="3"/>
      <c r="J449" s="17"/>
      <c r="K449" s="17"/>
      <c r="L449" s="18"/>
      <c r="M449" s="3"/>
      <c r="P449" s="3"/>
      <c r="Q449" s="4"/>
      <c r="R449" s="19"/>
      <c r="S449" s="20"/>
      <c r="U449" s="3" t="str">
        <f t="shared" si="16"/>
        <v/>
      </c>
      <c r="V449" s="4" t="str">
        <f t="shared" si="17"/>
        <v/>
      </c>
      <c r="W449" s="21" t="e" cm="1">
        <f t="array" ref="W449">_xlfn.IFS(
  A449="BELL", "WHITE",
  A449="GAMP", "ORANGE",
  A449="GAMM", "GREEN",
  A449="BWF", "YELLOW",
  OR(A449="TNBE", A449="TNBL", A449="TNBD", A449="TNWC", A449="TNBW", A449="THBS"), "PINK",
  A449="CRWD", "BLUE",
  A449="PASS", "WHITE"
)</f>
        <v>#N/A</v>
      </c>
    </row>
    <row r="450" spans="1:23" x14ac:dyDescent="0.25">
      <c r="A450" s="7"/>
      <c r="B450" s="7"/>
      <c r="C450" s="4"/>
      <c r="I450" s="3"/>
      <c r="J450" s="17"/>
      <c r="K450" s="17"/>
      <c r="L450" s="18"/>
      <c r="M450" s="3"/>
      <c r="P450" s="3"/>
      <c r="Q450" s="4"/>
      <c r="R450" s="19"/>
      <c r="S450" s="20"/>
      <c r="U450" s="3" t="str">
        <f t="shared" si="16"/>
        <v/>
      </c>
      <c r="V450" s="4" t="str">
        <f t="shared" si="17"/>
        <v/>
      </c>
      <c r="W450" s="21" t="e" cm="1">
        <f t="array" ref="W450">_xlfn.IFS(
  A450="BELL", "WHITE",
  A450="GAMP", "ORANGE",
  A450="GAMM", "GREEN",
  A450="BWF", "YELLOW",
  OR(A450="TNBE", A450="TNBL", A450="TNBD", A450="TNWC", A450="TNBW", A450="THBS"), "PINK",
  A450="CRWD", "BLUE",
  A450="PASS", "WHITE"
)</f>
        <v>#N/A</v>
      </c>
    </row>
    <row r="451" spans="1:23" x14ac:dyDescent="0.25">
      <c r="A451" s="7"/>
      <c r="B451" s="7"/>
      <c r="C451" s="4"/>
      <c r="I451" s="3"/>
      <c r="J451" s="17"/>
      <c r="K451" s="17"/>
      <c r="L451" s="18"/>
      <c r="M451" s="3"/>
      <c r="P451" s="3"/>
      <c r="Q451" s="4"/>
      <c r="R451" s="19"/>
      <c r="S451" s="20"/>
      <c r="U451" s="3" t="str">
        <f t="shared" si="16"/>
        <v/>
      </c>
      <c r="V451" s="4" t="str">
        <f t="shared" si="17"/>
        <v/>
      </c>
      <c r="W451" s="21" t="e" cm="1">
        <f t="array" ref="W451">_xlfn.IFS(
  A451="BELL", "WHITE",
  A451="GAMP", "ORANGE",
  A451="GAMM", "GREEN",
  A451="BWF", "YELLOW",
  OR(A451="TNBE", A451="TNBL", A451="TNBD", A451="TNWC", A451="TNBW", A451="THBS"), "PINK",
  A451="CRWD", "BLUE",
  A451="PASS", "WHITE"
)</f>
        <v>#N/A</v>
      </c>
    </row>
    <row r="452" spans="1:23" x14ac:dyDescent="0.25">
      <c r="A452" s="7"/>
      <c r="B452" s="7"/>
      <c r="C452" s="4"/>
      <c r="I452" s="3"/>
      <c r="J452" s="17"/>
      <c r="K452" s="17"/>
      <c r="L452" s="18"/>
      <c r="M452" s="3"/>
      <c r="P452" s="3"/>
      <c r="Q452" s="4"/>
      <c r="R452" s="19"/>
      <c r="S452" s="20"/>
      <c r="U452" s="3" t="str">
        <f t="shared" ref="U452:U515" si="18">IF(T452="","",IF(T452&gt;I452,H452,T452/G452))</f>
        <v/>
      </c>
      <c r="V452" s="4" t="str">
        <f t="shared" ref="V452:V515" si="19">IF(T452&gt;I452,T452-I452,"")</f>
        <v/>
      </c>
      <c r="W452" s="21" t="e" cm="1">
        <f t="array" ref="W452">_xlfn.IFS(
  A452="BELL", "WHITE",
  A452="GAMP", "ORANGE",
  A452="GAMM", "GREEN",
  A452="BWF", "YELLOW",
  OR(A452="TNBE", A452="TNBL", A452="TNBD", A452="TNWC", A452="TNBW", A452="THBS"), "PINK",
  A452="CRWD", "BLUE",
  A452="PASS", "WHITE"
)</f>
        <v>#N/A</v>
      </c>
    </row>
    <row r="453" spans="1:23" x14ac:dyDescent="0.25">
      <c r="A453" s="7"/>
      <c r="B453" s="7"/>
      <c r="C453" s="4"/>
      <c r="I453" s="3"/>
      <c r="J453" s="17"/>
      <c r="K453" s="17"/>
      <c r="L453" s="18"/>
      <c r="M453" s="3"/>
      <c r="P453" s="3"/>
      <c r="Q453" s="4"/>
      <c r="R453" s="19"/>
      <c r="S453" s="20"/>
      <c r="U453" s="3" t="str">
        <f t="shared" si="18"/>
        <v/>
      </c>
      <c r="V453" s="4" t="str">
        <f t="shared" si="19"/>
        <v/>
      </c>
      <c r="W453" s="21" t="e" cm="1">
        <f t="array" ref="W453">_xlfn.IFS(
  A453="BELL", "WHITE",
  A453="GAMP", "ORANGE",
  A453="GAMM", "GREEN",
  A453="BWF", "YELLOW",
  OR(A453="TNBE", A453="TNBL", A453="TNBD", A453="TNWC", A453="TNBW", A453="THBS"), "PINK",
  A453="CRWD", "BLUE",
  A453="PASS", "WHITE"
)</f>
        <v>#N/A</v>
      </c>
    </row>
    <row r="454" spans="1:23" x14ac:dyDescent="0.25">
      <c r="A454" s="7"/>
      <c r="B454" s="7"/>
      <c r="C454" s="4"/>
      <c r="I454" s="3"/>
      <c r="J454" s="17"/>
      <c r="K454" s="17"/>
      <c r="L454" s="18"/>
      <c r="M454" s="3"/>
      <c r="P454" s="3"/>
      <c r="Q454" s="4"/>
      <c r="R454" s="19"/>
      <c r="S454" s="20"/>
      <c r="U454" s="3" t="str">
        <f t="shared" si="18"/>
        <v/>
      </c>
      <c r="V454" s="4" t="str">
        <f t="shared" si="19"/>
        <v/>
      </c>
      <c r="W454" s="21" t="e" cm="1">
        <f t="array" ref="W454">_xlfn.IFS(
  A454="BELL", "WHITE",
  A454="GAMP", "ORANGE",
  A454="GAMM", "GREEN",
  A454="BWF", "YELLOW",
  OR(A454="TNBE", A454="TNBL", A454="TNBD", A454="TNWC", A454="TNBW", A454="THBS"), "PINK",
  A454="CRWD", "BLUE",
  A454="PASS", "WHITE"
)</f>
        <v>#N/A</v>
      </c>
    </row>
    <row r="455" spans="1:23" x14ac:dyDescent="0.25">
      <c r="A455" s="7"/>
      <c r="B455" s="7"/>
      <c r="C455" s="4"/>
      <c r="I455" s="3"/>
      <c r="J455" s="17"/>
      <c r="K455" s="17"/>
      <c r="L455" s="18"/>
      <c r="M455" s="3"/>
      <c r="P455" s="3"/>
      <c r="Q455" s="4"/>
      <c r="R455" s="19"/>
      <c r="S455" s="20"/>
      <c r="U455" s="3" t="str">
        <f t="shared" si="18"/>
        <v/>
      </c>
      <c r="V455" s="4" t="str">
        <f t="shared" si="19"/>
        <v/>
      </c>
      <c r="W455" s="21" t="e" cm="1">
        <f t="array" ref="W455">_xlfn.IFS(
  A455="BELL", "WHITE",
  A455="GAMP", "ORANGE",
  A455="GAMM", "GREEN",
  A455="BWF", "YELLOW",
  OR(A455="TNBE", A455="TNBL", A455="TNBD", A455="TNWC", A455="TNBW", A455="THBS"), "PINK",
  A455="CRWD", "BLUE",
  A455="PASS", "WHITE"
)</f>
        <v>#N/A</v>
      </c>
    </row>
    <row r="456" spans="1:23" x14ac:dyDescent="0.25">
      <c r="A456" s="7"/>
      <c r="B456" s="7"/>
      <c r="C456" s="4"/>
      <c r="I456" s="3"/>
      <c r="J456" s="17"/>
      <c r="K456" s="17"/>
      <c r="L456" s="18"/>
      <c r="M456" s="3"/>
      <c r="P456" s="3"/>
      <c r="Q456" s="4"/>
      <c r="R456" s="19"/>
      <c r="S456" s="20"/>
      <c r="U456" s="3" t="str">
        <f t="shared" si="18"/>
        <v/>
      </c>
      <c r="V456" s="4" t="str">
        <f t="shared" si="19"/>
        <v/>
      </c>
      <c r="W456" s="21" t="e" cm="1">
        <f t="array" ref="W456">_xlfn.IFS(
  A456="BELL", "WHITE",
  A456="GAMP", "ORANGE",
  A456="GAMM", "GREEN",
  A456="BWF", "YELLOW",
  OR(A456="TNBE", A456="TNBL", A456="TNBD", A456="TNWC", A456="TNBW", A456="THBS"), "PINK",
  A456="CRWD", "BLUE",
  A456="PASS", "WHITE"
)</f>
        <v>#N/A</v>
      </c>
    </row>
    <row r="457" spans="1:23" x14ac:dyDescent="0.25">
      <c r="A457" s="7"/>
      <c r="B457" s="7"/>
      <c r="C457" s="4"/>
      <c r="I457" s="3"/>
      <c r="J457" s="17"/>
      <c r="K457" s="17"/>
      <c r="L457" s="18"/>
      <c r="M457" s="3"/>
      <c r="P457" s="3"/>
      <c r="Q457" s="4"/>
      <c r="R457" s="19"/>
      <c r="S457" s="20"/>
      <c r="U457" s="3" t="str">
        <f t="shared" si="18"/>
        <v/>
      </c>
      <c r="V457" s="4" t="str">
        <f t="shared" si="19"/>
        <v/>
      </c>
      <c r="W457" s="21" t="e" cm="1">
        <f t="array" ref="W457">_xlfn.IFS(
  A457="BELL", "WHITE",
  A457="GAMP", "ORANGE",
  A457="GAMM", "GREEN",
  A457="BWF", "YELLOW",
  OR(A457="TNBE", A457="TNBL", A457="TNBD", A457="TNWC", A457="TNBW", A457="THBS"), "PINK",
  A457="CRWD", "BLUE",
  A457="PASS", "WHITE"
)</f>
        <v>#N/A</v>
      </c>
    </row>
    <row r="458" spans="1:23" x14ac:dyDescent="0.25">
      <c r="A458" s="7"/>
      <c r="B458" s="7"/>
      <c r="C458" s="4"/>
      <c r="I458" s="3"/>
      <c r="J458" s="17"/>
      <c r="K458" s="17"/>
      <c r="L458" s="18"/>
      <c r="M458" s="3"/>
      <c r="P458" s="3"/>
      <c r="Q458" s="4"/>
      <c r="R458" s="19"/>
      <c r="S458" s="20"/>
      <c r="U458" s="3" t="str">
        <f t="shared" si="18"/>
        <v/>
      </c>
      <c r="V458" s="4" t="str">
        <f t="shared" si="19"/>
        <v/>
      </c>
      <c r="W458" s="21" t="e" cm="1">
        <f t="array" ref="W458">_xlfn.IFS(
  A458="BELL", "WHITE",
  A458="GAMP", "ORANGE",
  A458="GAMM", "GREEN",
  A458="BWF", "YELLOW",
  OR(A458="TNBE", A458="TNBL", A458="TNBD", A458="TNWC", A458="TNBW", A458="THBS"), "PINK",
  A458="CRWD", "BLUE",
  A458="PASS", "WHITE"
)</f>
        <v>#N/A</v>
      </c>
    </row>
    <row r="459" spans="1:23" x14ac:dyDescent="0.25">
      <c r="A459" s="7"/>
      <c r="B459" s="7"/>
      <c r="C459" s="4"/>
      <c r="I459" s="3"/>
      <c r="J459" s="17"/>
      <c r="K459" s="17"/>
      <c r="L459" s="18"/>
      <c r="M459" s="3"/>
      <c r="P459" s="3"/>
      <c r="Q459" s="4"/>
      <c r="R459" s="19"/>
      <c r="S459" s="20"/>
      <c r="U459" s="3" t="str">
        <f t="shared" si="18"/>
        <v/>
      </c>
      <c r="V459" s="4" t="str">
        <f t="shared" si="19"/>
        <v/>
      </c>
      <c r="W459" s="21" t="e" cm="1">
        <f t="array" ref="W459">_xlfn.IFS(
  A459="BELL", "WHITE",
  A459="GAMP", "ORANGE",
  A459="GAMM", "GREEN",
  A459="BWF", "YELLOW",
  OR(A459="TNBE", A459="TNBL", A459="TNBD", A459="TNWC", A459="TNBW", A459="THBS"), "PINK",
  A459="CRWD", "BLUE",
  A459="PASS", "WHITE"
)</f>
        <v>#N/A</v>
      </c>
    </row>
    <row r="460" spans="1:23" x14ac:dyDescent="0.25">
      <c r="A460" s="7"/>
      <c r="B460" s="7"/>
      <c r="C460" s="4"/>
      <c r="I460" s="3"/>
      <c r="J460" s="17"/>
      <c r="K460" s="17"/>
      <c r="L460" s="18"/>
      <c r="M460" s="3"/>
      <c r="P460" s="3"/>
      <c r="Q460" s="4"/>
      <c r="R460" s="19"/>
      <c r="S460" s="20"/>
      <c r="U460" s="3" t="str">
        <f t="shared" si="18"/>
        <v/>
      </c>
      <c r="V460" s="4" t="str">
        <f t="shared" si="19"/>
        <v/>
      </c>
      <c r="W460" s="21" t="e" cm="1">
        <f t="array" ref="W460">_xlfn.IFS(
  A460="BELL", "WHITE",
  A460="GAMP", "ORANGE",
  A460="GAMM", "GREEN",
  A460="BWF", "YELLOW",
  OR(A460="TNBE", A460="TNBL", A460="TNBD", A460="TNWC", A460="TNBW", A460="THBS"), "PINK",
  A460="CRWD", "BLUE",
  A460="PASS", "WHITE"
)</f>
        <v>#N/A</v>
      </c>
    </row>
    <row r="461" spans="1:23" x14ac:dyDescent="0.25">
      <c r="A461" s="7"/>
      <c r="B461" s="7"/>
      <c r="C461" s="4"/>
      <c r="I461" s="3"/>
      <c r="J461" s="17"/>
      <c r="K461" s="17"/>
      <c r="L461" s="18"/>
      <c r="M461" s="3"/>
      <c r="P461" s="3"/>
      <c r="Q461" s="4"/>
      <c r="R461" s="19"/>
      <c r="S461" s="20"/>
      <c r="U461" s="3" t="str">
        <f t="shared" si="18"/>
        <v/>
      </c>
      <c r="V461" s="4" t="str">
        <f t="shared" si="19"/>
        <v/>
      </c>
      <c r="W461" s="21" t="e" cm="1">
        <f t="array" ref="W461">_xlfn.IFS(
  A461="BELL", "WHITE",
  A461="GAMP", "ORANGE",
  A461="GAMM", "GREEN",
  A461="BWF", "YELLOW",
  OR(A461="TNBE", A461="TNBL", A461="TNBD", A461="TNWC", A461="TNBW", A461="THBS"), "PINK",
  A461="CRWD", "BLUE",
  A461="PASS", "WHITE"
)</f>
        <v>#N/A</v>
      </c>
    </row>
    <row r="462" spans="1:23" x14ac:dyDescent="0.25">
      <c r="A462" s="7"/>
      <c r="B462" s="7"/>
      <c r="C462" s="4"/>
      <c r="I462" s="3"/>
      <c r="J462" s="17"/>
      <c r="K462" s="17"/>
      <c r="L462" s="18"/>
      <c r="M462" s="3"/>
      <c r="P462" s="3"/>
      <c r="Q462" s="4"/>
      <c r="R462" s="19"/>
      <c r="S462" s="20"/>
      <c r="U462" s="3" t="str">
        <f t="shared" si="18"/>
        <v/>
      </c>
      <c r="V462" s="4" t="str">
        <f t="shared" si="19"/>
        <v/>
      </c>
      <c r="W462" s="21" t="e" cm="1">
        <f t="array" ref="W462">_xlfn.IFS(
  A462="BELL", "WHITE",
  A462="GAMP", "ORANGE",
  A462="GAMM", "GREEN",
  A462="BWF", "YELLOW",
  OR(A462="TNBE", A462="TNBL", A462="TNBD", A462="TNWC", A462="TNBW", A462="THBS"), "PINK",
  A462="CRWD", "BLUE",
  A462="PASS", "WHITE"
)</f>
        <v>#N/A</v>
      </c>
    </row>
    <row r="463" spans="1:23" x14ac:dyDescent="0.25">
      <c r="A463" s="7"/>
      <c r="B463" s="7"/>
      <c r="C463" s="4"/>
      <c r="I463" s="3"/>
      <c r="J463" s="17"/>
      <c r="K463" s="17"/>
      <c r="L463" s="18"/>
      <c r="M463" s="3"/>
      <c r="P463" s="3"/>
      <c r="Q463" s="4"/>
      <c r="R463" s="19"/>
      <c r="S463" s="20"/>
      <c r="U463" s="3" t="str">
        <f t="shared" si="18"/>
        <v/>
      </c>
      <c r="V463" s="4" t="str">
        <f t="shared" si="19"/>
        <v/>
      </c>
      <c r="W463" s="21" t="e" cm="1">
        <f t="array" ref="W463">_xlfn.IFS(
  A463="BELL", "WHITE",
  A463="GAMP", "ORANGE",
  A463="GAMM", "GREEN",
  A463="BWF", "YELLOW",
  OR(A463="TNBE", A463="TNBL", A463="TNBD", A463="TNWC", A463="TNBW", A463="THBS"), "PINK",
  A463="CRWD", "BLUE",
  A463="PASS", "WHITE"
)</f>
        <v>#N/A</v>
      </c>
    </row>
    <row r="464" spans="1:23" x14ac:dyDescent="0.25">
      <c r="A464" s="7"/>
      <c r="B464" s="7"/>
      <c r="C464" s="4"/>
      <c r="I464" s="3"/>
      <c r="J464" s="17"/>
      <c r="K464" s="17"/>
      <c r="L464" s="18"/>
      <c r="M464" s="3"/>
      <c r="P464" s="3"/>
      <c r="Q464" s="4"/>
      <c r="R464" s="19"/>
      <c r="S464" s="20"/>
      <c r="U464" s="3" t="str">
        <f t="shared" si="18"/>
        <v/>
      </c>
      <c r="V464" s="4" t="str">
        <f t="shared" si="19"/>
        <v/>
      </c>
      <c r="W464" s="21" t="e" cm="1">
        <f t="array" ref="W464">_xlfn.IFS(
  A464="BELL", "WHITE",
  A464="GAMP", "ORANGE",
  A464="GAMM", "GREEN",
  A464="BWF", "YELLOW",
  OR(A464="TNBE", A464="TNBL", A464="TNBD", A464="TNWC", A464="TNBW", A464="THBS"), "PINK",
  A464="CRWD", "BLUE",
  A464="PASS", "WHITE"
)</f>
        <v>#N/A</v>
      </c>
    </row>
    <row r="465" spans="1:23" x14ac:dyDescent="0.25">
      <c r="A465" s="7"/>
      <c r="B465" s="7"/>
      <c r="C465" s="4"/>
      <c r="I465" s="3"/>
      <c r="J465" s="17"/>
      <c r="K465" s="17"/>
      <c r="L465" s="18"/>
      <c r="M465" s="3"/>
      <c r="P465" s="3"/>
      <c r="Q465" s="4"/>
      <c r="R465" s="19"/>
      <c r="S465" s="20"/>
      <c r="U465" s="3" t="str">
        <f t="shared" si="18"/>
        <v/>
      </c>
      <c r="V465" s="4" t="str">
        <f t="shared" si="19"/>
        <v/>
      </c>
      <c r="W465" s="21" t="e" cm="1">
        <f t="array" ref="W465">_xlfn.IFS(
  A465="BELL", "WHITE",
  A465="GAMP", "ORANGE",
  A465="GAMM", "GREEN",
  A465="BWF", "YELLOW",
  OR(A465="TNBE", A465="TNBL", A465="TNBD", A465="TNWC", A465="TNBW", A465="THBS"), "PINK",
  A465="CRWD", "BLUE",
  A465="PASS", "WHITE"
)</f>
        <v>#N/A</v>
      </c>
    </row>
    <row r="466" spans="1:23" x14ac:dyDescent="0.25">
      <c r="A466" s="7"/>
      <c r="B466" s="7"/>
      <c r="C466" s="4"/>
      <c r="I466" s="3"/>
      <c r="J466" s="17"/>
      <c r="K466" s="17"/>
      <c r="L466" s="18"/>
      <c r="M466" s="3"/>
      <c r="P466" s="3"/>
      <c r="Q466" s="4"/>
      <c r="R466" s="19"/>
      <c r="S466" s="20"/>
      <c r="U466" s="3" t="str">
        <f t="shared" si="18"/>
        <v/>
      </c>
      <c r="V466" s="4" t="str">
        <f t="shared" si="19"/>
        <v/>
      </c>
      <c r="W466" s="21" t="e" cm="1">
        <f t="array" ref="W466">_xlfn.IFS(
  A466="BELL", "WHITE",
  A466="GAMP", "ORANGE",
  A466="GAMM", "GREEN",
  A466="BWF", "YELLOW",
  OR(A466="TNBE", A466="TNBL", A466="TNBD", A466="TNWC", A466="TNBW", A466="THBS"), "PINK",
  A466="CRWD", "BLUE",
  A466="PASS", "WHITE"
)</f>
        <v>#N/A</v>
      </c>
    </row>
    <row r="467" spans="1:23" x14ac:dyDescent="0.25">
      <c r="A467" s="7"/>
      <c r="B467" s="7"/>
      <c r="C467" s="4"/>
      <c r="I467" s="3"/>
      <c r="J467" s="17"/>
      <c r="K467" s="17"/>
      <c r="L467" s="18"/>
      <c r="M467" s="3"/>
      <c r="P467" s="3"/>
      <c r="Q467" s="4"/>
      <c r="R467" s="19"/>
      <c r="S467" s="20"/>
      <c r="U467" s="3" t="str">
        <f t="shared" si="18"/>
        <v/>
      </c>
      <c r="V467" s="4" t="str">
        <f t="shared" si="19"/>
        <v/>
      </c>
      <c r="W467" s="21" t="e" cm="1">
        <f t="array" ref="W467">_xlfn.IFS(
  A467="BELL", "WHITE",
  A467="GAMP", "ORANGE",
  A467="GAMM", "GREEN",
  A467="BWF", "YELLOW",
  OR(A467="TNBE", A467="TNBL", A467="TNBD", A467="TNWC", A467="TNBW", A467="THBS"), "PINK",
  A467="CRWD", "BLUE",
  A467="PASS", "WHITE"
)</f>
        <v>#N/A</v>
      </c>
    </row>
    <row r="468" spans="1:23" x14ac:dyDescent="0.25">
      <c r="A468" s="7"/>
      <c r="B468" s="7"/>
      <c r="C468" s="4"/>
      <c r="I468" s="3"/>
      <c r="J468" s="17"/>
      <c r="K468" s="17"/>
      <c r="L468" s="18"/>
      <c r="M468" s="3"/>
      <c r="P468" s="3"/>
      <c r="Q468" s="4"/>
      <c r="R468" s="19"/>
      <c r="S468" s="20"/>
      <c r="U468" s="3" t="str">
        <f t="shared" si="18"/>
        <v/>
      </c>
      <c r="V468" s="4" t="str">
        <f t="shared" si="19"/>
        <v/>
      </c>
      <c r="W468" s="21" t="e" cm="1">
        <f t="array" ref="W468">_xlfn.IFS(
  A468="BELL", "WHITE",
  A468="GAMP", "ORANGE",
  A468="GAMM", "GREEN",
  A468="BWF", "YELLOW",
  OR(A468="TNBE", A468="TNBL", A468="TNBD", A468="TNWC", A468="TNBW", A468="THBS"), "PINK",
  A468="CRWD", "BLUE",
  A468="PASS", "WHITE"
)</f>
        <v>#N/A</v>
      </c>
    </row>
    <row r="469" spans="1:23" x14ac:dyDescent="0.25">
      <c r="A469" s="7"/>
      <c r="B469" s="7"/>
      <c r="C469" s="4"/>
      <c r="I469" s="3"/>
      <c r="J469" s="17"/>
      <c r="K469" s="17"/>
      <c r="L469" s="18"/>
      <c r="M469" s="3"/>
      <c r="P469" s="3"/>
      <c r="Q469" s="4"/>
      <c r="R469" s="19"/>
      <c r="S469" s="20"/>
      <c r="U469" s="3" t="str">
        <f t="shared" si="18"/>
        <v/>
      </c>
      <c r="V469" s="4" t="str">
        <f t="shared" si="19"/>
        <v/>
      </c>
      <c r="W469" s="21" t="e" cm="1">
        <f t="array" ref="W469">_xlfn.IFS(
  A469="BELL", "WHITE",
  A469="GAMP", "ORANGE",
  A469="GAMM", "GREEN",
  A469="BWF", "YELLOW",
  OR(A469="TNBE", A469="TNBL", A469="TNBD", A469="TNWC", A469="TNBW", A469="THBS"), "PINK",
  A469="CRWD", "BLUE",
  A469="PASS", "WHITE"
)</f>
        <v>#N/A</v>
      </c>
    </row>
    <row r="470" spans="1:23" x14ac:dyDescent="0.25">
      <c r="A470" s="7"/>
      <c r="B470" s="7"/>
      <c r="C470" s="4"/>
      <c r="I470" s="3"/>
      <c r="J470" s="17"/>
      <c r="K470" s="17"/>
      <c r="L470" s="18"/>
      <c r="M470" s="3"/>
      <c r="P470" s="3"/>
      <c r="Q470" s="4"/>
      <c r="R470" s="19"/>
      <c r="S470" s="20"/>
      <c r="U470" s="3" t="str">
        <f t="shared" si="18"/>
        <v/>
      </c>
      <c r="V470" s="4" t="str">
        <f t="shared" si="19"/>
        <v/>
      </c>
      <c r="W470" s="21" t="e" cm="1">
        <f t="array" ref="W470">_xlfn.IFS(
  A470="BELL", "WHITE",
  A470="GAMP", "ORANGE",
  A470="GAMM", "GREEN",
  A470="BWF", "YELLOW",
  OR(A470="TNBE", A470="TNBL", A470="TNBD", A470="TNWC", A470="TNBW", A470="THBS"), "PINK",
  A470="CRWD", "BLUE",
  A470="PASS", "WHITE"
)</f>
        <v>#N/A</v>
      </c>
    </row>
    <row r="471" spans="1:23" x14ac:dyDescent="0.25">
      <c r="A471" s="7"/>
      <c r="B471" s="7"/>
      <c r="C471" s="4"/>
      <c r="I471" s="3"/>
      <c r="J471" s="17"/>
      <c r="K471" s="17"/>
      <c r="L471" s="18"/>
      <c r="M471" s="3"/>
      <c r="P471" s="3"/>
      <c r="Q471" s="4"/>
      <c r="R471" s="19"/>
      <c r="S471" s="20"/>
      <c r="U471" s="3" t="str">
        <f t="shared" si="18"/>
        <v/>
      </c>
      <c r="V471" s="4" t="str">
        <f t="shared" si="19"/>
        <v/>
      </c>
      <c r="W471" s="21" t="e" cm="1">
        <f t="array" ref="W471">_xlfn.IFS(
  A471="BELL", "WHITE",
  A471="GAMP", "ORANGE",
  A471="GAMM", "GREEN",
  A471="BWF", "YELLOW",
  OR(A471="TNBE", A471="TNBL", A471="TNBD", A471="TNWC", A471="TNBW", A471="THBS"), "PINK",
  A471="CRWD", "BLUE",
  A471="PASS", "WHITE"
)</f>
        <v>#N/A</v>
      </c>
    </row>
    <row r="472" spans="1:23" x14ac:dyDescent="0.25">
      <c r="A472" s="7"/>
      <c r="B472" s="7"/>
      <c r="C472" s="4"/>
      <c r="I472" s="3"/>
      <c r="J472" s="17"/>
      <c r="K472" s="17"/>
      <c r="L472" s="18"/>
      <c r="M472" s="3"/>
      <c r="P472" s="3"/>
      <c r="Q472" s="4"/>
      <c r="R472" s="19"/>
      <c r="S472" s="20"/>
      <c r="U472" s="3" t="str">
        <f t="shared" si="18"/>
        <v/>
      </c>
      <c r="V472" s="4" t="str">
        <f t="shared" si="19"/>
        <v/>
      </c>
      <c r="W472" s="21" t="e" cm="1">
        <f t="array" ref="W472">_xlfn.IFS(
  A472="BELL", "WHITE",
  A472="GAMP", "ORANGE",
  A472="GAMM", "GREEN",
  A472="BWF", "YELLOW",
  OR(A472="TNBE", A472="TNBL", A472="TNBD", A472="TNWC", A472="TNBW", A472="THBS"), "PINK",
  A472="CRWD", "BLUE",
  A472="PASS", "WHITE"
)</f>
        <v>#N/A</v>
      </c>
    </row>
    <row r="473" spans="1:23" x14ac:dyDescent="0.25">
      <c r="A473" s="7"/>
      <c r="B473" s="7"/>
      <c r="C473" s="4"/>
      <c r="I473" s="3"/>
      <c r="J473" s="17"/>
      <c r="K473" s="17"/>
      <c r="L473" s="18"/>
      <c r="M473" s="3"/>
      <c r="P473" s="3"/>
      <c r="Q473" s="4"/>
      <c r="R473" s="19"/>
      <c r="S473" s="20"/>
      <c r="U473" s="3" t="str">
        <f t="shared" si="18"/>
        <v/>
      </c>
      <c r="V473" s="4" t="str">
        <f t="shared" si="19"/>
        <v/>
      </c>
      <c r="W473" s="21" t="e" cm="1">
        <f t="array" ref="W473">_xlfn.IFS(
  A473="BELL", "WHITE",
  A473="GAMP", "ORANGE",
  A473="GAMM", "GREEN",
  A473="BWF", "YELLOW",
  OR(A473="TNBE", A473="TNBL", A473="TNBD", A473="TNWC", A473="TNBW", A473="THBS"), "PINK",
  A473="CRWD", "BLUE",
  A473="PASS", "WHITE"
)</f>
        <v>#N/A</v>
      </c>
    </row>
    <row r="474" spans="1:23" x14ac:dyDescent="0.25">
      <c r="A474" s="7"/>
      <c r="B474" s="7"/>
      <c r="C474" s="4"/>
      <c r="I474" s="3"/>
      <c r="J474" s="17"/>
      <c r="K474" s="17"/>
      <c r="L474" s="18"/>
      <c r="M474" s="3"/>
      <c r="P474" s="3"/>
      <c r="Q474" s="4"/>
      <c r="R474" s="19"/>
      <c r="S474" s="20"/>
      <c r="U474" s="3" t="str">
        <f t="shared" si="18"/>
        <v/>
      </c>
      <c r="V474" s="4" t="str">
        <f t="shared" si="19"/>
        <v/>
      </c>
      <c r="W474" s="21" t="e" cm="1">
        <f t="array" ref="W474">_xlfn.IFS(
  A474="BELL", "WHITE",
  A474="GAMP", "ORANGE",
  A474="GAMM", "GREEN",
  A474="BWF", "YELLOW",
  OR(A474="TNBE", A474="TNBL", A474="TNBD", A474="TNWC", A474="TNBW", A474="THBS"), "PINK",
  A474="CRWD", "BLUE",
  A474="PASS", "WHITE"
)</f>
        <v>#N/A</v>
      </c>
    </row>
    <row r="475" spans="1:23" x14ac:dyDescent="0.25">
      <c r="A475" s="7"/>
      <c r="B475" s="7"/>
      <c r="C475" s="4"/>
      <c r="I475" s="3"/>
      <c r="J475" s="17"/>
      <c r="K475" s="17"/>
      <c r="L475" s="18"/>
      <c r="M475" s="3"/>
      <c r="P475" s="3"/>
      <c r="Q475" s="4"/>
      <c r="R475" s="19"/>
      <c r="S475" s="20"/>
      <c r="U475" s="3" t="str">
        <f t="shared" si="18"/>
        <v/>
      </c>
      <c r="V475" s="4" t="str">
        <f t="shared" si="19"/>
        <v/>
      </c>
      <c r="W475" s="21" t="e" cm="1">
        <f t="array" ref="W475">_xlfn.IFS(
  A475="BELL", "WHITE",
  A475="GAMP", "ORANGE",
  A475="GAMM", "GREEN",
  A475="BWF", "YELLOW",
  OR(A475="TNBE", A475="TNBL", A475="TNBD", A475="TNWC", A475="TNBW", A475="THBS"), "PINK",
  A475="CRWD", "BLUE",
  A475="PASS", "WHITE"
)</f>
        <v>#N/A</v>
      </c>
    </row>
    <row r="476" spans="1:23" x14ac:dyDescent="0.25">
      <c r="A476" s="7"/>
      <c r="B476" s="7"/>
      <c r="C476" s="4"/>
      <c r="I476" s="3"/>
      <c r="J476" s="17"/>
      <c r="K476" s="17"/>
      <c r="L476" s="18"/>
      <c r="M476" s="3"/>
      <c r="P476" s="3"/>
      <c r="Q476" s="4"/>
      <c r="R476" s="19"/>
      <c r="S476" s="20"/>
      <c r="U476" s="3" t="str">
        <f t="shared" si="18"/>
        <v/>
      </c>
      <c r="V476" s="4" t="str">
        <f t="shared" si="19"/>
        <v/>
      </c>
      <c r="W476" s="21" t="e" cm="1">
        <f t="array" ref="W476">_xlfn.IFS(
  A476="BELL", "WHITE",
  A476="GAMP", "ORANGE",
  A476="GAMM", "GREEN",
  A476="BWF", "YELLOW",
  OR(A476="TNBE", A476="TNBL", A476="TNBD", A476="TNWC", A476="TNBW", A476="THBS"), "PINK",
  A476="CRWD", "BLUE",
  A476="PASS", "WHITE"
)</f>
        <v>#N/A</v>
      </c>
    </row>
    <row r="477" spans="1:23" x14ac:dyDescent="0.25">
      <c r="A477" s="7"/>
      <c r="B477" s="7"/>
      <c r="C477" s="4"/>
      <c r="I477" s="3"/>
      <c r="J477" s="17"/>
      <c r="K477" s="17"/>
      <c r="L477" s="18"/>
      <c r="M477" s="3"/>
      <c r="P477" s="3"/>
      <c r="Q477" s="4"/>
      <c r="R477" s="19"/>
      <c r="S477" s="20"/>
      <c r="U477" s="3" t="str">
        <f t="shared" si="18"/>
        <v/>
      </c>
      <c r="V477" s="4" t="str">
        <f t="shared" si="19"/>
        <v/>
      </c>
      <c r="W477" s="21" t="e" cm="1">
        <f t="array" ref="W477">_xlfn.IFS(
  A477="BELL", "WHITE",
  A477="GAMP", "ORANGE",
  A477="GAMM", "GREEN",
  A477="BWF", "YELLOW",
  OR(A477="TNBE", A477="TNBL", A477="TNBD", A477="TNWC", A477="TNBW", A477="THBS"), "PINK",
  A477="CRWD", "BLUE",
  A477="PASS", "WHITE"
)</f>
        <v>#N/A</v>
      </c>
    </row>
    <row r="478" spans="1:23" x14ac:dyDescent="0.25">
      <c r="A478" s="7"/>
      <c r="B478" s="7"/>
      <c r="C478" s="4"/>
      <c r="I478" s="3"/>
      <c r="J478" s="17"/>
      <c r="K478" s="17"/>
      <c r="L478" s="18"/>
      <c r="M478" s="3"/>
      <c r="P478" s="3"/>
      <c r="Q478" s="4"/>
      <c r="R478" s="19"/>
      <c r="S478" s="20"/>
      <c r="U478" s="3" t="str">
        <f t="shared" si="18"/>
        <v/>
      </c>
      <c r="V478" s="4" t="str">
        <f t="shared" si="19"/>
        <v/>
      </c>
      <c r="W478" s="21" t="e" cm="1">
        <f t="array" ref="W478">_xlfn.IFS(
  A478="BELL", "WHITE",
  A478="GAMP", "ORANGE",
  A478="GAMM", "GREEN",
  A478="BWF", "YELLOW",
  OR(A478="TNBE", A478="TNBL", A478="TNBD", A478="TNWC", A478="TNBW", A478="THBS"), "PINK",
  A478="CRWD", "BLUE",
  A478="PASS", "WHITE"
)</f>
        <v>#N/A</v>
      </c>
    </row>
    <row r="479" spans="1:23" x14ac:dyDescent="0.25">
      <c r="A479" s="7"/>
      <c r="B479" s="7"/>
      <c r="C479" s="4"/>
      <c r="I479" s="3"/>
      <c r="J479" s="17"/>
      <c r="K479" s="17"/>
      <c r="L479" s="18"/>
      <c r="M479" s="3"/>
      <c r="P479" s="3"/>
      <c r="Q479" s="4"/>
      <c r="R479" s="19"/>
      <c r="S479" s="20"/>
      <c r="U479" s="3" t="str">
        <f t="shared" si="18"/>
        <v/>
      </c>
      <c r="V479" s="4" t="str">
        <f t="shared" si="19"/>
        <v/>
      </c>
      <c r="W479" s="21" t="e" cm="1">
        <f t="array" ref="W479">_xlfn.IFS(
  A479="BELL", "WHITE",
  A479="GAMP", "ORANGE",
  A479="GAMM", "GREEN",
  A479="BWF", "YELLOW",
  OR(A479="TNBE", A479="TNBL", A479="TNBD", A479="TNWC", A479="TNBW", A479="THBS"), "PINK",
  A479="CRWD", "BLUE",
  A479="PASS", "WHITE"
)</f>
        <v>#N/A</v>
      </c>
    </row>
    <row r="480" spans="1:23" x14ac:dyDescent="0.25">
      <c r="A480" s="7"/>
      <c r="B480" s="7"/>
      <c r="C480" s="4"/>
      <c r="I480" s="3"/>
      <c r="J480" s="17"/>
      <c r="K480" s="17"/>
      <c r="L480" s="18"/>
      <c r="M480" s="3"/>
      <c r="P480" s="3"/>
      <c r="Q480" s="4"/>
      <c r="R480" s="19"/>
      <c r="S480" s="20"/>
      <c r="U480" s="3" t="str">
        <f t="shared" si="18"/>
        <v/>
      </c>
      <c r="V480" s="4" t="str">
        <f t="shared" si="19"/>
        <v/>
      </c>
      <c r="W480" s="21" t="e" cm="1">
        <f t="array" ref="W480">_xlfn.IFS(
  A480="BELL", "WHITE",
  A480="GAMP", "ORANGE",
  A480="GAMM", "GREEN",
  A480="BWF", "YELLOW",
  OR(A480="TNBE", A480="TNBL", A480="TNBD", A480="TNWC", A480="TNBW", A480="THBS"), "PINK",
  A480="CRWD", "BLUE",
  A480="PASS", "WHITE"
)</f>
        <v>#N/A</v>
      </c>
    </row>
    <row r="481" spans="1:23" x14ac:dyDescent="0.25">
      <c r="A481" s="7"/>
      <c r="B481" s="7"/>
      <c r="C481" s="4"/>
      <c r="I481" s="3"/>
      <c r="J481" s="17"/>
      <c r="K481" s="17"/>
      <c r="L481" s="18"/>
      <c r="M481" s="3"/>
      <c r="P481" s="3"/>
      <c r="Q481" s="4"/>
      <c r="R481" s="19"/>
      <c r="S481" s="20"/>
      <c r="U481" s="3" t="str">
        <f t="shared" si="18"/>
        <v/>
      </c>
      <c r="V481" s="4" t="str">
        <f t="shared" si="19"/>
        <v/>
      </c>
      <c r="W481" s="21" t="e" cm="1">
        <f t="array" ref="W481">_xlfn.IFS(
  A481="BELL", "WHITE",
  A481="GAMP", "ORANGE",
  A481="GAMM", "GREEN",
  A481="BWF", "YELLOW",
  OR(A481="TNBE", A481="TNBL", A481="TNBD", A481="TNWC", A481="TNBW", A481="THBS"), "PINK",
  A481="CRWD", "BLUE",
  A481="PASS", "WHITE"
)</f>
        <v>#N/A</v>
      </c>
    </row>
    <row r="482" spans="1:23" x14ac:dyDescent="0.25">
      <c r="A482" s="7"/>
      <c r="B482" s="7"/>
      <c r="C482" s="4"/>
      <c r="I482" s="3"/>
      <c r="J482" s="17"/>
      <c r="K482" s="17"/>
      <c r="L482" s="18"/>
      <c r="M482" s="3"/>
      <c r="P482" s="3"/>
      <c r="Q482" s="4"/>
      <c r="R482" s="19"/>
      <c r="S482" s="20"/>
      <c r="U482" s="3" t="str">
        <f t="shared" si="18"/>
        <v/>
      </c>
      <c r="V482" s="4" t="str">
        <f t="shared" si="19"/>
        <v/>
      </c>
      <c r="W482" s="21" t="e" cm="1">
        <f t="array" ref="W482">_xlfn.IFS(
  A482="BELL", "WHITE",
  A482="GAMP", "ORANGE",
  A482="GAMM", "GREEN",
  A482="BWF", "YELLOW",
  OR(A482="TNBE", A482="TNBL", A482="TNBD", A482="TNWC", A482="TNBW", A482="THBS"), "PINK",
  A482="CRWD", "BLUE",
  A482="PASS", "WHITE"
)</f>
        <v>#N/A</v>
      </c>
    </row>
    <row r="483" spans="1:23" x14ac:dyDescent="0.25">
      <c r="A483" s="7"/>
      <c r="B483" s="7"/>
      <c r="C483" s="4"/>
      <c r="I483" s="3"/>
      <c r="J483" s="17"/>
      <c r="K483" s="17"/>
      <c r="L483" s="18"/>
      <c r="M483" s="3"/>
      <c r="P483" s="3"/>
      <c r="Q483" s="4"/>
      <c r="R483" s="19"/>
      <c r="S483" s="20"/>
      <c r="U483" s="3" t="str">
        <f t="shared" si="18"/>
        <v/>
      </c>
      <c r="V483" s="4" t="str">
        <f t="shared" si="19"/>
        <v/>
      </c>
      <c r="W483" s="21" t="e" cm="1">
        <f t="array" ref="W483">_xlfn.IFS(
  A483="BELL", "WHITE",
  A483="GAMP", "ORANGE",
  A483="GAMM", "GREEN",
  A483="BWF", "YELLOW",
  OR(A483="TNBE", A483="TNBL", A483="TNBD", A483="TNWC", A483="TNBW", A483="THBS"), "PINK",
  A483="CRWD", "BLUE",
  A483="PASS", "WHITE"
)</f>
        <v>#N/A</v>
      </c>
    </row>
    <row r="484" spans="1:23" x14ac:dyDescent="0.25">
      <c r="A484" s="7"/>
      <c r="B484" s="7"/>
      <c r="C484" s="4"/>
      <c r="I484" s="3"/>
      <c r="J484" s="17"/>
      <c r="K484" s="17"/>
      <c r="L484" s="18"/>
      <c r="M484" s="3"/>
      <c r="P484" s="3"/>
      <c r="Q484" s="4"/>
      <c r="R484" s="19"/>
      <c r="S484" s="20"/>
      <c r="U484" s="3" t="str">
        <f t="shared" si="18"/>
        <v/>
      </c>
      <c r="V484" s="4" t="str">
        <f t="shared" si="19"/>
        <v/>
      </c>
      <c r="W484" s="21" t="e" cm="1">
        <f t="array" ref="W484">_xlfn.IFS(
  A484="BELL", "WHITE",
  A484="GAMP", "ORANGE",
  A484="GAMM", "GREEN",
  A484="BWF", "YELLOW",
  OR(A484="TNBE", A484="TNBL", A484="TNBD", A484="TNWC", A484="TNBW", A484="THBS"), "PINK",
  A484="CRWD", "BLUE",
  A484="PASS", "WHITE"
)</f>
        <v>#N/A</v>
      </c>
    </row>
    <row r="485" spans="1:23" x14ac:dyDescent="0.25">
      <c r="A485" s="7"/>
      <c r="B485" s="7"/>
      <c r="C485" s="4"/>
      <c r="I485" s="3"/>
      <c r="J485" s="17"/>
      <c r="K485" s="17"/>
      <c r="L485" s="18"/>
      <c r="M485" s="3"/>
      <c r="P485" s="3"/>
      <c r="Q485" s="4"/>
      <c r="R485" s="19"/>
      <c r="S485" s="20"/>
      <c r="U485" s="3" t="str">
        <f t="shared" si="18"/>
        <v/>
      </c>
      <c r="V485" s="4" t="str">
        <f t="shared" si="19"/>
        <v/>
      </c>
      <c r="W485" s="21" t="e" cm="1">
        <f t="array" ref="W485">_xlfn.IFS(
  A485="BELL", "WHITE",
  A485="GAMP", "ORANGE",
  A485="GAMM", "GREEN",
  A485="BWF", "YELLOW",
  OR(A485="TNBE", A485="TNBL", A485="TNBD", A485="TNWC", A485="TNBW", A485="THBS"), "PINK",
  A485="CRWD", "BLUE",
  A485="PASS", "WHITE"
)</f>
        <v>#N/A</v>
      </c>
    </row>
    <row r="486" spans="1:23" x14ac:dyDescent="0.25">
      <c r="A486" s="7"/>
      <c r="B486" s="7"/>
      <c r="C486" s="4"/>
      <c r="I486" s="3"/>
      <c r="J486" s="17"/>
      <c r="K486" s="17"/>
      <c r="L486" s="18"/>
      <c r="M486" s="3"/>
      <c r="P486" s="3"/>
      <c r="Q486" s="4"/>
      <c r="R486" s="19"/>
      <c r="S486" s="20"/>
      <c r="U486" s="3" t="str">
        <f t="shared" si="18"/>
        <v/>
      </c>
      <c r="V486" s="4" t="str">
        <f t="shared" si="19"/>
        <v/>
      </c>
      <c r="W486" s="21" t="e" cm="1">
        <f t="array" ref="W486">_xlfn.IFS(
  A486="BELL", "WHITE",
  A486="GAMP", "ORANGE",
  A486="GAMM", "GREEN",
  A486="BWF", "YELLOW",
  OR(A486="TNBE", A486="TNBL", A486="TNBD", A486="TNWC", A486="TNBW", A486="THBS"), "PINK",
  A486="CRWD", "BLUE",
  A486="PASS", "WHITE"
)</f>
        <v>#N/A</v>
      </c>
    </row>
    <row r="487" spans="1:23" x14ac:dyDescent="0.25">
      <c r="A487" s="7"/>
      <c r="B487" s="7"/>
      <c r="C487" s="4"/>
      <c r="I487" s="3"/>
      <c r="J487" s="17"/>
      <c r="K487" s="17"/>
      <c r="L487" s="18"/>
      <c r="M487" s="3"/>
      <c r="P487" s="3"/>
      <c r="Q487" s="4"/>
      <c r="R487" s="19"/>
      <c r="S487" s="20"/>
      <c r="U487" s="3" t="str">
        <f t="shared" si="18"/>
        <v/>
      </c>
      <c r="V487" s="4" t="str">
        <f t="shared" si="19"/>
        <v/>
      </c>
      <c r="W487" s="21" t="e" cm="1">
        <f t="array" ref="W487">_xlfn.IFS(
  A487="BELL", "WHITE",
  A487="GAMP", "ORANGE",
  A487="GAMM", "GREEN",
  A487="BWF", "YELLOW",
  OR(A487="TNBE", A487="TNBL", A487="TNBD", A487="TNWC", A487="TNBW", A487="THBS"), "PINK",
  A487="CRWD", "BLUE",
  A487="PASS", "WHITE"
)</f>
        <v>#N/A</v>
      </c>
    </row>
    <row r="488" spans="1:23" x14ac:dyDescent="0.25">
      <c r="A488" s="7"/>
      <c r="B488" s="7"/>
      <c r="C488" s="4"/>
      <c r="I488" s="3"/>
      <c r="J488" s="17"/>
      <c r="K488" s="17"/>
      <c r="L488" s="18"/>
      <c r="M488" s="3"/>
      <c r="P488" s="3"/>
      <c r="Q488" s="4"/>
      <c r="R488" s="19"/>
      <c r="S488" s="20"/>
      <c r="U488" s="3" t="str">
        <f t="shared" si="18"/>
        <v/>
      </c>
      <c r="V488" s="4" t="str">
        <f t="shared" si="19"/>
        <v/>
      </c>
      <c r="W488" s="21" t="e" cm="1">
        <f t="array" ref="W488">_xlfn.IFS(
  A488="BELL", "WHITE",
  A488="GAMP", "ORANGE",
  A488="GAMM", "GREEN",
  A488="BWF", "YELLOW",
  OR(A488="TNBE", A488="TNBL", A488="TNBD", A488="TNWC", A488="TNBW", A488="THBS"), "PINK",
  A488="CRWD", "BLUE",
  A488="PASS", "WHITE"
)</f>
        <v>#N/A</v>
      </c>
    </row>
    <row r="489" spans="1:23" x14ac:dyDescent="0.25">
      <c r="A489" s="7"/>
      <c r="B489" s="7"/>
      <c r="C489" s="4"/>
      <c r="I489" s="3"/>
      <c r="J489" s="17"/>
      <c r="K489" s="17"/>
      <c r="L489" s="18"/>
      <c r="M489" s="3"/>
      <c r="P489" s="3"/>
      <c r="Q489" s="4"/>
      <c r="R489" s="19"/>
      <c r="S489" s="20"/>
      <c r="U489" s="3" t="str">
        <f t="shared" si="18"/>
        <v/>
      </c>
      <c r="V489" s="4" t="str">
        <f t="shared" si="19"/>
        <v/>
      </c>
      <c r="W489" s="21" t="e" cm="1">
        <f t="array" ref="W489">_xlfn.IFS(
  A489="BELL", "WHITE",
  A489="GAMP", "ORANGE",
  A489="GAMM", "GREEN",
  A489="BWF", "YELLOW",
  OR(A489="TNBE", A489="TNBL", A489="TNBD", A489="TNWC", A489="TNBW", A489="THBS"), "PINK",
  A489="CRWD", "BLUE",
  A489="PASS", "WHITE"
)</f>
        <v>#N/A</v>
      </c>
    </row>
    <row r="490" spans="1:23" x14ac:dyDescent="0.25">
      <c r="A490" s="7"/>
      <c r="B490" s="7"/>
      <c r="C490" s="4"/>
      <c r="I490" s="3"/>
      <c r="J490" s="17"/>
      <c r="K490" s="17"/>
      <c r="L490" s="18"/>
      <c r="M490" s="3"/>
      <c r="P490" s="3"/>
      <c r="Q490" s="4"/>
      <c r="R490" s="19"/>
      <c r="S490" s="20"/>
      <c r="U490" s="3" t="str">
        <f t="shared" si="18"/>
        <v/>
      </c>
      <c r="V490" s="4" t="str">
        <f t="shared" si="19"/>
        <v/>
      </c>
      <c r="W490" s="21" t="e" cm="1">
        <f t="array" ref="W490">_xlfn.IFS(
  A490="BELL", "WHITE",
  A490="GAMP", "ORANGE",
  A490="GAMM", "GREEN",
  A490="BWF", "YELLOW",
  OR(A490="TNBE", A490="TNBL", A490="TNBD", A490="TNWC", A490="TNBW", A490="THBS"), "PINK",
  A490="CRWD", "BLUE",
  A490="PASS", "WHITE"
)</f>
        <v>#N/A</v>
      </c>
    </row>
    <row r="491" spans="1:23" x14ac:dyDescent="0.25">
      <c r="A491" s="7"/>
      <c r="B491" s="7"/>
      <c r="C491" s="4"/>
      <c r="I491" s="3"/>
      <c r="J491" s="17"/>
      <c r="K491" s="17"/>
      <c r="L491" s="18"/>
      <c r="M491" s="3"/>
      <c r="P491" s="3"/>
      <c r="Q491" s="4"/>
      <c r="R491" s="19"/>
      <c r="S491" s="20"/>
      <c r="U491" s="3" t="str">
        <f t="shared" si="18"/>
        <v/>
      </c>
      <c r="V491" s="4" t="str">
        <f t="shared" si="19"/>
        <v/>
      </c>
      <c r="W491" s="21" t="e" cm="1">
        <f t="array" ref="W491">_xlfn.IFS(
  A491="BELL", "WHITE",
  A491="GAMP", "ORANGE",
  A491="GAMM", "GREEN",
  A491="BWF", "YELLOW",
  OR(A491="TNBE", A491="TNBL", A491="TNBD", A491="TNWC", A491="TNBW", A491="THBS"), "PINK",
  A491="CRWD", "BLUE",
  A491="PASS", "WHITE"
)</f>
        <v>#N/A</v>
      </c>
    </row>
    <row r="492" spans="1:23" x14ac:dyDescent="0.25">
      <c r="A492" s="7"/>
      <c r="B492" s="7"/>
      <c r="C492" s="4"/>
      <c r="I492" s="3"/>
      <c r="J492" s="17"/>
      <c r="K492" s="17"/>
      <c r="L492" s="18"/>
      <c r="M492" s="3"/>
      <c r="P492" s="3"/>
      <c r="Q492" s="4"/>
      <c r="R492" s="19"/>
      <c r="S492" s="20"/>
      <c r="U492" s="3" t="str">
        <f t="shared" si="18"/>
        <v/>
      </c>
      <c r="V492" s="4" t="str">
        <f t="shared" si="19"/>
        <v/>
      </c>
      <c r="W492" s="21" t="e" cm="1">
        <f t="array" ref="W492">_xlfn.IFS(
  A492="BELL", "WHITE",
  A492="GAMP", "ORANGE",
  A492="GAMM", "GREEN",
  A492="BWF", "YELLOW",
  OR(A492="TNBE", A492="TNBL", A492="TNBD", A492="TNWC", A492="TNBW", A492="THBS"), "PINK",
  A492="CRWD", "BLUE",
  A492="PASS", "WHITE"
)</f>
        <v>#N/A</v>
      </c>
    </row>
    <row r="493" spans="1:23" x14ac:dyDescent="0.25">
      <c r="A493" s="7"/>
      <c r="B493" s="7"/>
      <c r="C493" s="4"/>
      <c r="I493" s="3"/>
      <c r="J493" s="17"/>
      <c r="K493" s="17"/>
      <c r="L493" s="18"/>
      <c r="M493" s="3"/>
      <c r="P493" s="3"/>
      <c r="Q493" s="4"/>
      <c r="R493" s="19"/>
      <c r="S493" s="20"/>
      <c r="U493" s="3" t="str">
        <f t="shared" si="18"/>
        <v/>
      </c>
      <c r="V493" s="4" t="str">
        <f t="shared" si="19"/>
        <v/>
      </c>
      <c r="W493" s="21" t="e" cm="1">
        <f t="array" ref="W493">_xlfn.IFS(
  A493="BELL", "WHITE",
  A493="GAMP", "ORANGE",
  A493="GAMM", "GREEN",
  A493="BWF", "YELLOW",
  OR(A493="TNBE", A493="TNBL", A493="TNBD", A493="TNWC", A493="TNBW", A493="THBS"), "PINK",
  A493="CRWD", "BLUE",
  A493="PASS", "WHITE"
)</f>
        <v>#N/A</v>
      </c>
    </row>
    <row r="494" spans="1:23" x14ac:dyDescent="0.25">
      <c r="A494" s="7"/>
      <c r="B494" s="7"/>
      <c r="C494" s="4"/>
      <c r="I494" s="3"/>
      <c r="J494" s="17"/>
      <c r="K494" s="17"/>
      <c r="L494" s="18"/>
      <c r="M494" s="3"/>
      <c r="P494" s="3"/>
      <c r="Q494" s="4"/>
      <c r="R494" s="19"/>
      <c r="S494" s="20"/>
      <c r="U494" s="3" t="str">
        <f t="shared" si="18"/>
        <v/>
      </c>
      <c r="V494" s="4" t="str">
        <f t="shared" si="19"/>
        <v/>
      </c>
      <c r="W494" s="21" t="e" cm="1">
        <f t="array" ref="W494">_xlfn.IFS(
  A494="BELL", "WHITE",
  A494="GAMP", "ORANGE",
  A494="GAMM", "GREEN",
  A494="BWF", "YELLOW",
  OR(A494="TNBE", A494="TNBL", A494="TNBD", A494="TNWC", A494="TNBW", A494="THBS"), "PINK",
  A494="CRWD", "BLUE",
  A494="PASS", "WHITE"
)</f>
        <v>#N/A</v>
      </c>
    </row>
    <row r="495" spans="1:23" x14ac:dyDescent="0.25">
      <c r="A495" s="7"/>
      <c r="B495" s="7"/>
      <c r="C495" s="4"/>
      <c r="I495" s="3"/>
      <c r="J495" s="17"/>
      <c r="K495" s="17"/>
      <c r="L495" s="18"/>
      <c r="M495" s="3"/>
      <c r="P495" s="3"/>
      <c r="Q495" s="4"/>
      <c r="R495" s="19"/>
      <c r="S495" s="20"/>
      <c r="U495" s="3" t="str">
        <f t="shared" si="18"/>
        <v/>
      </c>
      <c r="V495" s="4" t="str">
        <f t="shared" si="19"/>
        <v/>
      </c>
      <c r="W495" s="21" t="e" cm="1">
        <f t="array" ref="W495">_xlfn.IFS(
  A495="BELL", "WHITE",
  A495="GAMP", "ORANGE",
  A495="GAMM", "GREEN",
  A495="BWF", "YELLOW",
  OR(A495="TNBE", A495="TNBL", A495="TNBD", A495="TNWC", A495="TNBW", A495="THBS"), "PINK",
  A495="CRWD", "BLUE",
  A495="PASS", "WHITE"
)</f>
        <v>#N/A</v>
      </c>
    </row>
    <row r="496" spans="1:23" x14ac:dyDescent="0.25">
      <c r="A496" s="7"/>
      <c r="B496" s="7"/>
      <c r="C496" s="4"/>
      <c r="I496" s="3"/>
      <c r="J496" s="17"/>
      <c r="K496" s="17"/>
      <c r="L496" s="18"/>
      <c r="M496" s="3"/>
      <c r="P496" s="3"/>
      <c r="Q496" s="4"/>
      <c r="R496" s="19"/>
      <c r="S496" s="20"/>
      <c r="U496" s="3" t="str">
        <f t="shared" si="18"/>
        <v/>
      </c>
      <c r="V496" s="4" t="str">
        <f t="shared" si="19"/>
        <v/>
      </c>
      <c r="W496" s="21" t="e" cm="1">
        <f t="array" ref="W496">_xlfn.IFS(
  A496="BELL", "WHITE",
  A496="GAMP", "ORANGE",
  A496="GAMM", "GREEN",
  A496="BWF", "YELLOW",
  OR(A496="TNBE", A496="TNBL", A496="TNBD", A496="TNWC", A496="TNBW", A496="THBS"), "PINK",
  A496="CRWD", "BLUE",
  A496="PASS", "WHITE"
)</f>
        <v>#N/A</v>
      </c>
    </row>
    <row r="497" spans="1:23" x14ac:dyDescent="0.25">
      <c r="A497" s="7"/>
      <c r="B497" s="7"/>
      <c r="C497" s="4"/>
      <c r="I497" s="3"/>
      <c r="J497" s="17"/>
      <c r="K497" s="17"/>
      <c r="L497" s="18"/>
      <c r="M497" s="3"/>
      <c r="P497" s="3"/>
      <c r="Q497" s="4"/>
      <c r="R497" s="19"/>
      <c r="S497" s="20"/>
      <c r="U497" s="3" t="str">
        <f t="shared" si="18"/>
        <v/>
      </c>
      <c r="V497" s="4" t="str">
        <f t="shared" si="19"/>
        <v/>
      </c>
      <c r="W497" s="21" t="e" cm="1">
        <f t="array" ref="W497">_xlfn.IFS(
  A497="BELL", "WHITE",
  A497="GAMP", "ORANGE",
  A497="GAMM", "GREEN",
  A497="BWF", "YELLOW",
  OR(A497="TNBE", A497="TNBL", A497="TNBD", A497="TNWC", A497="TNBW", A497="THBS"), "PINK",
  A497="CRWD", "BLUE",
  A497="PASS", "WHITE"
)</f>
        <v>#N/A</v>
      </c>
    </row>
    <row r="498" spans="1:23" x14ac:dyDescent="0.25">
      <c r="A498" s="7"/>
      <c r="B498" s="7"/>
      <c r="C498" s="4"/>
      <c r="I498" s="3"/>
      <c r="J498" s="17"/>
      <c r="K498" s="17"/>
      <c r="L498" s="18"/>
      <c r="M498" s="3"/>
      <c r="P498" s="3"/>
      <c r="Q498" s="4"/>
      <c r="R498" s="19"/>
      <c r="S498" s="20"/>
      <c r="U498" s="3" t="str">
        <f t="shared" si="18"/>
        <v/>
      </c>
      <c r="V498" s="4" t="str">
        <f t="shared" si="19"/>
        <v/>
      </c>
      <c r="W498" s="21" t="e" cm="1">
        <f t="array" ref="W498">_xlfn.IFS(
  A498="BELL", "WHITE",
  A498="GAMP", "ORANGE",
  A498="GAMM", "GREEN",
  A498="BWF", "YELLOW",
  OR(A498="TNBE", A498="TNBL", A498="TNBD", A498="TNWC", A498="TNBW", A498="THBS"), "PINK",
  A498="CRWD", "BLUE",
  A498="PASS", "WHITE"
)</f>
        <v>#N/A</v>
      </c>
    </row>
    <row r="499" spans="1:23" x14ac:dyDescent="0.25">
      <c r="A499" s="7"/>
      <c r="B499" s="7"/>
      <c r="C499" s="4"/>
      <c r="I499" s="3"/>
      <c r="J499" s="17"/>
      <c r="K499" s="17"/>
      <c r="L499" s="18"/>
      <c r="M499" s="3"/>
      <c r="P499" s="3"/>
      <c r="Q499" s="4"/>
      <c r="R499" s="19"/>
      <c r="S499" s="20"/>
      <c r="U499" s="3" t="str">
        <f t="shared" si="18"/>
        <v/>
      </c>
      <c r="V499" s="4" t="str">
        <f t="shared" si="19"/>
        <v/>
      </c>
      <c r="W499" s="21" t="e" cm="1">
        <f t="array" ref="W499">_xlfn.IFS(
  A499="BELL", "WHITE",
  A499="GAMP", "ORANGE",
  A499="GAMM", "GREEN",
  A499="BWF", "YELLOW",
  OR(A499="TNBE", A499="TNBL", A499="TNBD", A499="TNWC", A499="TNBW", A499="THBS"), "PINK",
  A499="CRWD", "BLUE",
  A499="PASS", "WHITE"
)</f>
        <v>#N/A</v>
      </c>
    </row>
    <row r="500" spans="1:23" x14ac:dyDescent="0.25">
      <c r="A500" s="7"/>
      <c r="B500" s="7"/>
      <c r="C500" s="4"/>
      <c r="I500" s="3"/>
      <c r="J500" s="17"/>
      <c r="K500" s="17"/>
      <c r="L500" s="18"/>
      <c r="M500" s="3"/>
      <c r="P500" s="3"/>
      <c r="Q500" s="4"/>
      <c r="R500" s="19"/>
      <c r="S500" s="20"/>
      <c r="U500" s="3" t="str">
        <f t="shared" si="18"/>
        <v/>
      </c>
      <c r="V500" s="4" t="str">
        <f t="shared" si="19"/>
        <v/>
      </c>
      <c r="W500" s="21" t="e" cm="1">
        <f t="array" ref="W500">_xlfn.IFS(
  A500="BELL", "WHITE",
  A500="GAMP", "ORANGE",
  A500="GAMM", "GREEN",
  A500="BWF", "YELLOW",
  OR(A500="TNBE", A500="TNBL", A500="TNBD", A500="TNWC", A500="TNBW", A500="THBS"), "PINK",
  A500="CRWD", "BLUE",
  A500="PASS", "WHITE"
)</f>
        <v>#N/A</v>
      </c>
    </row>
    <row r="501" spans="1:23" x14ac:dyDescent="0.25">
      <c r="A501" s="7"/>
      <c r="B501" s="25"/>
      <c r="C501" s="4"/>
      <c r="H501" s="2"/>
      <c r="I501" s="3"/>
      <c r="J501" s="17"/>
      <c r="K501" s="17"/>
      <c r="L501" s="18"/>
      <c r="M501" s="18"/>
      <c r="P501" s="3"/>
      <c r="Q501" s="4"/>
      <c r="R501" s="19"/>
      <c r="S501" s="20"/>
      <c r="U501" s="3" t="str">
        <f t="shared" si="18"/>
        <v/>
      </c>
      <c r="V501" s="4" t="str">
        <f t="shared" si="19"/>
        <v/>
      </c>
      <c r="W501" s="21" t="e" cm="1">
        <f t="array" ref="W501">_xlfn.IFS(
  A501="BELL", "WHITE",
  A501="GAMP", "ORANGE",
  A501="GAMM", "GREEN",
  A501="BWF", "YELLOW",
  OR(A501="TNBE", A501="TNBL", A501="TNBD", A501="TNWC", A501="TNBW", A501="THBS"), "PINK",
  A501="CRWD", "BLUE",
  A501="PASS", "WHITE"
)</f>
        <v>#N/A</v>
      </c>
    </row>
    <row r="502" spans="1:23" x14ac:dyDescent="0.25">
      <c r="A502" s="7"/>
      <c r="B502" s="7"/>
      <c r="C502" s="4"/>
      <c r="I502" s="3"/>
      <c r="J502" s="17"/>
      <c r="K502" s="17"/>
      <c r="L502" s="18"/>
      <c r="M502" s="3"/>
      <c r="P502" s="3"/>
      <c r="Q502" s="4"/>
      <c r="R502" s="19"/>
      <c r="S502" s="20"/>
      <c r="U502" s="3" t="str">
        <f t="shared" si="18"/>
        <v/>
      </c>
      <c r="V502" s="4" t="str">
        <f t="shared" si="19"/>
        <v/>
      </c>
      <c r="W502" s="21" t="e" cm="1">
        <f t="array" ref="W502">_xlfn.IFS(
  A502="BELL", "WHITE",
  A502="GAMP", "ORANGE",
  A502="GAMM", "GREEN",
  A502="BWF", "YELLOW",
  OR(A502="TNBE", A502="TNBL", A502="TNBD", A502="TNWC", A502="TNBW", A502="THBS"), "PINK",
  A502="CRWD", "BLUE",
  A502="PASS", "WHITE"
)</f>
        <v>#N/A</v>
      </c>
    </row>
    <row r="503" spans="1:23" x14ac:dyDescent="0.25">
      <c r="A503" s="7"/>
      <c r="B503" s="25"/>
      <c r="C503" s="4"/>
      <c r="H503" s="2"/>
      <c r="I503" s="3"/>
      <c r="J503" s="17"/>
      <c r="K503" s="17"/>
      <c r="L503" s="18"/>
      <c r="M503" s="18"/>
      <c r="P503" s="3"/>
      <c r="Q503" s="4"/>
      <c r="R503" s="19"/>
      <c r="S503" s="20"/>
      <c r="U503" s="3" t="str">
        <f t="shared" si="18"/>
        <v/>
      </c>
      <c r="V503" s="4" t="str">
        <f t="shared" si="19"/>
        <v/>
      </c>
      <c r="W503" s="21" t="e" cm="1">
        <f t="array" ref="W503">_xlfn.IFS(
  A503="BELL", "WHITE",
  A503="GAMP", "ORANGE",
  A503="GAMM", "GREEN",
  A503="BWF", "YELLOW",
  OR(A503="TNBE", A503="TNBL", A503="TNBD", A503="TNWC", A503="TNBW", A503="THBS"), "PINK",
  A503="CRWD", "BLUE",
  A503="PASS", "WHITE"
)</f>
        <v>#N/A</v>
      </c>
    </row>
    <row r="504" spans="1:23" x14ac:dyDescent="0.25">
      <c r="A504" s="7"/>
      <c r="B504" s="7"/>
      <c r="C504" s="4"/>
      <c r="I504" s="3"/>
      <c r="J504" s="17"/>
      <c r="K504" s="17"/>
      <c r="L504" s="18"/>
      <c r="M504" s="3"/>
      <c r="P504" s="3"/>
      <c r="Q504" s="4"/>
      <c r="R504" s="19"/>
      <c r="S504" s="20"/>
      <c r="U504" s="3" t="str">
        <f t="shared" si="18"/>
        <v/>
      </c>
      <c r="V504" s="4" t="str">
        <f t="shared" si="19"/>
        <v/>
      </c>
      <c r="W504" s="21" t="e" cm="1">
        <f t="array" ref="W504">_xlfn.IFS(
  A504="BELL", "WHITE",
  A504="GAMP", "ORANGE",
  A504="GAMM", "GREEN",
  A504="BWF", "YELLOW",
  OR(A504="TNBE", A504="TNBL", A504="TNBD", A504="TNWC", A504="TNBW", A504="THBS"), "PINK",
  A504="CRWD", "BLUE",
  A504="PASS", "WHITE"
)</f>
        <v>#N/A</v>
      </c>
    </row>
    <row r="505" spans="1:23" x14ac:dyDescent="0.25">
      <c r="A505" s="7"/>
      <c r="B505" s="7"/>
      <c r="C505" s="4"/>
      <c r="I505" s="3"/>
      <c r="J505" s="17"/>
      <c r="K505" s="17"/>
      <c r="L505" s="18"/>
      <c r="M505" s="3"/>
      <c r="P505" s="3"/>
      <c r="Q505" s="4"/>
      <c r="R505" s="19"/>
      <c r="S505" s="20"/>
      <c r="U505" s="3" t="str">
        <f t="shared" si="18"/>
        <v/>
      </c>
      <c r="V505" s="4" t="str">
        <f t="shared" si="19"/>
        <v/>
      </c>
      <c r="W505" s="21" t="e" cm="1">
        <f t="array" ref="W505">_xlfn.IFS(
  A505="BELL", "WHITE",
  A505="GAMP", "ORANGE",
  A505="GAMM", "GREEN",
  A505="BWF", "YELLOW",
  OR(A505="TNBE", A505="TNBL", A505="TNBD", A505="TNWC", A505="TNBW", A505="THBS"), "PINK",
  A505="CRWD", "BLUE",
  A505="PASS", "WHITE"
)</f>
        <v>#N/A</v>
      </c>
    </row>
    <row r="506" spans="1:23" x14ac:dyDescent="0.25">
      <c r="A506" s="7"/>
      <c r="B506" s="25"/>
      <c r="C506" s="4"/>
      <c r="H506" s="2"/>
      <c r="I506" s="3"/>
      <c r="J506" s="17"/>
      <c r="K506" s="17"/>
      <c r="L506" s="18"/>
      <c r="M506" s="18"/>
      <c r="P506" s="3"/>
      <c r="Q506" s="4"/>
      <c r="R506" s="19"/>
      <c r="S506" s="20"/>
      <c r="U506" s="3" t="str">
        <f t="shared" si="18"/>
        <v/>
      </c>
      <c r="V506" s="4" t="str">
        <f t="shared" si="19"/>
        <v/>
      </c>
      <c r="W506" s="21" t="e" cm="1">
        <f t="array" ref="W506">_xlfn.IFS(
  A506="BELL", "WHITE",
  A506="GAMP", "ORANGE",
  A506="GAMM", "GREEN",
  A506="BWF", "YELLOW",
  OR(A506="TNBE", A506="TNBL", A506="TNBD", A506="TNWC", A506="TNBW", A506="THBS"), "PINK",
  A506="CRWD", "BLUE",
  A506="PASS", "WHITE"
)</f>
        <v>#N/A</v>
      </c>
    </row>
    <row r="507" spans="1:23" x14ac:dyDescent="0.25">
      <c r="A507" s="7"/>
      <c r="B507" s="7"/>
      <c r="C507" s="4"/>
      <c r="I507" s="3"/>
      <c r="J507" s="17"/>
      <c r="K507" s="17"/>
      <c r="L507" s="18"/>
      <c r="M507" s="3"/>
      <c r="P507" s="3"/>
      <c r="Q507" s="4"/>
      <c r="R507" s="19"/>
      <c r="S507" s="20"/>
      <c r="U507" s="3" t="str">
        <f t="shared" si="18"/>
        <v/>
      </c>
      <c r="V507" s="4" t="str">
        <f t="shared" si="19"/>
        <v/>
      </c>
      <c r="W507" s="21" t="e" cm="1">
        <f t="array" ref="W507">_xlfn.IFS(
  A507="BELL", "WHITE",
  A507="GAMP", "ORANGE",
  A507="GAMM", "GREEN",
  A507="BWF", "YELLOW",
  OR(A507="TNBE", A507="TNBL", A507="TNBD", A507="TNWC", A507="TNBW", A507="THBS"), "PINK",
  A507="CRWD", "BLUE",
  A507="PASS", "WHITE"
)</f>
        <v>#N/A</v>
      </c>
    </row>
    <row r="508" spans="1:23" x14ac:dyDescent="0.25">
      <c r="A508" s="7"/>
      <c r="B508" s="7"/>
      <c r="C508" s="4"/>
      <c r="I508" s="3"/>
      <c r="J508" s="17"/>
      <c r="K508" s="17"/>
      <c r="L508" s="18"/>
      <c r="M508" s="3"/>
      <c r="P508" s="3"/>
      <c r="Q508" s="4"/>
      <c r="R508" s="19"/>
      <c r="S508" s="20"/>
      <c r="U508" s="3" t="str">
        <f t="shared" si="18"/>
        <v/>
      </c>
      <c r="V508" s="4" t="str">
        <f t="shared" si="19"/>
        <v/>
      </c>
      <c r="W508" s="21" t="e" cm="1">
        <f t="array" ref="W508">_xlfn.IFS(
  A508="BELL", "WHITE",
  A508="GAMP", "ORANGE",
  A508="GAMM", "GREEN",
  A508="BWF", "YELLOW",
  OR(A508="TNBE", A508="TNBL", A508="TNBD", A508="TNWC", A508="TNBW", A508="THBS"), "PINK",
  A508="CRWD", "BLUE",
  A508="PASS", "WHITE"
)</f>
        <v>#N/A</v>
      </c>
    </row>
    <row r="509" spans="1:23" x14ac:dyDescent="0.25">
      <c r="A509" s="7"/>
      <c r="B509" s="7"/>
      <c r="C509" s="4"/>
      <c r="I509" s="3"/>
      <c r="J509" s="17"/>
      <c r="K509" s="17"/>
      <c r="L509" s="18"/>
      <c r="M509" s="3"/>
      <c r="P509" s="3"/>
      <c r="Q509" s="4"/>
      <c r="R509" s="19"/>
      <c r="S509" s="20"/>
      <c r="U509" s="3" t="str">
        <f t="shared" si="18"/>
        <v/>
      </c>
      <c r="V509" s="4" t="str">
        <f t="shared" si="19"/>
        <v/>
      </c>
      <c r="W509" s="21" t="e" cm="1">
        <f t="array" ref="W509">_xlfn.IFS(
  A509="BELL", "WHITE",
  A509="GAMP", "ORANGE",
  A509="GAMM", "GREEN",
  A509="BWF", "YELLOW",
  OR(A509="TNBE", A509="TNBL", A509="TNBD", A509="TNWC", A509="TNBW", A509="THBS"), "PINK",
  A509="CRWD", "BLUE",
  A509="PASS", "WHITE"
)</f>
        <v>#N/A</v>
      </c>
    </row>
    <row r="510" spans="1:23" x14ac:dyDescent="0.25">
      <c r="A510" s="7"/>
      <c r="B510" s="7"/>
      <c r="C510" s="4"/>
      <c r="I510" s="3"/>
      <c r="J510" s="17"/>
      <c r="K510" s="17"/>
      <c r="L510" s="18"/>
      <c r="M510" s="3"/>
      <c r="P510" s="3"/>
      <c r="Q510" s="4"/>
      <c r="R510" s="19"/>
      <c r="S510" s="20"/>
      <c r="U510" s="3" t="str">
        <f t="shared" si="18"/>
        <v/>
      </c>
      <c r="V510" s="4" t="str">
        <f t="shared" si="19"/>
        <v/>
      </c>
      <c r="W510" s="21" t="e" cm="1">
        <f t="array" ref="W510">_xlfn.IFS(
  A510="BELL", "WHITE",
  A510="GAMP", "ORANGE",
  A510="GAMM", "GREEN",
  A510="BWF", "YELLOW",
  OR(A510="TNBE", A510="TNBL", A510="TNBD", A510="TNWC", A510="TNBW", A510="THBS"), "PINK",
  A510="CRWD", "BLUE",
  A510="PASS", "WHITE"
)</f>
        <v>#N/A</v>
      </c>
    </row>
    <row r="511" spans="1:23" x14ac:dyDescent="0.25">
      <c r="A511" s="7"/>
      <c r="B511" s="7"/>
      <c r="C511" s="4"/>
      <c r="H511" s="2"/>
      <c r="I511" s="3"/>
      <c r="J511" s="17"/>
      <c r="K511" s="17"/>
      <c r="L511" s="18"/>
      <c r="M511" s="18"/>
      <c r="O511" s="7"/>
      <c r="P511" s="3"/>
      <c r="Q511" s="4"/>
      <c r="R511" s="19"/>
      <c r="S511" s="20"/>
      <c r="U511" s="3" t="str">
        <f t="shared" si="18"/>
        <v/>
      </c>
      <c r="V511" s="4" t="str">
        <f t="shared" si="19"/>
        <v/>
      </c>
      <c r="W511" s="21" t="e" cm="1">
        <f t="array" ref="W511">_xlfn.IFS(
  A511="BELL", "WHITE",
  A511="GAMP", "ORANGE",
  A511="GAMM", "GREEN",
  A511="BWF", "YELLOW",
  OR(A511="TNBE", A511="TNBL", A511="TNBD", A511="TNWC", A511="TNBW", A511="THBS"), "PINK",
  A511="CRWD", "BLUE",
  A511="PASS", "WHITE"
)</f>
        <v>#N/A</v>
      </c>
    </row>
    <row r="512" spans="1:23" x14ac:dyDescent="0.25">
      <c r="A512" s="7"/>
      <c r="B512" s="7"/>
      <c r="C512" s="4"/>
      <c r="H512" s="2"/>
      <c r="I512" s="3"/>
      <c r="J512" s="17"/>
      <c r="K512" s="17"/>
      <c r="L512" s="18"/>
      <c r="M512" s="18"/>
      <c r="O512" s="7"/>
      <c r="P512" s="3"/>
      <c r="Q512" s="4"/>
      <c r="R512" s="19"/>
      <c r="S512" s="20"/>
      <c r="U512" s="3" t="str">
        <f t="shared" si="18"/>
        <v/>
      </c>
      <c r="V512" s="4" t="str">
        <f t="shared" si="19"/>
        <v/>
      </c>
      <c r="W512" s="21" t="e" cm="1">
        <f t="array" ref="W512">_xlfn.IFS(
  A512="BELL", "WHITE",
  A512="GAMP", "ORANGE",
  A512="GAMM", "GREEN",
  A512="BWF", "YELLOW",
  OR(A512="TNBE", A512="TNBL", A512="TNBD", A512="TNWC", A512="TNBW", A512="THBS"), "PINK",
  A512="CRWD", "BLUE",
  A512="PASS", "WHITE"
)</f>
        <v>#N/A</v>
      </c>
    </row>
    <row r="513" spans="1:23" x14ac:dyDescent="0.25">
      <c r="A513" s="7"/>
      <c r="B513" s="7"/>
      <c r="C513" s="4"/>
      <c r="H513" s="2"/>
      <c r="I513" s="3"/>
      <c r="J513" s="17"/>
      <c r="K513" s="17"/>
      <c r="L513" s="18"/>
      <c r="M513" s="18"/>
      <c r="O513" s="7"/>
      <c r="P513" s="3"/>
      <c r="Q513" s="4"/>
      <c r="R513" s="19"/>
      <c r="S513" s="20"/>
      <c r="U513" s="3" t="str">
        <f t="shared" si="18"/>
        <v/>
      </c>
      <c r="V513" s="4" t="str">
        <f t="shared" si="19"/>
        <v/>
      </c>
      <c r="W513" s="21" t="e" cm="1">
        <f t="array" ref="W513">_xlfn.IFS(
  A513="BELL", "WHITE",
  A513="GAMP", "ORANGE",
  A513="GAMM", "GREEN",
  A513="BWF", "YELLOW",
  OR(A513="TNBE", A513="TNBL", A513="TNBD", A513="TNWC", A513="TNBW", A513="THBS"), "PINK",
  A513="CRWD", "BLUE",
  A513="PASS", "WHITE"
)</f>
        <v>#N/A</v>
      </c>
    </row>
    <row r="514" spans="1:23" x14ac:dyDescent="0.25">
      <c r="A514" s="7"/>
      <c r="B514" s="7"/>
      <c r="C514" s="4"/>
      <c r="I514" s="3"/>
      <c r="J514" s="17"/>
      <c r="K514" s="17"/>
      <c r="L514" s="18"/>
      <c r="M514" s="3"/>
      <c r="P514" s="3"/>
      <c r="Q514" s="4"/>
      <c r="R514" s="19"/>
      <c r="S514" s="20"/>
      <c r="U514" s="3" t="str">
        <f t="shared" si="18"/>
        <v/>
      </c>
      <c r="V514" s="4" t="str">
        <f t="shared" si="19"/>
        <v/>
      </c>
      <c r="W514" s="21" t="e" cm="1">
        <f t="array" ref="W514">_xlfn.IFS(
  A514="BELL", "WHITE",
  A514="GAMP", "ORANGE",
  A514="GAMM", "GREEN",
  A514="BWF", "YELLOW",
  OR(A514="TNBE", A514="TNBL", A514="TNBD", A514="TNWC", A514="TNBW", A514="THBS"), "PINK",
  A514="CRWD", "BLUE",
  A514="PASS", "WHITE"
)</f>
        <v>#N/A</v>
      </c>
    </row>
    <row r="515" spans="1:23" x14ac:dyDescent="0.25">
      <c r="A515" s="7"/>
      <c r="B515" s="7"/>
      <c r="C515" s="4"/>
      <c r="E515" s="1"/>
      <c r="I515" s="3"/>
      <c r="J515" s="17"/>
      <c r="K515" s="17"/>
      <c r="L515" s="18"/>
      <c r="M515" s="3"/>
      <c r="P515" s="3"/>
      <c r="Q515" s="4"/>
      <c r="R515" s="19"/>
      <c r="S515" s="20"/>
      <c r="U515" s="3" t="str">
        <f t="shared" si="18"/>
        <v/>
      </c>
      <c r="V515" s="4" t="str">
        <f t="shared" si="19"/>
        <v/>
      </c>
      <c r="W515" s="21" t="e" cm="1">
        <f t="array" ref="W515">_xlfn.IFS(
  A515="BELL", "WHITE",
  A515="GAMP", "ORANGE",
  A515="GAMM", "GREEN",
  A515="BWF", "YELLOW",
  OR(A515="TNBE", A515="TNBL", A515="TNBD", A515="TNWC", A515="TNBW", A515="THBS"), "PINK",
  A515="CRWD", "BLUE",
  A515="PASS", "WHITE"
)</f>
        <v>#N/A</v>
      </c>
    </row>
    <row r="516" spans="1:23" x14ac:dyDescent="0.25">
      <c r="A516" s="7"/>
      <c r="B516" s="7"/>
      <c r="C516" s="4"/>
      <c r="I516" s="3"/>
      <c r="J516" s="17"/>
      <c r="K516" s="17"/>
      <c r="L516" s="18"/>
      <c r="M516" s="3"/>
      <c r="P516" s="3"/>
      <c r="Q516" s="4"/>
      <c r="R516" s="19"/>
      <c r="S516" s="20"/>
      <c r="U516" s="3" t="str">
        <f t="shared" ref="U516:U579" si="20">IF(T516="","",IF(T516&gt;I516,H516,T516/G516))</f>
        <v/>
      </c>
      <c r="V516" s="4" t="str">
        <f t="shared" ref="V516:V579" si="21">IF(T516&gt;I516,T516-I516,"")</f>
        <v/>
      </c>
      <c r="W516" s="21" t="e" cm="1">
        <f t="array" ref="W516">_xlfn.IFS(
  A516="BELL", "WHITE",
  A516="GAMP", "ORANGE",
  A516="GAMM", "GREEN",
  A516="BWF", "YELLOW",
  OR(A516="TNBE", A516="TNBL", A516="TNBD", A516="TNWC", A516="TNBW", A516="THBS"), "PINK",
  A516="CRWD", "BLUE",
  A516="PASS", "WHITE"
)</f>
        <v>#N/A</v>
      </c>
    </row>
    <row r="517" spans="1:23" x14ac:dyDescent="0.25">
      <c r="A517" s="7"/>
      <c r="B517" s="7"/>
      <c r="C517" s="4"/>
      <c r="I517" s="3"/>
      <c r="J517" s="17"/>
      <c r="K517" s="17"/>
      <c r="L517" s="18"/>
      <c r="M517" s="3"/>
      <c r="P517" s="3"/>
      <c r="Q517" s="4"/>
      <c r="R517" s="19"/>
      <c r="S517" s="20"/>
      <c r="U517" s="3" t="str">
        <f t="shared" si="20"/>
        <v/>
      </c>
      <c r="V517" s="4" t="str">
        <f t="shared" si="21"/>
        <v/>
      </c>
      <c r="W517" s="21" t="e" cm="1">
        <f t="array" ref="W517">_xlfn.IFS(
  A517="BELL", "WHITE",
  A517="GAMP", "ORANGE",
  A517="GAMM", "GREEN",
  A517="BWF", "YELLOW",
  OR(A517="TNBE", A517="TNBL", A517="TNBD", A517="TNWC", A517="TNBW", A517="THBS"), "PINK",
  A517="CRWD", "BLUE",
  A517="PASS", "WHITE"
)</f>
        <v>#N/A</v>
      </c>
    </row>
    <row r="518" spans="1:23" x14ac:dyDescent="0.25">
      <c r="A518" s="7"/>
      <c r="B518" s="7"/>
      <c r="C518" s="4"/>
      <c r="I518" s="3"/>
      <c r="J518" s="17"/>
      <c r="K518" s="17"/>
      <c r="L518" s="18"/>
      <c r="M518" s="3"/>
      <c r="P518" s="3"/>
      <c r="Q518" s="4"/>
      <c r="R518" s="19"/>
      <c r="S518" s="20"/>
      <c r="U518" s="3" t="str">
        <f t="shared" si="20"/>
        <v/>
      </c>
      <c r="V518" s="4" t="str">
        <f t="shared" si="21"/>
        <v/>
      </c>
      <c r="W518" s="21" t="e" cm="1">
        <f t="array" ref="W518">_xlfn.IFS(
  A518="BELL", "WHITE",
  A518="GAMP", "ORANGE",
  A518="GAMM", "GREEN",
  A518="BWF", "YELLOW",
  OR(A518="TNBE", A518="TNBL", A518="TNBD", A518="TNWC", A518="TNBW", A518="THBS"), "PINK",
  A518="CRWD", "BLUE",
  A518="PASS", "WHITE"
)</f>
        <v>#N/A</v>
      </c>
    </row>
    <row r="519" spans="1:23" x14ac:dyDescent="0.25">
      <c r="A519" s="7"/>
      <c r="B519" s="7"/>
      <c r="C519" s="4"/>
      <c r="I519" s="3"/>
      <c r="J519" s="17"/>
      <c r="K519" s="17"/>
      <c r="L519" s="18"/>
      <c r="M519" s="3"/>
      <c r="P519" s="3"/>
      <c r="Q519" s="4"/>
      <c r="R519" s="19"/>
      <c r="S519" s="20"/>
      <c r="U519" s="3" t="str">
        <f t="shared" si="20"/>
        <v/>
      </c>
      <c r="V519" s="4" t="str">
        <f t="shared" si="21"/>
        <v/>
      </c>
      <c r="W519" s="21" t="e" cm="1">
        <f t="array" ref="W519">_xlfn.IFS(
  A519="BELL", "WHITE",
  A519="GAMP", "ORANGE",
  A519="GAMM", "GREEN",
  A519="BWF", "YELLOW",
  OR(A519="TNBE", A519="TNBL", A519="TNBD", A519="TNWC", A519="TNBW", A519="THBS"), "PINK",
  A519="CRWD", "BLUE",
  A519="PASS", "WHITE"
)</f>
        <v>#N/A</v>
      </c>
    </row>
    <row r="520" spans="1:23" x14ac:dyDescent="0.25">
      <c r="A520" s="7"/>
      <c r="B520" s="7"/>
      <c r="C520" s="4"/>
      <c r="I520" s="3"/>
      <c r="J520" s="17"/>
      <c r="K520" s="17"/>
      <c r="L520" s="18"/>
      <c r="M520" s="3"/>
      <c r="P520" s="3"/>
      <c r="Q520" s="4"/>
      <c r="R520" s="19"/>
      <c r="S520" s="20"/>
      <c r="U520" s="3" t="str">
        <f t="shared" si="20"/>
        <v/>
      </c>
      <c r="V520" s="4" t="str">
        <f t="shared" si="21"/>
        <v/>
      </c>
      <c r="W520" s="21" t="e" cm="1">
        <f t="array" ref="W520">_xlfn.IFS(
  A520="BELL", "WHITE",
  A520="GAMP", "ORANGE",
  A520="GAMM", "GREEN",
  A520="BWF", "YELLOW",
  OR(A520="TNBE", A520="TNBL", A520="TNBD", A520="TNWC", A520="TNBW", A520="THBS"), "PINK",
  A520="CRWD", "BLUE",
  A520="PASS", "WHITE"
)</f>
        <v>#N/A</v>
      </c>
    </row>
    <row r="521" spans="1:23" x14ac:dyDescent="0.25">
      <c r="A521" s="7"/>
      <c r="B521" s="7"/>
      <c r="C521" s="4"/>
      <c r="I521" s="3"/>
      <c r="J521" s="17"/>
      <c r="K521" s="17"/>
      <c r="L521" s="18"/>
      <c r="M521" s="3"/>
      <c r="P521" s="3"/>
      <c r="Q521" s="4"/>
      <c r="R521" s="19"/>
      <c r="S521" s="20"/>
      <c r="U521" s="3" t="str">
        <f t="shared" si="20"/>
        <v/>
      </c>
      <c r="V521" s="4" t="str">
        <f t="shared" si="21"/>
        <v/>
      </c>
      <c r="W521" s="21" t="e" cm="1">
        <f t="array" ref="W521">_xlfn.IFS(
  A521="BELL", "WHITE",
  A521="GAMP", "ORANGE",
  A521="GAMM", "GREEN",
  A521="BWF", "YELLOW",
  OR(A521="TNBE", A521="TNBL", A521="TNBD", A521="TNWC", A521="TNBW", A521="THBS"), "PINK",
  A521="CRWD", "BLUE",
  A521="PASS", "WHITE"
)</f>
        <v>#N/A</v>
      </c>
    </row>
    <row r="522" spans="1:23" x14ac:dyDescent="0.25">
      <c r="A522" s="7"/>
      <c r="B522" s="7"/>
      <c r="C522" s="4"/>
      <c r="I522" s="3"/>
      <c r="J522" s="17"/>
      <c r="K522" s="17"/>
      <c r="L522" s="18"/>
      <c r="M522" s="3"/>
      <c r="P522" s="3"/>
      <c r="Q522" s="4"/>
      <c r="R522" s="19"/>
      <c r="S522" s="20"/>
      <c r="U522" s="3" t="str">
        <f t="shared" si="20"/>
        <v/>
      </c>
      <c r="V522" s="4" t="str">
        <f t="shared" si="21"/>
        <v/>
      </c>
      <c r="W522" s="21" t="e" cm="1">
        <f t="array" ref="W522">_xlfn.IFS(
  A522="BELL", "WHITE",
  A522="GAMP", "ORANGE",
  A522="GAMM", "GREEN",
  A522="BWF", "YELLOW",
  OR(A522="TNBE", A522="TNBL", A522="TNBD", A522="TNWC", A522="TNBW", A522="THBS"), "PINK",
  A522="CRWD", "BLUE",
  A522="PASS", "WHITE"
)</f>
        <v>#N/A</v>
      </c>
    </row>
    <row r="523" spans="1:23" x14ac:dyDescent="0.25">
      <c r="A523" s="7"/>
      <c r="B523" s="7"/>
      <c r="C523" s="4"/>
      <c r="I523" s="3"/>
      <c r="J523" s="17"/>
      <c r="K523" s="17"/>
      <c r="L523" s="18"/>
      <c r="M523" s="3"/>
      <c r="P523" s="3"/>
      <c r="Q523" s="4"/>
      <c r="R523" s="19"/>
      <c r="S523" s="20"/>
      <c r="U523" s="3" t="str">
        <f t="shared" si="20"/>
        <v/>
      </c>
      <c r="V523" s="4" t="str">
        <f t="shared" si="21"/>
        <v/>
      </c>
      <c r="W523" s="21" t="e" cm="1">
        <f t="array" ref="W523">_xlfn.IFS(
  A523="BELL", "WHITE",
  A523="GAMP", "ORANGE",
  A523="GAMM", "GREEN",
  A523="BWF", "YELLOW",
  OR(A523="TNBE", A523="TNBL", A523="TNBD", A523="TNWC", A523="TNBW", A523="THBS"), "PINK",
  A523="CRWD", "BLUE",
  A523="PASS", "WHITE"
)</f>
        <v>#N/A</v>
      </c>
    </row>
    <row r="524" spans="1:23" x14ac:dyDescent="0.25">
      <c r="A524" s="7"/>
      <c r="B524" s="7"/>
      <c r="C524" s="4"/>
      <c r="I524" s="3"/>
      <c r="J524" s="17"/>
      <c r="K524" s="17"/>
      <c r="L524" s="18"/>
      <c r="M524" s="3"/>
      <c r="P524" s="3"/>
      <c r="Q524" s="4"/>
      <c r="R524" s="19"/>
      <c r="S524" s="20"/>
      <c r="U524" s="3" t="str">
        <f t="shared" si="20"/>
        <v/>
      </c>
      <c r="V524" s="4" t="str">
        <f t="shared" si="21"/>
        <v/>
      </c>
      <c r="W524" s="21" t="e" cm="1">
        <f t="array" ref="W524">_xlfn.IFS(
  A524="BELL", "WHITE",
  A524="GAMP", "ORANGE",
  A524="GAMM", "GREEN",
  A524="BWF", "YELLOW",
  OR(A524="TNBE", A524="TNBL", A524="TNBD", A524="TNWC", A524="TNBW", A524="THBS"), "PINK",
  A524="CRWD", "BLUE",
  A524="PASS", "WHITE"
)</f>
        <v>#N/A</v>
      </c>
    </row>
    <row r="525" spans="1:23" x14ac:dyDescent="0.25">
      <c r="A525" s="7"/>
      <c r="B525" s="7"/>
      <c r="C525" s="4"/>
      <c r="I525" s="3"/>
      <c r="J525" s="17"/>
      <c r="K525" s="17"/>
      <c r="L525" s="18"/>
      <c r="M525" s="3"/>
      <c r="P525" s="3"/>
      <c r="Q525" s="4"/>
      <c r="R525" s="19"/>
      <c r="S525" s="20"/>
      <c r="U525" s="3" t="str">
        <f t="shared" si="20"/>
        <v/>
      </c>
      <c r="V525" s="4" t="str">
        <f t="shared" si="21"/>
        <v/>
      </c>
      <c r="W525" s="21" t="e" cm="1">
        <f t="array" ref="W525">_xlfn.IFS(
  A525="BELL", "WHITE",
  A525="GAMP", "ORANGE",
  A525="GAMM", "GREEN",
  A525="BWF", "YELLOW",
  OR(A525="TNBE", A525="TNBL", A525="TNBD", A525="TNWC", A525="TNBW", A525="THBS"), "PINK",
  A525="CRWD", "BLUE",
  A525="PASS", "WHITE"
)</f>
        <v>#N/A</v>
      </c>
    </row>
    <row r="526" spans="1:23" x14ac:dyDescent="0.25">
      <c r="A526" s="7"/>
      <c r="B526" s="7"/>
      <c r="C526" s="4"/>
      <c r="I526" s="3"/>
      <c r="J526" s="17"/>
      <c r="K526" s="17"/>
      <c r="L526" s="18"/>
      <c r="M526" s="3"/>
      <c r="P526" s="3"/>
      <c r="Q526" s="4"/>
      <c r="R526" s="19"/>
      <c r="S526" s="20"/>
      <c r="U526" s="3" t="str">
        <f t="shared" si="20"/>
        <v/>
      </c>
      <c r="V526" s="4" t="str">
        <f t="shared" si="21"/>
        <v/>
      </c>
      <c r="W526" s="21" t="e" cm="1">
        <f t="array" ref="W526">_xlfn.IFS(
  A526="BELL", "WHITE",
  A526="GAMP", "ORANGE",
  A526="GAMM", "GREEN",
  A526="BWF", "YELLOW",
  OR(A526="TNBE", A526="TNBL", A526="TNBD", A526="TNWC", A526="TNBW", A526="THBS"), "PINK",
  A526="CRWD", "BLUE",
  A526="PASS", "WHITE"
)</f>
        <v>#N/A</v>
      </c>
    </row>
    <row r="527" spans="1:23" x14ac:dyDescent="0.25">
      <c r="A527" s="7"/>
      <c r="B527" s="7"/>
      <c r="C527" s="4"/>
      <c r="I527" s="3"/>
      <c r="J527" s="17"/>
      <c r="K527" s="17"/>
      <c r="L527" s="18"/>
      <c r="M527" s="3"/>
      <c r="P527" s="3"/>
      <c r="Q527" s="4"/>
      <c r="R527" s="19"/>
      <c r="S527" s="20"/>
      <c r="U527" s="3" t="str">
        <f t="shared" si="20"/>
        <v/>
      </c>
      <c r="V527" s="4" t="str">
        <f t="shared" si="21"/>
        <v/>
      </c>
      <c r="W527" s="21" t="e" cm="1">
        <f t="array" ref="W527">_xlfn.IFS(
  A527="BELL", "WHITE",
  A527="GAMP", "ORANGE",
  A527="GAMM", "GREEN",
  A527="BWF", "YELLOW",
  OR(A527="TNBE", A527="TNBL", A527="TNBD", A527="TNWC", A527="TNBW", A527="THBS"), "PINK",
  A527="CRWD", "BLUE",
  A527="PASS", "WHITE"
)</f>
        <v>#N/A</v>
      </c>
    </row>
    <row r="528" spans="1:23" x14ac:dyDescent="0.25">
      <c r="A528" s="7"/>
      <c r="B528" s="7"/>
      <c r="C528" s="4"/>
      <c r="I528" s="3"/>
      <c r="J528" s="17"/>
      <c r="K528" s="17"/>
      <c r="L528" s="18"/>
      <c r="M528" s="3"/>
      <c r="P528" s="3"/>
      <c r="Q528" s="4"/>
      <c r="R528" s="19"/>
      <c r="S528" s="20"/>
      <c r="U528" s="3" t="str">
        <f t="shared" si="20"/>
        <v/>
      </c>
      <c r="V528" s="4" t="str">
        <f t="shared" si="21"/>
        <v/>
      </c>
      <c r="W528" s="21" t="e" cm="1">
        <f t="array" ref="W528">_xlfn.IFS(
  A528="BELL", "WHITE",
  A528="GAMP", "ORANGE",
  A528="GAMM", "GREEN",
  A528="BWF", "YELLOW",
  OR(A528="TNBE", A528="TNBL", A528="TNBD", A528="TNWC", A528="TNBW", A528="THBS"), "PINK",
  A528="CRWD", "BLUE",
  A528="PASS", "WHITE"
)</f>
        <v>#N/A</v>
      </c>
    </row>
    <row r="529" spans="1:23" x14ac:dyDescent="0.25">
      <c r="A529" s="7"/>
      <c r="B529" s="7"/>
      <c r="C529" s="4"/>
      <c r="I529" s="3"/>
      <c r="J529" s="17"/>
      <c r="K529" s="17"/>
      <c r="L529" s="18"/>
      <c r="M529" s="3"/>
      <c r="P529" s="3"/>
      <c r="Q529" s="4"/>
      <c r="R529" s="19"/>
      <c r="S529" s="20"/>
      <c r="U529" s="3" t="str">
        <f t="shared" si="20"/>
        <v/>
      </c>
      <c r="V529" s="4" t="str">
        <f t="shared" si="21"/>
        <v/>
      </c>
      <c r="W529" s="21" t="e" cm="1">
        <f t="array" ref="W529">_xlfn.IFS(
  A529="BELL", "WHITE",
  A529="GAMP", "ORANGE",
  A529="GAMM", "GREEN",
  A529="BWF", "YELLOW",
  OR(A529="TNBE", A529="TNBL", A529="TNBD", A529="TNWC", A529="TNBW", A529="THBS"), "PINK",
  A529="CRWD", "BLUE",
  A529="PASS", "WHITE"
)</f>
        <v>#N/A</v>
      </c>
    </row>
    <row r="530" spans="1:23" x14ac:dyDescent="0.25">
      <c r="A530" s="7"/>
      <c r="B530" s="7"/>
      <c r="C530" s="4"/>
      <c r="I530" s="3"/>
      <c r="J530" s="17"/>
      <c r="K530" s="17"/>
      <c r="L530" s="18"/>
      <c r="M530" s="3"/>
      <c r="P530" s="3"/>
      <c r="Q530" s="4"/>
      <c r="R530" s="19"/>
      <c r="S530" s="20"/>
      <c r="U530" s="3" t="str">
        <f t="shared" si="20"/>
        <v/>
      </c>
      <c r="V530" s="4" t="str">
        <f t="shared" si="21"/>
        <v/>
      </c>
      <c r="W530" s="21" t="e" cm="1">
        <f t="array" ref="W530">_xlfn.IFS(
  A530="BELL", "WHITE",
  A530="GAMP", "ORANGE",
  A530="GAMM", "GREEN",
  A530="BWF", "YELLOW",
  OR(A530="TNBE", A530="TNBL", A530="TNBD", A530="TNWC", A530="TNBW", A530="THBS"), "PINK",
  A530="CRWD", "BLUE",
  A530="PASS", "WHITE"
)</f>
        <v>#N/A</v>
      </c>
    </row>
    <row r="531" spans="1:23" x14ac:dyDescent="0.25">
      <c r="A531" s="7"/>
      <c r="B531" s="7"/>
      <c r="C531" s="4"/>
      <c r="I531" s="3"/>
      <c r="J531" s="17"/>
      <c r="K531" s="17"/>
      <c r="L531" s="18"/>
      <c r="M531" s="3"/>
      <c r="P531" s="3"/>
      <c r="Q531" s="4"/>
      <c r="R531" s="19"/>
      <c r="S531" s="20"/>
      <c r="U531" s="3" t="str">
        <f t="shared" si="20"/>
        <v/>
      </c>
      <c r="V531" s="4" t="str">
        <f t="shared" si="21"/>
        <v/>
      </c>
      <c r="W531" s="21" t="e" cm="1">
        <f t="array" ref="W531">_xlfn.IFS(
  A531="BELL", "WHITE",
  A531="GAMP", "ORANGE",
  A531="GAMM", "GREEN",
  A531="BWF", "YELLOW",
  OR(A531="TNBE", A531="TNBL", A531="TNBD", A531="TNWC", A531="TNBW", A531="THBS"), "PINK",
  A531="CRWD", "BLUE",
  A531="PASS", "WHITE"
)</f>
        <v>#N/A</v>
      </c>
    </row>
    <row r="532" spans="1:23" x14ac:dyDescent="0.25">
      <c r="A532" s="7"/>
      <c r="B532" s="7"/>
      <c r="C532" s="4"/>
      <c r="I532" s="3"/>
      <c r="J532" s="17"/>
      <c r="K532" s="17"/>
      <c r="L532" s="18"/>
      <c r="M532" s="3"/>
      <c r="P532" s="3"/>
      <c r="Q532" s="4"/>
      <c r="R532" s="19"/>
      <c r="S532" s="20"/>
      <c r="U532" s="3" t="str">
        <f t="shared" si="20"/>
        <v/>
      </c>
      <c r="V532" s="4" t="str">
        <f t="shared" si="21"/>
        <v/>
      </c>
      <c r="W532" s="21" t="e" cm="1">
        <f t="array" ref="W532">_xlfn.IFS(
  A532="BELL", "WHITE",
  A532="GAMP", "ORANGE",
  A532="GAMM", "GREEN",
  A532="BWF", "YELLOW",
  OR(A532="TNBE", A532="TNBL", A532="TNBD", A532="TNWC", A532="TNBW", A532="THBS"), "PINK",
  A532="CRWD", "BLUE",
  A532="PASS", "WHITE"
)</f>
        <v>#N/A</v>
      </c>
    </row>
    <row r="533" spans="1:23" x14ac:dyDescent="0.25">
      <c r="A533" s="7"/>
      <c r="B533" s="7"/>
      <c r="C533" s="4"/>
      <c r="H533" s="2"/>
      <c r="I533" s="3"/>
      <c r="J533" s="17"/>
      <c r="K533" s="17"/>
      <c r="L533" s="18"/>
      <c r="M533" s="18"/>
      <c r="O533" s="7"/>
      <c r="P533" s="3"/>
      <c r="Q533" s="4"/>
      <c r="R533" s="19"/>
      <c r="S533" s="20"/>
      <c r="U533" s="3" t="str">
        <f t="shared" si="20"/>
        <v/>
      </c>
      <c r="V533" s="4" t="str">
        <f t="shared" si="21"/>
        <v/>
      </c>
      <c r="W533" s="21" t="e" cm="1">
        <f t="array" ref="W533">_xlfn.IFS(
  A533="BELL", "WHITE",
  A533="GAMP", "ORANGE",
  A533="GAMM", "GREEN",
  A533="BWF", "YELLOW",
  OR(A533="TNBE", A533="TNBL", A533="TNBD", A533="TNWC", A533="TNBW", A533="THBS"), "PINK",
  A533="CRWD", "BLUE",
  A533="PASS", "WHITE"
)</f>
        <v>#N/A</v>
      </c>
    </row>
    <row r="534" spans="1:23" x14ac:dyDescent="0.25">
      <c r="A534" s="7"/>
      <c r="B534" s="7"/>
      <c r="C534" s="4"/>
      <c r="H534" s="2"/>
      <c r="I534" s="3"/>
      <c r="J534" s="17"/>
      <c r="K534" s="17"/>
      <c r="L534" s="18"/>
      <c r="M534" s="18"/>
      <c r="O534" s="7"/>
      <c r="P534" s="3"/>
      <c r="Q534" s="4"/>
      <c r="R534" s="19"/>
      <c r="S534" s="20"/>
      <c r="U534" s="3" t="str">
        <f t="shared" si="20"/>
        <v/>
      </c>
      <c r="V534" s="4" t="str">
        <f t="shared" si="21"/>
        <v/>
      </c>
      <c r="W534" s="21" t="e" cm="1">
        <f t="array" ref="W534">_xlfn.IFS(
  A534="BELL", "WHITE",
  A534="GAMP", "ORANGE",
  A534="GAMM", "GREEN",
  A534="BWF", "YELLOW",
  OR(A534="TNBE", A534="TNBL", A534="TNBD", A534="TNWC", A534="TNBW", A534="THBS"), "PINK",
  A534="CRWD", "BLUE",
  A534="PASS", "WHITE"
)</f>
        <v>#N/A</v>
      </c>
    </row>
    <row r="535" spans="1:23" x14ac:dyDescent="0.25">
      <c r="A535" s="7"/>
      <c r="B535" s="7"/>
      <c r="C535" s="4"/>
      <c r="H535" s="2"/>
      <c r="I535" s="3"/>
      <c r="J535" s="17"/>
      <c r="K535" s="17"/>
      <c r="L535" s="18"/>
      <c r="M535" s="18"/>
      <c r="O535" s="7"/>
      <c r="P535" s="3"/>
      <c r="Q535" s="4"/>
      <c r="R535" s="19"/>
      <c r="S535" s="20"/>
      <c r="U535" s="3" t="str">
        <f t="shared" si="20"/>
        <v/>
      </c>
      <c r="V535" s="4" t="str">
        <f t="shared" si="21"/>
        <v/>
      </c>
      <c r="W535" s="21" t="e" cm="1">
        <f t="array" ref="W535">_xlfn.IFS(
  A535="BELL", "WHITE",
  A535="GAMP", "ORANGE",
  A535="GAMM", "GREEN",
  A535="BWF", "YELLOW",
  OR(A535="TNBE", A535="TNBL", A535="TNBD", A535="TNWC", A535="TNBW", A535="THBS"), "PINK",
  A535="CRWD", "BLUE",
  A535="PASS", "WHITE"
)</f>
        <v>#N/A</v>
      </c>
    </row>
    <row r="536" spans="1:23" x14ac:dyDescent="0.25">
      <c r="A536" s="7"/>
      <c r="B536" s="7"/>
      <c r="C536" s="4"/>
      <c r="H536" s="2"/>
      <c r="I536" s="3"/>
      <c r="J536" s="17"/>
      <c r="K536" s="17"/>
      <c r="L536" s="18"/>
      <c r="M536" s="18"/>
      <c r="O536" s="7"/>
      <c r="P536" s="3"/>
      <c r="Q536" s="4"/>
      <c r="R536" s="19"/>
      <c r="S536" s="20"/>
      <c r="U536" s="3" t="str">
        <f t="shared" si="20"/>
        <v/>
      </c>
      <c r="V536" s="4" t="str">
        <f t="shared" si="21"/>
        <v/>
      </c>
      <c r="W536" s="21" t="e" cm="1">
        <f t="array" ref="W536">_xlfn.IFS(
  A536="BELL", "WHITE",
  A536="GAMP", "ORANGE",
  A536="GAMM", "GREEN",
  A536="BWF", "YELLOW",
  OR(A536="TNBE", A536="TNBL", A536="TNBD", A536="TNWC", A536="TNBW", A536="THBS"), "PINK",
  A536="CRWD", "BLUE",
  A536="PASS", "WHITE"
)</f>
        <v>#N/A</v>
      </c>
    </row>
    <row r="537" spans="1:23" x14ac:dyDescent="0.25">
      <c r="A537" s="7"/>
      <c r="B537" s="7"/>
      <c r="C537" s="4"/>
      <c r="I537" s="3"/>
      <c r="J537" s="17"/>
      <c r="K537" s="17"/>
      <c r="L537" s="18"/>
      <c r="M537" s="3"/>
      <c r="P537" s="3"/>
      <c r="Q537" s="4"/>
      <c r="R537" s="19"/>
      <c r="S537" s="20"/>
      <c r="U537" s="3" t="str">
        <f t="shared" si="20"/>
        <v/>
      </c>
      <c r="V537" s="4" t="str">
        <f t="shared" si="21"/>
        <v/>
      </c>
      <c r="W537" s="21" t="e" cm="1">
        <f t="array" ref="W537">_xlfn.IFS(
  A537="BELL", "WHITE",
  A537="GAMP", "ORANGE",
  A537="GAMM", "GREEN",
  A537="BWF", "YELLOW",
  OR(A537="TNBE", A537="TNBL", A537="TNBD", A537="TNWC", A537="TNBW", A537="THBS"), "PINK",
  A537="CRWD", "BLUE",
  A537="PASS", "WHITE"
)</f>
        <v>#N/A</v>
      </c>
    </row>
    <row r="538" spans="1:23" x14ac:dyDescent="0.25">
      <c r="A538" s="7"/>
      <c r="B538" s="7"/>
      <c r="C538" s="4"/>
      <c r="H538" s="2"/>
      <c r="I538" s="3"/>
      <c r="J538" s="17"/>
      <c r="K538" s="17"/>
      <c r="L538" s="18"/>
      <c r="M538" s="18"/>
      <c r="O538" s="7"/>
      <c r="P538" s="3"/>
      <c r="Q538" s="4"/>
      <c r="R538" s="19"/>
      <c r="S538" s="20"/>
      <c r="U538" s="3" t="str">
        <f t="shared" si="20"/>
        <v/>
      </c>
      <c r="V538" s="4" t="str">
        <f t="shared" si="21"/>
        <v/>
      </c>
      <c r="W538" s="21" t="e" cm="1">
        <f t="array" ref="W538">_xlfn.IFS(
  A538="BELL", "WHITE",
  A538="GAMP", "ORANGE",
  A538="GAMM", "GREEN",
  A538="BWF", "YELLOW",
  OR(A538="TNBE", A538="TNBL", A538="TNBD", A538="TNWC", A538="TNBW", A538="THBS"), "PINK",
  A538="CRWD", "BLUE",
  A538="PASS", "WHITE"
)</f>
        <v>#N/A</v>
      </c>
    </row>
    <row r="539" spans="1:23" x14ac:dyDescent="0.25">
      <c r="A539" s="7"/>
      <c r="B539" s="7"/>
      <c r="C539" s="4"/>
      <c r="H539" s="2"/>
      <c r="I539" s="3"/>
      <c r="J539" s="17"/>
      <c r="K539" s="17"/>
      <c r="L539" s="18"/>
      <c r="M539" s="18"/>
      <c r="O539" s="7"/>
      <c r="P539" s="3"/>
      <c r="Q539" s="4"/>
      <c r="R539" s="19"/>
      <c r="S539" s="20"/>
      <c r="U539" s="3" t="str">
        <f t="shared" si="20"/>
        <v/>
      </c>
      <c r="V539" s="4" t="str">
        <f t="shared" si="21"/>
        <v/>
      </c>
      <c r="W539" s="21" t="e" cm="1">
        <f t="array" ref="W539">_xlfn.IFS(
  A539="BELL", "WHITE",
  A539="GAMP", "ORANGE",
  A539="GAMM", "GREEN",
  A539="BWF", "YELLOW",
  OR(A539="TNBE", A539="TNBL", A539="TNBD", A539="TNWC", A539="TNBW", A539="THBS"), "PINK",
  A539="CRWD", "BLUE",
  A539="PASS", "WHITE"
)</f>
        <v>#N/A</v>
      </c>
    </row>
    <row r="540" spans="1:23" x14ac:dyDescent="0.25">
      <c r="A540" s="7"/>
      <c r="B540" s="7"/>
      <c r="C540" s="4"/>
      <c r="H540" s="2"/>
      <c r="I540" s="3"/>
      <c r="J540" s="17"/>
      <c r="K540" s="17"/>
      <c r="L540" s="18"/>
      <c r="M540" s="18"/>
      <c r="O540" s="7"/>
      <c r="P540" s="3"/>
      <c r="Q540" s="4"/>
      <c r="R540" s="19"/>
      <c r="S540" s="20"/>
      <c r="U540" s="3" t="str">
        <f t="shared" si="20"/>
        <v/>
      </c>
      <c r="V540" s="4" t="str">
        <f t="shared" si="21"/>
        <v/>
      </c>
      <c r="W540" s="21" t="e" cm="1">
        <f t="array" ref="W540">_xlfn.IFS(
  A540="BELL", "WHITE",
  A540="GAMP", "ORANGE",
  A540="GAMM", "GREEN",
  A540="BWF", "YELLOW",
  OR(A540="TNBE", A540="TNBL", A540="TNBD", A540="TNWC", A540="TNBW", A540="THBS"), "PINK",
  A540="CRWD", "BLUE",
  A540="PASS", "WHITE"
)</f>
        <v>#N/A</v>
      </c>
    </row>
    <row r="541" spans="1:23" x14ac:dyDescent="0.25">
      <c r="A541" s="7"/>
      <c r="B541" s="7"/>
      <c r="C541" s="4"/>
      <c r="H541" s="2"/>
      <c r="I541" s="3"/>
      <c r="J541" s="17"/>
      <c r="K541" s="17"/>
      <c r="L541" s="18"/>
      <c r="M541" s="18"/>
      <c r="O541" s="7"/>
      <c r="P541" s="3"/>
      <c r="Q541" s="4"/>
      <c r="R541" s="19"/>
      <c r="S541" s="20"/>
      <c r="U541" s="3" t="str">
        <f t="shared" si="20"/>
        <v/>
      </c>
      <c r="V541" s="4" t="str">
        <f t="shared" si="21"/>
        <v/>
      </c>
      <c r="W541" s="21" t="e" cm="1">
        <f t="array" ref="W541">_xlfn.IFS(
  A541="BELL", "WHITE",
  A541="GAMP", "ORANGE",
  A541="GAMM", "GREEN",
  A541="BWF", "YELLOW",
  OR(A541="TNBE", A541="TNBL", A541="TNBD", A541="TNWC", A541="TNBW", A541="THBS"), "PINK",
  A541="CRWD", "BLUE",
  A541="PASS", "WHITE"
)</f>
        <v>#N/A</v>
      </c>
    </row>
    <row r="542" spans="1:23" x14ac:dyDescent="0.25">
      <c r="A542" s="7"/>
      <c r="B542" s="7"/>
      <c r="C542" s="4"/>
      <c r="H542" s="2"/>
      <c r="I542" s="3"/>
      <c r="J542" s="17"/>
      <c r="K542" s="17"/>
      <c r="L542" s="18"/>
      <c r="M542" s="18"/>
      <c r="O542" s="7"/>
      <c r="P542" s="3"/>
      <c r="Q542" s="4"/>
      <c r="R542" s="19"/>
      <c r="S542" s="20"/>
      <c r="U542" s="3" t="str">
        <f t="shared" si="20"/>
        <v/>
      </c>
      <c r="V542" s="4" t="str">
        <f t="shared" si="21"/>
        <v/>
      </c>
      <c r="W542" s="21" t="e" cm="1">
        <f t="array" ref="W542">_xlfn.IFS(
  A542="BELL", "WHITE",
  A542="GAMP", "ORANGE",
  A542="GAMM", "GREEN",
  A542="BWF", "YELLOW",
  OR(A542="TNBE", A542="TNBL", A542="TNBD", A542="TNWC", A542="TNBW", A542="THBS"), "PINK",
  A542="CRWD", "BLUE",
  A542="PASS", "WHITE"
)</f>
        <v>#N/A</v>
      </c>
    </row>
    <row r="543" spans="1:23" x14ac:dyDescent="0.25">
      <c r="A543" s="7"/>
      <c r="B543" s="7"/>
      <c r="C543" s="4"/>
      <c r="I543" s="3"/>
      <c r="J543" s="17"/>
      <c r="K543" s="17"/>
      <c r="L543" s="18"/>
      <c r="M543" s="3"/>
      <c r="P543" s="3"/>
      <c r="Q543" s="4"/>
      <c r="R543" s="19"/>
      <c r="S543" s="20"/>
      <c r="U543" s="3" t="str">
        <f t="shared" si="20"/>
        <v/>
      </c>
      <c r="V543" s="4" t="str">
        <f t="shared" si="21"/>
        <v/>
      </c>
      <c r="W543" s="21" t="e" cm="1">
        <f t="array" ref="W543">_xlfn.IFS(
  A543="BELL", "WHITE",
  A543="GAMP", "ORANGE",
  A543="GAMM", "GREEN",
  A543="BWF", "YELLOW",
  OR(A543="TNBE", A543="TNBL", A543="TNBD", A543="TNWC", A543="TNBW", A543="THBS"), "PINK",
  A543="CRWD", "BLUE",
  A543="PASS", "WHITE"
)</f>
        <v>#N/A</v>
      </c>
    </row>
    <row r="544" spans="1:23" x14ac:dyDescent="0.25">
      <c r="A544" s="7"/>
      <c r="B544" s="7"/>
      <c r="C544" s="4"/>
      <c r="I544" s="3"/>
      <c r="J544" s="17"/>
      <c r="K544" s="17"/>
      <c r="L544" s="18"/>
      <c r="M544" s="3"/>
      <c r="P544" s="3"/>
      <c r="Q544" s="4"/>
      <c r="R544" s="19"/>
      <c r="S544" s="20"/>
      <c r="U544" s="3" t="str">
        <f t="shared" si="20"/>
        <v/>
      </c>
      <c r="V544" s="4" t="str">
        <f t="shared" si="21"/>
        <v/>
      </c>
      <c r="W544" s="21" t="e" cm="1">
        <f t="array" ref="W544">_xlfn.IFS(
  A544="BELL", "WHITE",
  A544="GAMP", "ORANGE",
  A544="GAMM", "GREEN",
  A544="BWF", "YELLOW",
  OR(A544="TNBE", A544="TNBL", A544="TNBD", A544="TNWC", A544="TNBW", A544="THBS"), "PINK",
  A544="CRWD", "BLUE",
  A544="PASS", "WHITE"
)</f>
        <v>#N/A</v>
      </c>
    </row>
    <row r="545" spans="1:23" x14ac:dyDescent="0.25">
      <c r="A545" s="7"/>
      <c r="B545" s="7"/>
      <c r="C545" s="4"/>
      <c r="I545" s="3"/>
      <c r="J545" s="17"/>
      <c r="K545" s="17"/>
      <c r="L545" s="18"/>
      <c r="M545" s="3"/>
      <c r="P545" s="3"/>
      <c r="Q545" s="4"/>
      <c r="R545" s="19"/>
      <c r="S545" s="20"/>
      <c r="U545" s="3" t="str">
        <f t="shared" si="20"/>
        <v/>
      </c>
      <c r="V545" s="4" t="str">
        <f t="shared" si="21"/>
        <v/>
      </c>
      <c r="W545" s="21" t="e" cm="1">
        <f t="array" ref="W545">_xlfn.IFS(
  A545="BELL", "WHITE",
  A545="GAMP", "ORANGE",
  A545="GAMM", "GREEN",
  A545="BWF", "YELLOW",
  OR(A545="TNBE", A545="TNBL", A545="TNBD", A545="TNWC", A545="TNBW", A545="THBS"), "PINK",
  A545="CRWD", "BLUE",
  A545="PASS", "WHITE"
)</f>
        <v>#N/A</v>
      </c>
    </row>
    <row r="546" spans="1:23" x14ac:dyDescent="0.25">
      <c r="A546" s="7"/>
      <c r="B546" s="7"/>
      <c r="C546" s="4"/>
      <c r="I546" s="3"/>
      <c r="J546" s="17"/>
      <c r="K546" s="17"/>
      <c r="L546" s="18"/>
      <c r="M546" s="3"/>
      <c r="P546" s="3"/>
      <c r="Q546" s="4"/>
      <c r="R546" s="19"/>
      <c r="S546" s="20"/>
      <c r="U546" s="3" t="str">
        <f t="shared" si="20"/>
        <v/>
      </c>
      <c r="V546" s="4" t="str">
        <f t="shared" si="21"/>
        <v/>
      </c>
      <c r="W546" s="21" t="e" cm="1">
        <f t="array" ref="W546">_xlfn.IFS(
  A546="BELL", "WHITE",
  A546="GAMP", "ORANGE",
  A546="GAMM", "GREEN",
  A546="BWF", "YELLOW",
  OR(A546="TNBE", A546="TNBL", A546="TNBD", A546="TNWC", A546="TNBW", A546="THBS"), "PINK",
  A546="CRWD", "BLUE",
  A546="PASS", "WHITE"
)</f>
        <v>#N/A</v>
      </c>
    </row>
    <row r="547" spans="1:23" x14ac:dyDescent="0.25">
      <c r="A547" s="7"/>
      <c r="B547" s="7"/>
      <c r="C547" s="4"/>
      <c r="I547" s="3"/>
      <c r="J547" s="17"/>
      <c r="K547" s="17"/>
      <c r="L547" s="18"/>
      <c r="M547" s="3"/>
      <c r="P547" s="3"/>
      <c r="Q547" s="4"/>
      <c r="R547" s="19"/>
      <c r="S547" s="20"/>
      <c r="U547" s="3" t="str">
        <f t="shared" si="20"/>
        <v/>
      </c>
      <c r="V547" s="4" t="str">
        <f t="shared" si="21"/>
        <v/>
      </c>
      <c r="W547" s="21" t="e" cm="1">
        <f t="array" ref="W547">_xlfn.IFS(
  A547="BELL", "WHITE",
  A547="GAMP", "ORANGE",
  A547="GAMM", "GREEN",
  A547="BWF", "YELLOW",
  OR(A547="TNBE", A547="TNBL", A547="TNBD", A547="TNWC", A547="TNBW", A547="THBS"), "PINK",
  A547="CRWD", "BLUE",
  A547="PASS", "WHITE"
)</f>
        <v>#N/A</v>
      </c>
    </row>
    <row r="548" spans="1:23" x14ac:dyDescent="0.25">
      <c r="A548" s="7"/>
      <c r="B548" s="7"/>
      <c r="C548" s="4"/>
      <c r="I548" s="3"/>
      <c r="J548" s="17"/>
      <c r="K548" s="17"/>
      <c r="L548" s="18"/>
      <c r="M548" s="3"/>
      <c r="P548" s="3"/>
      <c r="Q548" s="4"/>
      <c r="R548" s="19"/>
      <c r="S548" s="20"/>
      <c r="U548" s="3" t="str">
        <f t="shared" si="20"/>
        <v/>
      </c>
      <c r="V548" s="4" t="str">
        <f t="shared" si="21"/>
        <v/>
      </c>
      <c r="W548" s="21" t="e" cm="1">
        <f t="array" ref="W548">_xlfn.IFS(
  A548="BELL", "WHITE",
  A548="GAMP", "ORANGE",
  A548="GAMM", "GREEN",
  A548="BWF", "YELLOW",
  OR(A548="TNBE", A548="TNBL", A548="TNBD", A548="TNWC", A548="TNBW", A548="THBS"), "PINK",
  A548="CRWD", "BLUE",
  A548="PASS", "WHITE"
)</f>
        <v>#N/A</v>
      </c>
    </row>
    <row r="549" spans="1:23" x14ac:dyDescent="0.25">
      <c r="A549" s="7"/>
      <c r="B549" s="7"/>
      <c r="C549" s="4"/>
      <c r="I549" s="3"/>
      <c r="J549" s="17"/>
      <c r="K549" s="17"/>
      <c r="L549" s="18"/>
      <c r="M549" s="3"/>
      <c r="P549" s="3"/>
      <c r="Q549" s="4"/>
      <c r="R549" s="19"/>
      <c r="S549" s="20"/>
      <c r="U549" s="3" t="str">
        <f t="shared" si="20"/>
        <v/>
      </c>
      <c r="V549" s="4" t="str">
        <f t="shared" si="21"/>
        <v/>
      </c>
      <c r="W549" s="21" t="e" cm="1">
        <f t="array" ref="W549">_xlfn.IFS(
  A549="BELL", "WHITE",
  A549="GAMP", "ORANGE",
  A549="GAMM", "GREEN",
  A549="BWF", "YELLOW",
  OR(A549="TNBE", A549="TNBL", A549="TNBD", A549="TNWC", A549="TNBW", A549="THBS"), "PINK",
  A549="CRWD", "BLUE",
  A549="PASS", "WHITE"
)</f>
        <v>#N/A</v>
      </c>
    </row>
    <row r="550" spans="1:23" x14ac:dyDescent="0.25">
      <c r="A550" s="7"/>
      <c r="B550" s="7"/>
      <c r="C550" s="4"/>
      <c r="I550" s="3"/>
      <c r="J550" s="17"/>
      <c r="K550" s="17"/>
      <c r="L550" s="18"/>
      <c r="M550" s="3"/>
      <c r="P550" s="3"/>
      <c r="Q550" s="4"/>
      <c r="R550" s="19"/>
      <c r="S550" s="20"/>
      <c r="U550" s="3" t="str">
        <f t="shared" si="20"/>
        <v/>
      </c>
      <c r="V550" s="4" t="str">
        <f t="shared" si="21"/>
        <v/>
      </c>
      <c r="W550" s="21" t="e" cm="1">
        <f t="array" ref="W550">_xlfn.IFS(
  A550="BELL", "WHITE",
  A550="GAMP", "ORANGE",
  A550="GAMM", "GREEN",
  A550="BWF", "YELLOW",
  OR(A550="TNBE", A550="TNBL", A550="TNBD", A550="TNWC", A550="TNBW", A550="THBS"), "PINK",
  A550="CRWD", "BLUE",
  A550="PASS", "WHITE"
)</f>
        <v>#N/A</v>
      </c>
    </row>
    <row r="551" spans="1:23" x14ac:dyDescent="0.25">
      <c r="A551" s="7"/>
      <c r="B551" s="7"/>
      <c r="C551" s="4"/>
      <c r="I551" s="3"/>
      <c r="J551" s="17"/>
      <c r="K551" s="17"/>
      <c r="L551" s="18"/>
      <c r="M551" s="3"/>
      <c r="P551" s="3"/>
      <c r="Q551" s="4"/>
      <c r="R551" s="19"/>
      <c r="S551" s="20"/>
      <c r="U551" s="3" t="str">
        <f t="shared" si="20"/>
        <v/>
      </c>
      <c r="V551" s="4" t="str">
        <f t="shared" si="21"/>
        <v/>
      </c>
      <c r="W551" s="21" t="e" cm="1">
        <f t="array" ref="W551">_xlfn.IFS(
  A551="BELL", "WHITE",
  A551="GAMP", "ORANGE",
  A551="GAMM", "GREEN",
  A551="BWF", "YELLOW",
  OR(A551="TNBE", A551="TNBL", A551="TNBD", A551="TNWC", A551="TNBW", A551="THBS"), "PINK",
  A551="CRWD", "BLUE",
  A551="PASS", "WHITE"
)</f>
        <v>#N/A</v>
      </c>
    </row>
    <row r="552" spans="1:23" x14ac:dyDescent="0.25">
      <c r="A552" s="7"/>
      <c r="B552" s="7"/>
      <c r="C552" s="4"/>
      <c r="I552" s="3"/>
      <c r="J552" s="17"/>
      <c r="K552" s="17"/>
      <c r="L552" s="18"/>
      <c r="M552" s="3"/>
      <c r="P552" s="3"/>
      <c r="Q552" s="4"/>
      <c r="R552" s="19"/>
      <c r="S552" s="20"/>
      <c r="U552" s="3" t="str">
        <f t="shared" si="20"/>
        <v/>
      </c>
      <c r="V552" s="4" t="str">
        <f t="shared" si="21"/>
        <v/>
      </c>
      <c r="W552" s="21" t="e" cm="1">
        <f t="array" ref="W552">_xlfn.IFS(
  A552="BELL", "WHITE",
  A552="GAMP", "ORANGE",
  A552="GAMM", "GREEN",
  A552="BWF", "YELLOW",
  OR(A552="TNBE", A552="TNBL", A552="TNBD", A552="TNWC", A552="TNBW", A552="THBS"), "PINK",
  A552="CRWD", "BLUE",
  A552="PASS", "WHITE"
)</f>
        <v>#N/A</v>
      </c>
    </row>
    <row r="553" spans="1:23" x14ac:dyDescent="0.25">
      <c r="A553" s="7"/>
      <c r="B553" s="7"/>
      <c r="C553" s="4"/>
      <c r="I553" s="3"/>
      <c r="J553" s="17"/>
      <c r="K553" s="17"/>
      <c r="L553" s="18"/>
      <c r="M553" s="18"/>
      <c r="P553" s="3"/>
      <c r="Q553" s="4"/>
      <c r="R553" s="19"/>
      <c r="S553" s="20"/>
      <c r="U553" s="3" t="str">
        <f t="shared" si="20"/>
        <v/>
      </c>
      <c r="V553" s="4" t="str">
        <f t="shared" si="21"/>
        <v/>
      </c>
      <c r="W553" s="21" t="e" cm="1">
        <f t="array" ref="W553">_xlfn.IFS(
  A553="BELL", "WHITE",
  A553="GAMP", "ORANGE",
  A553="GAMM", "GREEN",
  A553="BWF", "YELLOW",
  OR(A553="TNBE", A553="TNBL", A553="TNBD", A553="TNWC", A553="TNBW", A553="THBS"), "PINK",
  A553="CRWD", "BLUE",
  A553="PASS", "WHITE"
)</f>
        <v>#N/A</v>
      </c>
    </row>
    <row r="554" spans="1:23" x14ac:dyDescent="0.25">
      <c r="A554" s="7"/>
      <c r="B554" s="7"/>
      <c r="C554" s="4"/>
      <c r="I554" s="3"/>
      <c r="J554" s="17"/>
      <c r="K554" s="17"/>
      <c r="L554" s="18"/>
      <c r="M554" s="3"/>
      <c r="P554" s="3"/>
      <c r="Q554" s="4"/>
      <c r="R554" s="19"/>
      <c r="S554" s="20"/>
      <c r="U554" s="3" t="str">
        <f t="shared" si="20"/>
        <v/>
      </c>
      <c r="V554" s="4" t="str">
        <f t="shared" si="21"/>
        <v/>
      </c>
      <c r="W554" s="21" t="e" cm="1">
        <f t="array" ref="W554">_xlfn.IFS(
  A554="BELL", "WHITE",
  A554="GAMP", "ORANGE",
  A554="GAMM", "GREEN",
  A554="BWF", "YELLOW",
  OR(A554="TNBE", A554="TNBL", A554="TNBD", A554="TNWC", A554="TNBW", A554="THBS"), "PINK",
  A554="CRWD", "BLUE",
  A554="PASS", "WHITE"
)</f>
        <v>#N/A</v>
      </c>
    </row>
    <row r="555" spans="1:23" x14ac:dyDescent="0.25">
      <c r="A555" s="7"/>
      <c r="B555" s="7"/>
      <c r="C555" s="4"/>
      <c r="I555" s="3"/>
      <c r="J555" s="17"/>
      <c r="K555" s="17"/>
      <c r="L555" s="18"/>
      <c r="M555" s="3"/>
      <c r="P555" s="3"/>
      <c r="Q555" s="4"/>
      <c r="R555" s="19"/>
      <c r="S555" s="20"/>
      <c r="U555" s="3" t="str">
        <f t="shared" si="20"/>
        <v/>
      </c>
      <c r="V555" s="4" t="str">
        <f t="shared" si="21"/>
        <v/>
      </c>
      <c r="W555" s="21" t="e" cm="1">
        <f t="array" ref="W555">_xlfn.IFS(
  A555="BELL", "WHITE",
  A555="GAMP", "ORANGE",
  A555="GAMM", "GREEN",
  A555="BWF", "YELLOW",
  OR(A555="TNBE", A555="TNBL", A555="TNBD", A555="TNWC", A555="TNBW", A555="THBS"), "PINK",
  A555="CRWD", "BLUE",
  A555="PASS", "WHITE"
)</f>
        <v>#N/A</v>
      </c>
    </row>
    <row r="556" spans="1:23" x14ac:dyDescent="0.25">
      <c r="A556" s="7"/>
      <c r="B556" s="7"/>
      <c r="C556" s="4"/>
      <c r="I556" s="3"/>
      <c r="J556" s="17"/>
      <c r="K556" s="17"/>
      <c r="L556" s="18"/>
      <c r="M556" s="3"/>
      <c r="P556" s="3"/>
      <c r="Q556" s="4"/>
      <c r="R556" s="19"/>
      <c r="S556" s="20"/>
      <c r="U556" s="3" t="str">
        <f t="shared" si="20"/>
        <v/>
      </c>
      <c r="V556" s="4" t="str">
        <f t="shared" si="21"/>
        <v/>
      </c>
      <c r="W556" s="21" t="e" cm="1">
        <f t="array" ref="W556">_xlfn.IFS(
  A556="BELL", "WHITE",
  A556="GAMP", "ORANGE",
  A556="GAMM", "GREEN",
  A556="BWF", "YELLOW",
  OR(A556="TNBE", A556="TNBL", A556="TNBD", A556="TNWC", A556="TNBW", A556="THBS"), "PINK",
  A556="CRWD", "BLUE",
  A556="PASS", "WHITE"
)</f>
        <v>#N/A</v>
      </c>
    </row>
    <row r="557" spans="1:23" x14ac:dyDescent="0.25">
      <c r="A557" s="7"/>
      <c r="B557" s="7"/>
      <c r="C557" s="4"/>
      <c r="H557" s="2"/>
      <c r="I557" s="3"/>
      <c r="J557" s="17"/>
      <c r="K557" s="17"/>
      <c r="L557" s="18"/>
      <c r="M557" s="18"/>
      <c r="P557" s="3"/>
      <c r="Q557" s="4"/>
      <c r="R557" s="19"/>
      <c r="S557" s="20"/>
      <c r="U557" s="3" t="str">
        <f t="shared" si="20"/>
        <v/>
      </c>
      <c r="V557" s="4" t="str">
        <f t="shared" si="21"/>
        <v/>
      </c>
      <c r="W557" s="21" t="e" cm="1">
        <f t="array" ref="W557">_xlfn.IFS(
  A557="BELL", "WHITE",
  A557="GAMP", "ORANGE",
  A557="GAMM", "GREEN",
  A557="BWF", "YELLOW",
  OR(A557="TNBE", A557="TNBL", A557="TNBD", A557="TNWC", A557="TNBW", A557="THBS"), "PINK",
  A557="CRWD", "BLUE",
  A557="PASS", "WHITE"
)</f>
        <v>#N/A</v>
      </c>
    </row>
    <row r="558" spans="1:23" x14ac:dyDescent="0.25">
      <c r="A558" s="7"/>
      <c r="B558" s="7"/>
      <c r="C558" s="4"/>
      <c r="H558" s="2"/>
      <c r="I558" s="3"/>
      <c r="J558" s="17"/>
      <c r="K558" s="17"/>
      <c r="L558" s="18"/>
      <c r="M558" s="18"/>
      <c r="P558" s="3"/>
      <c r="Q558" s="4"/>
      <c r="R558" s="19"/>
      <c r="S558" s="20"/>
      <c r="U558" s="3" t="str">
        <f t="shared" si="20"/>
        <v/>
      </c>
      <c r="V558" s="4" t="str">
        <f t="shared" si="21"/>
        <v/>
      </c>
      <c r="W558" s="21" t="e" cm="1">
        <f t="array" ref="W558">_xlfn.IFS(
  A558="BELL", "WHITE",
  A558="GAMP", "ORANGE",
  A558="GAMM", "GREEN",
  A558="BWF", "YELLOW",
  OR(A558="TNBE", A558="TNBL", A558="TNBD", A558="TNWC", A558="TNBW", A558="THBS"), "PINK",
  A558="CRWD", "BLUE",
  A558="PASS", "WHITE"
)</f>
        <v>#N/A</v>
      </c>
    </row>
    <row r="559" spans="1:23" x14ac:dyDescent="0.25">
      <c r="A559" s="7"/>
      <c r="B559" s="7"/>
      <c r="C559" s="4"/>
      <c r="H559" s="2"/>
      <c r="I559" s="3"/>
      <c r="J559" s="17"/>
      <c r="K559" s="17"/>
      <c r="L559" s="18"/>
      <c r="M559" s="18"/>
      <c r="P559" s="3"/>
      <c r="Q559" s="4"/>
      <c r="R559" s="19"/>
      <c r="S559" s="20"/>
      <c r="U559" s="3" t="str">
        <f t="shared" si="20"/>
        <v/>
      </c>
      <c r="V559" s="4" t="str">
        <f t="shared" si="21"/>
        <v/>
      </c>
      <c r="W559" s="21" t="e" cm="1">
        <f t="array" ref="W559">_xlfn.IFS(
  A559="BELL", "WHITE",
  A559="GAMP", "ORANGE",
  A559="GAMM", "GREEN",
  A559="BWF", "YELLOW",
  OR(A559="TNBE", A559="TNBL", A559="TNBD", A559="TNWC", A559="TNBW", A559="THBS"), "PINK",
  A559="CRWD", "BLUE",
  A559="PASS", "WHITE"
)</f>
        <v>#N/A</v>
      </c>
    </row>
    <row r="560" spans="1:23" x14ac:dyDescent="0.25">
      <c r="A560" s="7"/>
      <c r="B560" s="7"/>
      <c r="C560" s="4"/>
      <c r="H560" s="2"/>
      <c r="I560" s="3"/>
      <c r="J560" s="17"/>
      <c r="K560" s="17"/>
      <c r="L560" s="18"/>
      <c r="M560" s="18"/>
      <c r="P560" s="3"/>
      <c r="Q560" s="4"/>
      <c r="R560" s="19"/>
      <c r="S560" s="20"/>
      <c r="U560" s="3" t="str">
        <f t="shared" si="20"/>
        <v/>
      </c>
      <c r="V560" s="4" t="str">
        <f t="shared" si="21"/>
        <v/>
      </c>
      <c r="W560" s="21" t="e" cm="1">
        <f t="array" ref="W560">_xlfn.IFS(
  A560="BELL", "WHITE",
  A560="GAMP", "ORANGE",
  A560="GAMM", "GREEN",
  A560="BWF", "YELLOW",
  OR(A560="TNBE", A560="TNBL", A560="TNBD", A560="TNWC", A560="TNBW", A560="THBS"), "PINK",
  A560="CRWD", "BLUE",
  A560="PASS", "WHITE"
)</f>
        <v>#N/A</v>
      </c>
    </row>
    <row r="561" spans="1:23" x14ac:dyDescent="0.25">
      <c r="A561" s="7"/>
      <c r="B561" s="7"/>
      <c r="C561" s="4"/>
      <c r="H561" s="2"/>
      <c r="I561" s="3"/>
      <c r="J561" s="17"/>
      <c r="K561" s="17"/>
      <c r="L561" s="18"/>
      <c r="M561" s="18"/>
      <c r="P561" s="3"/>
      <c r="Q561" s="4"/>
      <c r="R561" s="19"/>
      <c r="S561" s="20"/>
      <c r="U561" s="3" t="str">
        <f t="shared" si="20"/>
        <v/>
      </c>
      <c r="V561" s="4" t="str">
        <f t="shared" si="21"/>
        <v/>
      </c>
      <c r="W561" s="21" t="e" cm="1">
        <f t="array" ref="W561">_xlfn.IFS(
  A561="BELL", "WHITE",
  A561="GAMP", "ORANGE",
  A561="GAMM", "GREEN",
  A561="BWF", "YELLOW",
  OR(A561="TNBE", A561="TNBL", A561="TNBD", A561="TNWC", A561="TNBW", A561="THBS"), "PINK",
  A561="CRWD", "BLUE",
  A561="PASS", "WHITE"
)</f>
        <v>#N/A</v>
      </c>
    </row>
    <row r="562" spans="1:23" x14ac:dyDescent="0.25">
      <c r="A562" s="7"/>
      <c r="B562" s="7"/>
      <c r="C562" s="4"/>
      <c r="H562" s="2"/>
      <c r="I562" s="3"/>
      <c r="J562" s="17"/>
      <c r="K562" s="17"/>
      <c r="L562" s="18"/>
      <c r="M562" s="18"/>
      <c r="P562" s="3"/>
      <c r="Q562" s="4"/>
      <c r="R562" s="19"/>
      <c r="S562" s="20"/>
      <c r="U562" s="3" t="str">
        <f t="shared" si="20"/>
        <v/>
      </c>
      <c r="V562" s="4" t="str">
        <f t="shared" si="21"/>
        <v/>
      </c>
      <c r="W562" s="21" t="e" cm="1">
        <f t="array" ref="W562">_xlfn.IFS(
  A562="BELL", "WHITE",
  A562="GAMP", "ORANGE",
  A562="GAMM", "GREEN",
  A562="BWF", "YELLOW",
  OR(A562="TNBE", A562="TNBL", A562="TNBD", A562="TNWC", A562="TNBW", A562="THBS"), "PINK",
  A562="CRWD", "BLUE",
  A562="PASS", "WHITE"
)</f>
        <v>#N/A</v>
      </c>
    </row>
    <row r="563" spans="1:23" x14ac:dyDescent="0.25">
      <c r="A563" s="7"/>
      <c r="B563" s="7"/>
      <c r="C563" s="4"/>
      <c r="H563" s="2"/>
      <c r="I563" s="3"/>
      <c r="J563" s="17"/>
      <c r="K563" s="17"/>
      <c r="L563" s="18"/>
      <c r="M563" s="18"/>
      <c r="P563" s="3"/>
      <c r="Q563" s="4"/>
      <c r="R563" s="19"/>
      <c r="S563" s="20"/>
      <c r="U563" s="3" t="str">
        <f t="shared" si="20"/>
        <v/>
      </c>
      <c r="V563" s="4" t="str">
        <f t="shared" si="21"/>
        <v/>
      </c>
      <c r="W563" s="21" t="e" cm="1">
        <f t="array" ref="W563">_xlfn.IFS(
  A563="BELL", "WHITE",
  A563="GAMP", "ORANGE",
  A563="GAMM", "GREEN",
  A563="BWF", "YELLOW",
  OR(A563="TNBE", A563="TNBL", A563="TNBD", A563="TNWC", A563="TNBW", A563="THBS"), "PINK",
  A563="CRWD", "BLUE",
  A563="PASS", "WHITE"
)</f>
        <v>#N/A</v>
      </c>
    </row>
    <row r="564" spans="1:23" x14ac:dyDescent="0.25">
      <c r="A564" s="7"/>
      <c r="B564" s="7"/>
      <c r="C564" s="4"/>
      <c r="H564" s="2"/>
      <c r="I564" s="3"/>
      <c r="J564" s="17"/>
      <c r="K564" s="17"/>
      <c r="L564" s="18"/>
      <c r="M564" s="18"/>
      <c r="P564" s="3"/>
      <c r="Q564" s="4"/>
      <c r="R564" s="19"/>
      <c r="S564" s="20"/>
      <c r="U564" s="3" t="str">
        <f t="shared" si="20"/>
        <v/>
      </c>
      <c r="V564" s="4" t="str">
        <f t="shared" si="21"/>
        <v/>
      </c>
      <c r="W564" s="21" t="e" cm="1">
        <f t="array" ref="W564">_xlfn.IFS(
  A564="BELL", "WHITE",
  A564="GAMP", "ORANGE",
  A564="GAMM", "GREEN",
  A564="BWF", "YELLOW",
  OR(A564="TNBE", A564="TNBL", A564="TNBD", A564="TNWC", A564="TNBW", A564="THBS"), "PINK",
  A564="CRWD", "BLUE",
  A564="PASS", "WHITE"
)</f>
        <v>#N/A</v>
      </c>
    </row>
    <row r="565" spans="1:23" x14ac:dyDescent="0.25">
      <c r="A565" s="7"/>
      <c r="B565" s="7"/>
      <c r="C565" s="4"/>
      <c r="H565" s="2"/>
      <c r="I565" s="3"/>
      <c r="J565" s="17"/>
      <c r="K565" s="17"/>
      <c r="L565" s="18"/>
      <c r="M565" s="18"/>
      <c r="P565" s="3"/>
      <c r="Q565" s="4"/>
      <c r="R565" s="19"/>
      <c r="S565" s="20"/>
      <c r="U565" s="3" t="str">
        <f t="shared" si="20"/>
        <v/>
      </c>
      <c r="V565" s="4" t="str">
        <f t="shared" si="21"/>
        <v/>
      </c>
      <c r="W565" s="21" t="e" cm="1">
        <f t="array" ref="W565">_xlfn.IFS(
  A565="BELL", "WHITE",
  A565="GAMP", "ORANGE",
  A565="GAMM", "GREEN",
  A565="BWF", "YELLOW",
  OR(A565="TNBE", A565="TNBL", A565="TNBD", A565="TNWC", A565="TNBW", A565="THBS"), "PINK",
  A565="CRWD", "BLUE",
  A565="PASS", "WHITE"
)</f>
        <v>#N/A</v>
      </c>
    </row>
    <row r="566" spans="1:23" x14ac:dyDescent="0.25">
      <c r="A566" s="7"/>
      <c r="B566" s="7"/>
      <c r="C566" s="4"/>
      <c r="H566" s="2"/>
      <c r="I566" s="3"/>
      <c r="J566" s="17"/>
      <c r="K566" s="17"/>
      <c r="L566" s="18"/>
      <c r="M566" s="18"/>
      <c r="P566" s="3"/>
      <c r="Q566" s="4"/>
      <c r="R566" s="19"/>
      <c r="S566" s="20"/>
      <c r="U566" s="3" t="str">
        <f t="shared" si="20"/>
        <v/>
      </c>
      <c r="V566" s="4" t="str">
        <f t="shared" si="21"/>
        <v/>
      </c>
      <c r="W566" s="21" t="e" cm="1">
        <f t="array" ref="W566">_xlfn.IFS(
  A566="BELL", "WHITE",
  A566="GAMP", "ORANGE",
  A566="GAMM", "GREEN",
  A566="BWF", "YELLOW",
  OR(A566="TNBE", A566="TNBL", A566="TNBD", A566="TNWC", A566="TNBW", A566="THBS"), "PINK",
  A566="CRWD", "BLUE",
  A566="PASS", "WHITE"
)</f>
        <v>#N/A</v>
      </c>
    </row>
    <row r="567" spans="1:23" x14ac:dyDescent="0.25">
      <c r="A567" s="7"/>
      <c r="B567" s="7"/>
      <c r="C567" s="4"/>
      <c r="H567" s="2"/>
      <c r="I567" s="3"/>
      <c r="J567" s="17"/>
      <c r="K567" s="17"/>
      <c r="L567" s="18"/>
      <c r="M567" s="18"/>
      <c r="P567" s="3"/>
      <c r="Q567" s="4"/>
      <c r="R567" s="19"/>
      <c r="S567" s="20"/>
      <c r="U567" s="3" t="str">
        <f t="shared" si="20"/>
        <v/>
      </c>
      <c r="V567" s="4" t="str">
        <f t="shared" si="21"/>
        <v/>
      </c>
      <c r="W567" s="21" t="e" cm="1">
        <f t="array" ref="W567">_xlfn.IFS(
  A567="BELL", "WHITE",
  A567="GAMP", "ORANGE",
  A567="GAMM", "GREEN",
  A567="BWF", "YELLOW",
  OR(A567="TNBE", A567="TNBL", A567="TNBD", A567="TNWC", A567="TNBW", A567="THBS"), "PINK",
  A567="CRWD", "BLUE",
  A567="PASS", "WHITE"
)</f>
        <v>#N/A</v>
      </c>
    </row>
    <row r="568" spans="1:23" x14ac:dyDescent="0.25">
      <c r="A568" s="7"/>
      <c r="B568" s="7"/>
      <c r="C568" s="4"/>
      <c r="H568" s="2"/>
      <c r="I568" s="3"/>
      <c r="J568" s="17"/>
      <c r="K568" s="17"/>
      <c r="L568" s="18"/>
      <c r="M568" s="18"/>
      <c r="P568" s="3"/>
      <c r="Q568" s="4"/>
      <c r="R568" s="19"/>
      <c r="S568" s="20"/>
      <c r="U568" s="3" t="str">
        <f t="shared" si="20"/>
        <v/>
      </c>
      <c r="V568" s="4" t="str">
        <f t="shared" si="21"/>
        <v/>
      </c>
      <c r="W568" s="21" t="e" cm="1">
        <f t="array" ref="W568">_xlfn.IFS(
  A568="BELL", "WHITE",
  A568="GAMP", "ORANGE",
  A568="GAMM", "GREEN",
  A568="BWF", "YELLOW",
  OR(A568="TNBE", A568="TNBL", A568="TNBD", A568="TNWC", A568="TNBW", A568="THBS"), "PINK",
  A568="CRWD", "BLUE",
  A568="PASS", "WHITE"
)</f>
        <v>#N/A</v>
      </c>
    </row>
    <row r="569" spans="1:23" x14ac:dyDescent="0.25">
      <c r="A569" s="7"/>
      <c r="B569" s="7"/>
      <c r="C569" s="4"/>
      <c r="H569" s="2"/>
      <c r="I569" s="3"/>
      <c r="J569" s="17"/>
      <c r="K569" s="17"/>
      <c r="L569" s="18"/>
      <c r="M569" s="18"/>
      <c r="P569" s="3"/>
      <c r="Q569" s="4"/>
      <c r="R569" s="19"/>
      <c r="S569" s="20"/>
      <c r="U569" s="3" t="str">
        <f t="shared" si="20"/>
        <v/>
      </c>
      <c r="V569" s="4" t="str">
        <f t="shared" si="21"/>
        <v/>
      </c>
      <c r="W569" s="21" t="e" cm="1">
        <f t="array" ref="W569">_xlfn.IFS(
  A569="BELL", "WHITE",
  A569="GAMP", "ORANGE",
  A569="GAMM", "GREEN",
  A569="BWF", "YELLOW",
  OR(A569="TNBE", A569="TNBL", A569="TNBD", A569="TNWC", A569="TNBW", A569="THBS"), "PINK",
  A569="CRWD", "BLUE",
  A569="PASS", "WHITE"
)</f>
        <v>#N/A</v>
      </c>
    </row>
    <row r="570" spans="1:23" x14ac:dyDescent="0.25">
      <c r="A570" s="7"/>
      <c r="B570" s="7"/>
      <c r="C570" s="4"/>
      <c r="H570" s="2"/>
      <c r="I570" s="3"/>
      <c r="J570" s="17"/>
      <c r="K570" s="17"/>
      <c r="L570" s="18"/>
      <c r="M570" s="18"/>
      <c r="P570" s="3"/>
      <c r="Q570" s="4"/>
      <c r="R570" s="19"/>
      <c r="S570" s="20"/>
      <c r="U570" s="3" t="str">
        <f t="shared" si="20"/>
        <v/>
      </c>
      <c r="V570" s="4" t="str">
        <f t="shared" si="21"/>
        <v/>
      </c>
      <c r="W570" s="21" t="e" cm="1">
        <f t="array" ref="W570">_xlfn.IFS(
  A570="BELL", "WHITE",
  A570="GAMP", "ORANGE",
  A570="GAMM", "GREEN",
  A570="BWF", "YELLOW",
  OR(A570="TNBE", A570="TNBL", A570="TNBD", A570="TNWC", A570="TNBW", A570="THBS"), "PINK",
  A570="CRWD", "BLUE",
  A570="PASS", "WHITE"
)</f>
        <v>#N/A</v>
      </c>
    </row>
    <row r="571" spans="1:23" x14ac:dyDescent="0.25">
      <c r="A571" s="7"/>
      <c r="B571" s="7"/>
      <c r="C571" s="4"/>
      <c r="H571" s="2"/>
      <c r="I571" s="3"/>
      <c r="J571" s="17"/>
      <c r="K571" s="17"/>
      <c r="L571" s="18"/>
      <c r="M571" s="18"/>
      <c r="P571" s="3"/>
      <c r="Q571" s="4"/>
      <c r="R571" s="19"/>
      <c r="S571" s="20"/>
      <c r="U571" s="3" t="str">
        <f t="shared" si="20"/>
        <v/>
      </c>
      <c r="V571" s="4" t="str">
        <f t="shared" si="21"/>
        <v/>
      </c>
      <c r="W571" s="21" t="e" cm="1">
        <f t="array" ref="W571">_xlfn.IFS(
  A571="BELL", "WHITE",
  A571="GAMP", "ORANGE",
  A571="GAMM", "GREEN",
  A571="BWF", "YELLOW",
  OR(A571="TNBE", A571="TNBL", A571="TNBD", A571="TNWC", A571="TNBW", A571="THBS"), "PINK",
  A571="CRWD", "BLUE",
  A571="PASS", "WHITE"
)</f>
        <v>#N/A</v>
      </c>
    </row>
    <row r="572" spans="1:23" x14ac:dyDescent="0.25">
      <c r="A572" s="7"/>
      <c r="B572" s="7"/>
      <c r="C572" s="4"/>
      <c r="H572" s="2"/>
      <c r="I572" s="3"/>
      <c r="J572" s="17"/>
      <c r="K572" s="17"/>
      <c r="L572" s="18"/>
      <c r="M572" s="18"/>
      <c r="P572" s="3"/>
      <c r="Q572" s="4"/>
      <c r="R572" s="19"/>
      <c r="S572" s="20"/>
      <c r="U572" s="3" t="str">
        <f t="shared" si="20"/>
        <v/>
      </c>
      <c r="V572" s="4" t="str">
        <f t="shared" si="21"/>
        <v/>
      </c>
      <c r="W572" s="21" t="e" cm="1">
        <f t="array" ref="W572">_xlfn.IFS(
  A572="BELL", "WHITE",
  A572="GAMP", "ORANGE",
  A572="GAMM", "GREEN",
  A572="BWF", "YELLOW",
  OR(A572="TNBE", A572="TNBL", A572="TNBD", A572="TNWC", A572="TNBW", A572="THBS"), "PINK",
  A572="CRWD", "BLUE",
  A572="PASS", "WHITE"
)</f>
        <v>#N/A</v>
      </c>
    </row>
    <row r="573" spans="1:23" x14ac:dyDescent="0.25">
      <c r="A573" s="7"/>
      <c r="B573" s="7"/>
      <c r="C573" s="4"/>
      <c r="H573" s="2"/>
      <c r="I573" s="3"/>
      <c r="J573" s="17"/>
      <c r="K573" s="17"/>
      <c r="L573" s="18"/>
      <c r="M573" s="18"/>
      <c r="P573" s="3"/>
      <c r="Q573" s="4"/>
      <c r="R573" s="19"/>
      <c r="S573" s="20"/>
      <c r="U573" s="3" t="str">
        <f t="shared" si="20"/>
        <v/>
      </c>
      <c r="V573" s="4" t="str">
        <f t="shared" si="21"/>
        <v/>
      </c>
      <c r="W573" s="21" t="e" cm="1">
        <f t="array" ref="W573">_xlfn.IFS(
  A573="BELL", "WHITE",
  A573="GAMP", "ORANGE",
  A573="GAMM", "GREEN",
  A573="BWF", "YELLOW",
  OR(A573="TNBE", A573="TNBL", A573="TNBD", A573="TNWC", A573="TNBW", A573="THBS"), "PINK",
  A573="CRWD", "BLUE",
  A573="PASS", "WHITE"
)</f>
        <v>#N/A</v>
      </c>
    </row>
    <row r="574" spans="1:23" x14ac:dyDescent="0.25">
      <c r="A574" s="7"/>
      <c r="B574" s="7"/>
      <c r="C574" s="4"/>
      <c r="H574" s="2"/>
      <c r="I574" s="3"/>
      <c r="J574" s="17"/>
      <c r="K574" s="17"/>
      <c r="L574" s="18"/>
      <c r="M574" s="18"/>
      <c r="P574" s="3"/>
      <c r="Q574" s="4"/>
      <c r="R574" s="19"/>
      <c r="S574" s="20"/>
      <c r="U574" s="3" t="str">
        <f t="shared" si="20"/>
        <v/>
      </c>
      <c r="V574" s="4" t="str">
        <f t="shared" si="21"/>
        <v/>
      </c>
      <c r="W574" s="21" t="e" cm="1">
        <f t="array" ref="W574">_xlfn.IFS(
  A574="BELL", "WHITE",
  A574="GAMP", "ORANGE",
  A574="GAMM", "GREEN",
  A574="BWF", "YELLOW",
  OR(A574="TNBE", A574="TNBL", A574="TNBD", A574="TNWC", A574="TNBW", A574="THBS"), "PINK",
  A574="CRWD", "BLUE",
  A574="PASS", "WHITE"
)</f>
        <v>#N/A</v>
      </c>
    </row>
    <row r="575" spans="1:23" x14ac:dyDescent="0.25">
      <c r="A575" s="7"/>
      <c r="B575" s="7"/>
      <c r="C575" s="4"/>
      <c r="H575" s="2"/>
      <c r="I575" s="3"/>
      <c r="J575" s="17"/>
      <c r="K575" s="17"/>
      <c r="L575" s="18"/>
      <c r="M575" s="18"/>
      <c r="P575" s="3"/>
      <c r="Q575" s="4"/>
      <c r="R575" s="19"/>
      <c r="S575" s="20"/>
      <c r="U575" s="3" t="str">
        <f t="shared" si="20"/>
        <v/>
      </c>
      <c r="V575" s="4" t="str">
        <f t="shared" si="21"/>
        <v/>
      </c>
      <c r="W575" s="21" t="e" cm="1">
        <f t="array" ref="W575">_xlfn.IFS(
  A575="BELL", "WHITE",
  A575="GAMP", "ORANGE",
  A575="GAMM", "GREEN",
  A575="BWF", "YELLOW",
  OR(A575="TNBE", A575="TNBL", A575="TNBD", A575="TNWC", A575="TNBW", A575="THBS"), "PINK",
  A575="CRWD", "BLUE",
  A575="PASS", "WHITE"
)</f>
        <v>#N/A</v>
      </c>
    </row>
    <row r="576" spans="1:23" x14ac:dyDescent="0.25">
      <c r="A576" s="7"/>
      <c r="B576" s="7"/>
      <c r="C576" s="4"/>
      <c r="H576" s="2"/>
      <c r="I576" s="3"/>
      <c r="J576" s="17"/>
      <c r="K576" s="17"/>
      <c r="L576" s="18"/>
      <c r="M576" s="18"/>
      <c r="P576" s="3"/>
      <c r="Q576" s="4"/>
      <c r="R576" s="19"/>
      <c r="S576" s="20"/>
      <c r="U576" s="3" t="str">
        <f t="shared" si="20"/>
        <v/>
      </c>
      <c r="V576" s="4" t="str">
        <f t="shared" si="21"/>
        <v/>
      </c>
      <c r="W576" s="21" t="e" cm="1">
        <f t="array" ref="W576">_xlfn.IFS(
  A576="BELL", "WHITE",
  A576="GAMP", "ORANGE",
  A576="GAMM", "GREEN",
  A576="BWF", "YELLOW",
  OR(A576="TNBE", A576="TNBL", A576="TNBD", A576="TNWC", A576="TNBW", A576="THBS"), "PINK",
  A576="CRWD", "BLUE",
  A576="PASS", "WHITE"
)</f>
        <v>#N/A</v>
      </c>
    </row>
    <row r="577" spans="1:23" x14ac:dyDescent="0.25">
      <c r="A577" s="7"/>
      <c r="B577" s="7"/>
      <c r="C577" s="4"/>
      <c r="H577" s="2"/>
      <c r="I577" s="3"/>
      <c r="J577" s="17"/>
      <c r="K577" s="17"/>
      <c r="L577" s="18"/>
      <c r="M577" s="18"/>
      <c r="P577" s="3"/>
      <c r="Q577" s="4"/>
      <c r="R577" s="19"/>
      <c r="S577" s="20"/>
      <c r="U577" s="3" t="str">
        <f t="shared" si="20"/>
        <v/>
      </c>
      <c r="V577" s="4" t="str">
        <f t="shared" si="21"/>
        <v/>
      </c>
      <c r="W577" s="21" t="e" cm="1">
        <f t="array" ref="W577">_xlfn.IFS(
  A577="BELL", "WHITE",
  A577="GAMP", "ORANGE",
  A577="GAMM", "GREEN",
  A577="BWF", "YELLOW",
  OR(A577="TNBE", A577="TNBL", A577="TNBD", A577="TNWC", A577="TNBW", A577="THBS"), "PINK",
  A577="CRWD", "BLUE",
  A577="PASS", "WHITE"
)</f>
        <v>#N/A</v>
      </c>
    </row>
    <row r="578" spans="1:23" x14ac:dyDescent="0.25">
      <c r="A578" s="7"/>
      <c r="B578" s="7"/>
      <c r="C578" s="4"/>
      <c r="H578" s="2"/>
      <c r="I578" s="3"/>
      <c r="J578" s="17"/>
      <c r="K578" s="17"/>
      <c r="L578" s="18"/>
      <c r="M578" s="18"/>
      <c r="P578" s="3"/>
      <c r="Q578" s="4"/>
      <c r="R578" s="19"/>
      <c r="S578" s="20"/>
      <c r="U578" s="3" t="str">
        <f t="shared" si="20"/>
        <v/>
      </c>
      <c r="V578" s="4" t="str">
        <f t="shared" si="21"/>
        <v/>
      </c>
      <c r="W578" s="21" t="e" cm="1">
        <f t="array" ref="W578">_xlfn.IFS(
  A578="BELL", "WHITE",
  A578="GAMP", "ORANGE",
  A578="GAMM", "GREEN",
  A578="BWF", "YELLOW",
  OR(A578="TNBE", A578="TNBL", A578="TNBD", A578="TNWC", A578="TNBW", A578="THBS"), "PINK",
  A578="CRWD", "BLUE",
  A578="PASS", "WHITE"
)</f>
        <v>#N/A</v>
      </c>
    </row>
    <row r="579" spans="1:23" x14ac:dyDescent="0.25">
      <c r="A579" s="7"/>
      <c r="B579" s="7"/>
      <c r="C579" s="4"/>
      <c r="H579" s="2"/>
      <c r="I579" s="3"/>
      <c r="J579" s="17"/>
      <c r="K579" s="17"/>
      <c r="L579" s="18"/>
      <c r="M579" s="18"/>
      <c r="P579" s="3"/>
      <c r="Q579" s="4"/>
      <c r="R579" s="19"/>
      <c r="S579" s="20"/>
      <c r="U579" s="3" t="str">
        <f t="shared" si="20"/>
        <v/>
      </c>
      <c r="V579" s="4" t="str">
        <f t="shared" si="21"/>
        <v/>
      </c>
      <c r="W579" s="21" t="e" cm="1">
        <f t="array" ref="W579">_xlfn.IFS(
  A579="BELL", "WHITE",
  A579="GAMP", "ORANGE",
  A579="GAMM", "GREEN",
  A579="BWF", "YELLOW",
  OR(A579="TNBE", A579="TNBL", A579="TNBD", A579="TNWC", A579="TNBW", A579="THBS"), "PINK",
  A579="CRWD", "BLUE",
  A579="PASS", "WHITE"
)</f>
        <v>#N/A</v>
      </c>
    </row>
    <row r="580" spans="1:23" x14ac:dyDescent="0.25">
      <c r="A580" s="7"/>
      <c r="B580" s="7"/>
      <c r="C580" s="4"/>
      <c r="H580" s="2"/>
      <c r="I580" s="3"/>
      <c r="J580" s="17"/>
      <c r="K580" s="17"/>
      <c r="L580" s="18"/>
      <c r="M580" s="18"/>
      <c r="P580" s="3"/>
      <c r="Q580" s="4"/>
      <c r="R580" s="19"/>
      <c r="S580" s="20"/>
      <c r="U580" s="3" t="str">
        <f t="shared" ref="U580:U643" si="22">IF(T580="","",IF(T580&gt;I580,H580,T580/G580))</f>
        <v/>
      </c>
      <c r="V580" s="4" t="str">
        <f t="shared" ref="V580:V643" si="23">IF(T580&gt;I580,T580-I580,"")</f>
        <v/>
      </c>
      <c r="W580" s="21" t="e" cm="1">
        <f t="array" ref="W580">_xlfn.IFS(
  A580="BELL", "WHITE",
  A580="GAMP", "ORANGE",
  A580="GAMM", "GREEN",
  A580="BWF", "YELLOW",
  OR(A580="TNBE", A580="TNBL", A580="TNBD", A580="TNWC", A580="TNBW", A580="THBS"), "PINK",
  A580="CRWD", "BLUE",
  A580="PASS", "WHITE"
)</f>
        <v>#N/A</v>
      </c>
    </row>
    <row r="581" spans="1:23" x14ac:dyDescent="0.25">
      <c r="A581" s="7"/>
      <c r="B581" s="7"/>
      <c r="C581" s="4"/>
      <c r="H581" s="2"/>
      <c r="I581" s="3"/>
      <c r="J581" s="17"/>
      <c r="K581" s="17"/>
      <c r="L581" s="18"/>
      <c r="M581" s="18"/>
      <c r="P581" s="3"/>
      <c r="Q581" s="4"/>
      <c r="R581" s="19"/>
      <c r="S581" s="20"/>
      <c r="U581" s="3" t="str">
        <f t="shared" si="22"/>
        <v/>
      </c>
      <c r="V581" s="4" t="str">
        <f t="shared" si="23"/>
        <v/>
      </c>
      <c r="W581" s="21" t="e" cm="1">
        <f t="array" ref="W581">_xlfn.IFS(
  A581="BELL", "WHITE",
  A581="GAMP", "ORANGE",
  A581="GAMM", "GREEN",
  A581="BWF", "YELLOW",
  OR(A581="TNBE", A581="TNBL", A581="TNBD", A581="TNWC", A581="TNBW", A581="THBS"), "PINK",
  A581="CRWD", "BLUE",
  A581="PASS", "WHITE"
)</f>
        <v>#N/A</v>
      </c>
    </row>
    <row r="582" spans="1:23" x14ac:dyDescent="0.25">
      <c r="A582" s="7"/>
      <c r="B582" s="7"/>
      <c r="C582" s="4"/>
      <c r="H582" s="2"/>
      <c r="I582" s="3"/>
      <c r="J582" s="17"/>
      <c r="K582" s="17"/>
      <c r="L582" s="18"/>
      <c r="M582" s="18"/>
      <c r="P582" s="3"/>
      <c r="Q582" s="4"/>
      <c r="R582" s="19"/>
      <c r="S582" s="20"/>
      <c r="U582" s="3" t="str">
        <f t="shared" si="22"/>
        <v/>
      </c>
      <c r="V582" s="4" t="str">
        <f t="shared" si="23"/>
        <v/>
      </c>
      <c r="W582" s="21" t="e" cm="1">
        <f t="array" ref="W582">_xlfn.IFS(
  A582="BELL", "WHITE",
  A582="GAMP", "ORANGE",
  A582="GAMM", "GREEN",
  A582="BWF", "YELLOW",
  OR(A582="TNBE", A582="TNBL", A582="TNBD", A582="TNWC", A582="TNBW", A582="THBS"), "PINK",
  A582="CRWD", "BLUE",
  A582="PASS", "WHITE"
)</f>
        <v>#N/A</v>
      </c>
    </row>
    <row r="583" spans="1:23" x14ac:dyDescent="0.25">
      <c r="A583" s="7"/>
      <c r="B583" s="7"/>
      <c r="C583" s="4"/>
      <c r="H583" s="2"/>
      <c r="I583" s="3"/>
      <c r="J583" s="17"/>
      <c r="K583" s="17"/>
      <c r="L583" s="18"/>
      <c r="M583" s="18"/>
      <c r="P583" s="3"/>
      <c r="Q583" s="4"/>
      <c r="R583" s="19"/>
      <c r="S583" s="20"/>
      <c r="U583" s="3" t="str">
        <f t="shared" si="22"/>
        <v/>
      </c>
      <c r="V583" s="4" t="str">
        <f t="shared" si="23"/>
        <v/>
      </c>
      <c r="W583" s="21" t="e" cm="1">
        <f t="array" ref="W583">_xlfn.IFS(
  A583="BELL", "WHITE",
  A583="GAMP", "ORANGE",
  A583="GAMM", "GREEN",
  A583="BWF", "YELLOW",
  OR(A583="TNBE", A583="TNBL", A583="TNBD", A583="TNWC", A583="TNBW", A583="THBS"), "PINK",
  A583="CRWD", "BLUE",
  A583="PASS", "WHITE"
)</f>
        <v>#N/A</v>
      </c>
    </row>
    <row r="584" spans="1:23" x14ac:dyDescent="0.25">
      <c r="A584" s="7"/>
      <c r="B584" s="7"/>
      <c r="C584" s="4"/>
      <c r="H584" s="2"/>
      <c r="I584" s="3"/>
      <c r="J584" s="17"/>
      <c r="K584" s="17"/>
      <c r="L584" s="18"/>
      <c r="M584" s="18"/>
      <c r="P584" s="3"/>
      <c r="Q584" s="4"/>
      <c r="R584" s="19"/>
      <c r="S584" s="20"/>
      <c r="U584" s="3" t="str">
        <f t="shared" si="22"/>
        <v/>
      </c>
      <c r="V584" s="4" t="str">
        <f t="shared" si="23"/>
        <v/>
      </c>
      <c r="W584" s="21" t="e" cm="1">
        <f t="array" ref="W584">_xlfn.IFS(
  A584="BELL", "WHITE",
  A584="GAMP", "ORANGE",
  A584="GAMM", "GREEN",
  A584="BWF", "YELLOW",
  OR(A584="TNBE", A584="TNBL", A584="TNBD", A584="TNWC", A584="TNBW", A584="THBS"), "PINK",
  A584="CRWD", "BLUE",
  A584="PASS", "WHITE"
)</f>
        <v>#N/A</v>
      </c>
    </row>
    <row r="585" spans="1:23" x14ac:dyDescent="0.25">
      <c r="A585" s="7"/>
      <c r="B585" s="7"/>
      <c r="C585" s="4"/>
      <c r="H585" s="2"/>
      <c r="I585" s="3"/>
      <c r="J585" s="17"/>
      <c r="K585" s="17"/>
      <c r="L585" s="18"/>
      <c r="M585" s="18"/>
      <c r="P585" s="3"/>
      <c r="Q585" s="4"/>
      <c r="R585" s="19"/>
      <c r="S585" s="20"/>
      <c r="U585" s="3" t="str">
        <f t="shared" si="22"/>
        <v/>
      </c>
      <c r="V585" s="4" t="str">
        <f t="shared" si="23"/>
        <v/>
      </c>
      <c r="W585" s="21" t="e" cm="1">
        <f t="array" ref="W585">_xlfn.IFS(
  A585="BELL", "WHITE",
  A585="GAMP", "ORANGE",
  A585="GAMM", "GREEN",
  A585="BWF", "YELLOW",
  OR(A585="TNBE", A585="TNBL", A585="TNBD", A585="TNWC", A585="TNBW", A585="THBS"), "PINK",
  A585="CRWD", "BLUE",
  A585="PASS", "WHITE"
)</f>
        <v>#N/A</v>
      </c>
    </row>
    <row r="586" spans="1:23" x14ac:dyDescent="0.25">
      <c r="A586" s="7"/>
      <c r="B586" s="7"/>
      <c r="C586" s="4"/>
      <c r="H586" s="2"/>
      <c r="I586" s="3"/>
      <c r="J586" s="17"/>
      <c r="K586" s="17"/>
      <c r="L586" s="18"/>
      <c r="M586" s="18"/>
      <c r="P586" s="3"/>
      <c r="Q586" s="4"/>
      <c r="R586" s="19"/>
      <c r="S586" s="20"/>
      <c r="U586" s="3" t="str">
        <f t="shared" si="22"/>
        <v/>
      </c>
      <c r="V586" s="4" t="str">
        <f t="shared" si="23"/>
        <v/>
      </c>
      <c r="W586" s="21" t="e" cm="1">
        <f t="array" ref="W586">_xlfn.IFS(
  A586="BELL", "WHITE",
  A586="GAMP", "ORANGE",
  A586="GAMM", "GREEN",
  A586="BWF", "YELLOW",
  OR(A586="TNBE", A586="TNBL", A586="TNBD", A586="TNWC", A586="TNBW", A586="THBS"), "PINK",
  A586="CRWD", "BLUE",
  A586="PASS", "WHITE"
)</f>
        <v>#N/A</v>
      </c>
    </row>
    <row r="587" spans="1:23" x14ac:dyDescent="0.25">
      <c r="A587" s="7"/>
      <c r="B587" s="7"/>
      <c r="C587" s="4"/>
      <c r="H587" s="2"/>
      <c r="I587" s="3"/>
      <c r="J587" s="17"/>
      <c r="K587" s="17"/>
      <c r="L587" s="18"/>
      <c r="M587" s="18"/>
      <c r="P587" s="3"/>
      <c r="Q587" s="4"/>
      <c r="R587" s="19"/>
      <c r="S587" s="20"/>
      <c r="U587" s="3" t="str">
        <f t="shared" si="22"/>
        <v/>
      </c>
      <c r="V587" s="4" t="str">
        <f t="shared" si="23"/>
        <v/>
      </c>
      <c r="W587" s="21" t="e" cm="1">
        <f t="array" ref="W587">_xlfn.IFS(
  A587="BELL", "WHITE",
  A587="GAMP", "ORANGE",
  A587="GAMM", "GREEN",
  A587="BWF", "YELLOW",
  OR(A587="TNBE", A587="TNBL", A587="TNBD", A587="TNWC", A587="TNBW", A587="THBS"), "PINK",
  A587="CRWD", "BLUE",
  A587="PASS", "WHITE"
)</f>
        <v>#N/A</v>
      </c>
    </row>
    <row r="588" spans="1:23" x14ac:dyDescent="0.25">
      <c r="A588" s="7"/>
      <c r="B588" s="7"/>
      <c r="C588" s="4"/>
      <c r="H588" s="2"/>
      <c r="I588" s="3"/>
      <c r="J588" s="17"/>
      <c r="K588" s="17"/>
      <c r="L588" s="18"/>
      <c r="M588" s="18"/>
      <c r="P588" s="3"/>
      <c r="Q588" s="4"/>
      <c r="R588" s="19"/>
      <c r="S588" s="20"/>
      <c r="U588" s="3" t="str">
        <f t="shared" si="22"/>
        <v/>
      </c>
      <c r="V588" s="4" t="str">
        <f t="shared" si="23"/>
        <v/>
      </c>
      <c r="W588" s="21" t="e" cm="1">
        <f t="array" ref="W588">_xlfn.IFS(
  A588="BELL", "WHITE",
  A588="GAMP", "ORANGE",
  A588="GAMM", "GREEN",
  A588="BWF", "YELLOW",
  OR(A588="TNBE", A588="TNBL", A588="TNBD", A588="TNWC", A588="TNBW", A588="THBS"), "PINK",
  A588="CRWD", "BLUE",
  A588="PASS", "WHITE"
)</f>
        <v>#N/A</v>
      </c>
    </row>
    <row r="589" spans="1:23" x14ac:dyDescent="0.25">
      <c r="A589" s="7"/>
      <c r="B589" s="7"/>
      <c r="C589" s="4"/>
      <c r="H589" s="2"/>
      <c r="I589" s="3"/>
      <c r="J589" s="17"/>
      <c r="K589" s="17"/>
      <c r="L589" s="18"/>
      <c r="M589" s="18"/>
      <c r="P589" s="3"/>
      <c r="Q589" s="4"/>
      <c r="R589" s="19"/>
      <c r="S589" s="20"/>
      <c r="U589" s="3" t="str">
        <f t="shared" si="22"/>
        <v/>
      </c>
      <c r="V589" s="4" t="str">
        <f t="shared" si="23"/>
        <v/>
      </c>
      <c r="W589" s="21" t="e" cm="1">
        <f t="array" ref="W589">_xlfn.IFS(
  A589="BELL", "WHITE",
  A589="GAMP", "ORANGE",
  A589="GAMM", "GREEN",
  A589="BWF", "YELLOW",
  OR(A589="TNBE", A589="TNBL", A589="TNBD", A589="TNWC", A589="TNBW", A589="THBS"), "PINK",
  A589="CRWD", "BLUE",
  A589="PASS", "WHITE"
)</f>
        <v>#N/A</v>
      </c>
    </row>
    <row r="590" spans="1:23" x14ac:dyDescent="0.25">
      <c r="A590" s="7"/>
      <c r="B590" s="7"/>
      <c r="C590" s="4"/>
      <c r="H590" s="2"/>
      <c r="I590" s="3"/>
      <c r="J590" s="17"/>
      <c r="K590" s="17"/>
      <c r="L590" s="18"/>
      <c r="M590" s="18"/>
      <c r="P590" s="3"/>
      <c r="Q590" s="4"/>
      <c r="R590" s="19"/>
      <c r="S590" s="20"/>
      <c r="U590" s="3" t="str">
        <f t="shared" si="22"/>
        <v/>
      </c>
      <c r="V590" s="4" t="str">
        <f t="shared" si="23"/>
        <v/>
      </c>
      <c r="W590" s="21" t="e" cm="1">
        <f t="array" ref="W590">_xlfn.IFS(
  A590="BELL", "WHITE",
  A590="GAMP", "ORANGE",
  A590="GAMM", "GREEN",
  A590="BWF", "YELLOW",
  OR(A590="TNBE", A590="TNBL", A590="TNBD", A590="TNWC", A590="TNBW", A590="THBS"), "PINK",
  A590="CRWD", "BLUE",
  A590="PASS", "WHITE"
)</f>
        <v>#N/A</v>
      </c>
    </row>
    <row r="591" spans="1:23" x14ac:dyDescent="0.25">
      <c r="A591" s="7"/>
      <c r="B591" s="7"/>
      <c r="C591" s="4"/>
      <c r="H591" s="2"/>
      <c r="I591" s="3"/>
      <c r="J591" s="17"/>
      <c r="K591" s="17"/>
      <c r="L591" s="18"/>
      <c r="M591" s="18"/>
      <c r="P591" s="3"/>
      <c r="Q591" s="4"/>
      <c r="R591" s="19"/>
      <c r="S591" s="20"/>
      <c r="U591" s="3" t="str">
        <f t="shared" si="22"/>
        <v/>
      </c>
      <c r="V591" s="4" t="str">
        <f t="shared" si="23"/>
        <v/>
      </c>
      <c r="W591" s="21" t="e" cm="1">
        <f t="array" ref="W591">_xlfn.IFS(
  A591="BELL", "WHITE",
  A591="GAMP", "ORANGE",
  A591="GAMM", "GREEN",
  A591="BWF", "YELLOW",
  OR(A591="TNBE", A591="TNBL", A591="TNBD", A591="TNWC", A591="TNBW", A591="THBS"), "PINK",
  A591="CRWD", "BLUE",
  A591="PASS", "WHITE"
)</f>
        <v>#N/A</v>
      </c>
    </row>
    <row r="592" spans="1:23" x14ac:dyDescent="0.25">
      <c r="A592" s="7"/>
      <c r="B592" s="7"/>
      <c r="C592" s="4"/>
      <c r="I592" s="3"/>
      <c r="J592" s="17"/>
      <c r="K592" s="17"/>
      <c r="L592" s="18"/>
      <c r="M592" s="3"/>
      <c r="P592" s="3"/>
      <c r="Q592" s="4"/>
      <c r="R592" s="19"/>
      <c r="S592" s="20"/>
      <c r="U592" s="3" t="str">
        <f t="shared" si="22"/>
        <v/>
      </c>
      <c r="V592" s="4" t="str">
        <f t="shared" si="23"/>
        <v/>
      </c>
      <c r="W592" s="21" t="e" cm="1">
        <f t="array" ref="W592">_xlfn.IFS(
  A592="BELL", "WHITE",
  A592="GAMP", "ORANGE",
  A592="GAMM", "GREEN",
  A592="BWF", "YELLOW",
  OR(A592="TNBE", A592="TNBL", A592="TNBD", A592="TNWC", A592="TNBW", A592="THBS"), "PINK",
  A592="CRWD", "BLUE",
  A592="PASS", "WHITE"
)</f>
        <v>#N/A</v>
      </c>
    </row>
    <row r="593" spans="1:23" x14ac:dyDescent="0.25">
      <c r="A593" s="7"/>
      <c r="B593" s="7"/>
      <c r="C593" s="4"/>
      <c r="I593" s="3"/>
      <c r="J593" s="17"/>
      <c r="K593" s="17"/>
      <c r="L593" s="18"/>
      <c r="M593" s="3"/>
      <c r="P593" s="3"/>
      <c r="Q593" s="4"/>
      <c r="R593" s="19"/>
      <c r="S593" s="20"/>
      <c r="U593" s="3" t="str">
        <f t="shared" si="22"/>
        <v/>
      </c>
      <c r="V593" s="4" t="str">
        <f t="shared" si="23"/>
        <v/>
      </c>
      <c r="W593" s="21" t="e" cm="1">
        <f t="array" ref="W593">_xlfn.IFS(
  A593="BELL", "WHITE",
  A593="GAMP", "ORANGE",
  A593="GAMM", "GREEN",
  A593="BWF", "YELLOW",
  OR(A593="TNBE", A593="TNBL", A593="TNBD", A593="TNWC", A593="TNBW", A593="THBS"), "PINK",
  A593="CRWD", "BLUE",
  A593="PASS", "WHITE"
)</f>
        <v>#N/A</v>
      </c>
    </row>
    <row r="594" spans="1:23" x14ac:dyDescent="0.25">
      <c r="A594" s="7"/>
      <c r="B594" s="7"/>
      <c r="C594" s="4"/>
      <c r="I594" s="3"/>
      <c r="J594" s="17"/>
      <c r="K594" s="17"/>
      <c r="L594" s="18"/>
      <c r="M594" s="3"/>
      <c r="P594" s="3"/>
      <c r="Q594" s="4"/>
      <c r="R594" s="19"/>
      <c r="S594" s="20"/>
      <c r="U594" s="3" t="str">
        <f t="shared" si="22"/>
        <v/>
      </c>
      <c r="V594" s="4" t="str">
        <f t="shared" si="23"/>
        <v/>
      </c>
      <c r="W594" s="21" t="e" cm="1">
        <f t="array" ref="W594">_xlfn.IFS(
  A594="BELL", "WHITE",
  A594="GAMP", "ORANGE",
  A594="GAMM", "GREEN",
  A594="BWF", "YELLOW",
  OR(A594="TNBE", A594="TNBL", A594="TNBD", A594="TNWC", A594="TNBW", A594="THBS"), "PINK",
  A594="CRWD", "BLUE",
  A594="PASS", "WHITE"
)</f>
        <v>#N/A</v>
      </c>
    </row>
    <row r="595" spans="1:23" x14ac:dyDescent="0.25">
      <c r="A595" s="7"/>
      <c r="B595" s="7"/>
      <c r="C595" s="4"/>
      <c r="I595" s="3"/>
      <c r="J595" s="17"/>
      <c r="K595" s="17"/>
      <c r="L595" s="18"/>
      <c r="M595" s="3"/>
      <c r="P595" s="3"/>
      <c r="Q595" s="4"/>
      <c r="R595" s="19"/>
      <c r="S595" s="20"/>
      <c r="U595" s="3" t="str">
        <f t="shared" si="22"/>
        <v/>
      </c>
      <c r="V595" s="4" t="str">
        <f t="shared" si="23"/>
        <v/>
      </c>
      <c r="W595" s="21" t="e" cm="1">
        <f t="array" ref="W595">_xlfn.IFS(
  A595="BELL", "WHITE",
  A595="GAMP", "ORANGE",
  A595="GAMM", "GREEN",
  A595="BWF", "YELLOW",
  OR(A595="TNBE", A595="TNBL", A595="TNBD", A595="TNWC", A595="TNBW", A595="THBS"), "PINK",
  A595="CRWD", "BLUE",
  A595="PASS", "WHITE"
)</f>
        <v>#N/A</v>
      </c>
    </row>
    <row r="596" spans="1:23" x14ac:dyDescent="0.25">
      <c r="A596" s="7"/>
      <c r="B596" s="7"/>
      <c r="C596" s="4"/>
      <c r="I596" s="3"/>
      <c r="J596" s="17"/>
      <c r="K596" s="17"/>
      <c r="L596" s="18"/>
      <c r="M596" s="3"/>
      <c r="P596" s="3"/>
      <c r="Q596" s="4"/>
      <c r="R596" s="19"/>
      <c r="S596" s="20"/>
      <c r="U596" s="3" t="str">
        <f t="shared" si="22"/>
        <v/>
      </c>
      <c r="V596" s="4" t="str">
        <f t="shared" si="23"/>
        <v/>
      </c>
      <c r="W596" s="21" t="e" cm="1">
        <f t="array" ref="W596">_xlfn.IFS(
  A596="BELL", "WHITE",
  A596="GAMP", "ORANGE",
  A596="GAMM", "GREEN",
  A596="BWF", "YELLOW",
  OR(A596="TNBE", A596="TNBL", A596="TNBD", A596="TNWC", A596="TNBW", A596="THBS"), "PINK",
  A596="CRWD", "BLUE",
  A596="PASS", "WHITE"
)</f>
        <v>#N/A</v>
      </c>
    </row>
    <row r="597" spans="1:23" x14ac:dyDescent="0.25">
      <c r="A597" s="7"/>
      <c r="B597" s="7"/>
      <c r="C597" s="4"/>
      <c r="I597" s="3"/>
      <c r="J597" s="17"/>
      <c r="K597" s="17"/>
      <c r="L597" s="18"/>
      <c r="M597" s="3"/>
      <c r="P597" s="3"/>
      <c r="Q597" s="4"/>
      <c r="R597" s="19"/>
      <c r="S597" s="20"/>
      <c r="U597" s="3" t="str">
        <f t="shared" si="22"/>
        <v/>
      </c>
      <c r="V597" s="4" t="str">
        <f t="shared" si="23"/>
        <v/>
      </c>
      <c r="W597" s="21" t="e" cm="1">
        <f t="array" ref="W597">_xlfn.IFS(
  A597="BELL", "WHITE",
  A597="GAMP", "ORANGE",
  A597="GAMM", "GREEN",
  A597="BWF", "YELLOW",
  OR(A597="TNBE", A597="TNBL", A597="TNBD", A597="TNWC", A597="TNBW", A597="THBS"), "PINK",
  A597="CRWD", "BLUE",
  A597="PASS", "WHITE"
)</f>
        <v>#N/A</v>
      </c>
    </row>
    <row r="598" spans="1:23" x14ac:dyDescent="0.25">
      <c r="A598" s="7"/>
      <c r="B598" s="7"/>
      <c r="C598" s="4"/>
      <c r="I598" s="3"/>
      <c r="J598" s="17"/>
      <c r="K598" s="17"/>
      <c r="L598" s="18"/>
      <c r="M598" s="3"/>
      <c r="P598" s="3"/>
      <c r="Q598" s="4"/>
      <c r="R598" s="19"/>
      <c r="S598" s="20"/>
      <c r="U598" s="3" t="str">
        <f t="shared" si="22"/>
        <v/>
      </c>
      <c r="V598" s="4" t="str">
        <f t="shared" si="23"/>
        <v/>
      </c>
      <c r="W598" s="21" t="e" cm="1">
        <f t="array" ref="W598">_xlfn.IFS(
  A598="BELL", "WHITE",
  A598="GAMP", "ORANGE",
  A598="GAMM", "GREEN",
  A598="BWF", "YELLOW",
  OR(A598="TNBE", A598="TNBL", A598="TNBD", A598="TNWC", A598="TNBW", A598="THBS"), "PINK",
  A598="CRWD", "BLUE",
  A598="PASS", "WHITE"
)</f>
        <v>#N/A</v>
      </c>
    </row>
    <row r="599" spans="1:23" x14ac:dyDescent="0.25">
      <c r="A599" s="7"/>
      <c r="B599" s="7"/>
      <c r="C599" s="4"/>
      <c r="I599" s="3"/>
      <c r="J599" s="17"/>
      <c r="K599" s="17"/>
      <c r="L599" s="18"/>
      <c r="M599" s="3"/>
      <c r="P599" s="3"/>
      <c r="Q599" s="4"/>
      <c r="R599" s="19"/>
      <c r="S599" s="20"/>
      <c r="U599" s="3" t="str">
        <f t="shared" si="22"/>
        <v/>
      </c>
      <c r="V599" s="4" t="str">
        <f t="shared" si="23"/>
        <v/>
      </c>
      <c r="W599" s="21" t="e" cm="1">
        <f t="array" ref="W599">_xlfn.IFS(
  A599="BELL", "WHITE",
  A599="GAMP", "ORANGE",
  A599="GAMM", "GREEN",
  A599="BWF", "YELLOW",
  OR(A599="TNBE", A599="TNBL", A599="TNBD", A599="TNWC", A599="TNBW", A599="THBS"), "PINK",
  A599="CRWD", "BLUE",
  A599="PASS", "WHITE"
)</f>
        <v>#N/A</v>
      </c>
    </row>
    <row r="600" spans="1:23" x14ac:dyDescent="0.25">
      <c r="A600" s="7"/>
      <c r="B600" s="7"/>
      <c r="C600" s="4"/>
      <c r="I600" s="3"/>
      <c r="J600" s="17"/>
      <c r="K600" s="17"/>
      <c r="L600" s="18"/>
      <c r="M600" s="3"/>
      <c r="P600" s="3"/>
      <c r="Q600" s="4"/>
      <c r="R600" s="19"/>
      <c r="S600" s="20"/>
      <c r="U600" s="3" t="str">
        <f t="shared" si="22"/>
        <v/>
      </c>
      <c r="V600" s="4" t="str">
        <f t="shared" si="23"/>
        <v/>
      </c>
      <c r="W600" s="21" t="e" cm="1">
        <f t="array" ref="W600">_xlfn.IFS(
  A600="BELL", "WHITE",
  A600="GAMP", "ORANGE",
  A600="GAMM", "GREEN",
  A600="BWF", "YELLOW",
  OR(A600="TNBE", A600="TNBL", A600="TNBD", A600="TNWC", A600="TNBW", A600="THBS"), "PINK",
  A600="CRWD", "BLUE",
  A600="PASS", "WHITE"
)</f>
        <v>#N/A</v>
      </c>
    </row>
    <row r="601" spans="1:23" x14ac:dyDescent="0.25">
      <c r="A601" s="7"/>
      <c r="B601" s="7"/>
      <c r="C601" s="4"/>
      <c r="I601" s="3"/>
      <c r="J601" s="17"/>
      <c r="K601" s="17"/>
      <c r="L601" s="18"/>
      <c r="M601" s="3"/>
      <c r="P601" s="3"/>
      <c r="Q601" s="4"/>
      <c r="R601" s="19"/>
      <c r="S601" s="20"/>
      <c r="U601" s="3" t="str">
        <f t="shared" si="22"/>
        <v/>
      </c>
      <c r="V601" s="4" t="str">
        <f t="shared" si="23"/>
        <v/>
      </c>
      <c r="W601" s="21" t="e" cm="1">
        <f t="array" ref="W601">_xlfn.IFS(
  A601="BELL", "WHITE",
  A601="GAMP", "ORANGE",
  A601="GAMM", "GREEN",
  A601="BWF", "YELLOW",
  OR(A601="TNBE", A601="TNBL", A601="TNBD", A601="TNWC", A601="TNBW", A601="THBS"), "PINK",
  A601="CRWD", "BLUE",
  A601="PASS", "WHITE"
)</f>
        <v>#N/A</v>
      </c>
    </row>
    <row r="602" spans="1:23" x14ac:dyDescent="0.25">
      <c r="A602" s="7"/>
      <c r="B602" s="7"/>
      <c r="C602" s="4"/>
      <c r="I602" s="3"/>
      <c r="J602" s="17"/>
      <c r="K602" s="17"/>
      <c r="L602" s="18"/>
      <c r="M602" s="18"/>
      <c r="P602" s="3"/>
      <c r="Q602" s="4"/>
      <c r="R602" s="19"/>
      <c r="S602" s="20"/>
      <c r="U602" s="3" t="str">
        <f t="shared" si="22"/>
        <v/>
      </c>
      <c r="V602" s="4" t="str">
        <f t="shared" si="23"/>
        <v/>
      </c>
      <c r="W602" s="21" t="e" cm="1">
        <f t="array" ref="W602">_xlfn.IFS(
  A602="BELL", "WHITE",
  A602="GAMP", "ORANGE",
  A602="GAMM", "GREEN",
  A602="BWF", "YELLOW",
  OR(A602="TNBE", A602="TNBL", A602="TNBD", A602="TNWC", A602="TNBW", A602="THBS"), "PINK",
  A602="CRWD", "BLUE",
  A602="PASS", "WHITE"
)</f>
        <v>#N/A</v>
      </c>
    </row>
    <row r="603" spans="1:23" x14ac:dyDescent="0.25">
      <c r="A603" s="7"/>
      <c r="B603" s="7"/>
      <c r="C603" s="4"/>
      <c r="I603" s="3"/>
      <c r="J603" s="17"/>
      <c r="K603" s="17"/>
      <c r="L603" s="18"/>
      <c r="M603" s="18"/>
      <c r="P603" s="3"/>
      <c r="Q603" s="4"/>
      <c r="R603" s="19"/>
      <c r="S603" s="20"/>
      <c r="U603" s="3" t="str">
        <f t="shared" si="22"/>
        <v/>
      </c>
      <c r="V603" s="4" t="str">
        <f t="shared" si="23"/>
        <v/>
      </c>
      <c r="W603" s="21" t="e" cm="1">
        <f t="array" ref="W603">_xlfn.IFS(
  A603="BELL", "WHITE",
  A603="GAMP", "ORANGE",
  A603="GAMM", "GREEN",
  A603="BWF", "YELLOW",
  OR(A603="TNBE", A603="TNBL", A603="TNBD", A603="TNWC", A603="TNBW", A603="THBS"), "PINK",
  A603="CRWD", "BLUE",
  A603="PASS", "WHITE"
)</f>
        <v>#N/A</v>
      </c>
    </row>
    <row r="604" spans="1:23" x14ac:dyDescent="0.25">
      <c r="A604" s="7"/>
      <c r="B604" s="7"/>
      <c r="C604" s="4"/>
      <c r="I604" s="3"/>
      <c r="J604" s="17"/>
      <c r="K604" s="17"/>
      <c r="L604" s="18"/>
      <c r="M604" s="18"/>
      <c r="P604" s="3"/>
      <c r="Q604" s="4"/>
      <c r="R604" s="19"/>
      <c r="S604" s="20"/>
      <c r="U604" s="3" t="str">
        <f t="shared" si="22"/>
        <v/>
      </c>
      <c r="V604" s="4" t="str">
        <f t="shared" si="23"/>
        <v/>
      </c>
      <c r="W604" s="21" t="e" cm="1">
        <f t="array" ref="W604">_xlfn.IFS(
  A604="BELL", "WHITE",
  A604="GAMP", "ORANGE",
  A604="GAMM", "GREEN",
  A604="BWF", "YELLOW",
  OR(A604="TNBE", A604="TNBL", A604="TNBD", A604="TNWC", A604="TNBW", A604="THBS"), "PINK",
  A604="CRWD", "BLUE",
  A604="PASS", "WHITE"
)</f>
        <v>#N/A</v>
      </c>
    </row>
    <row r="605" spans="1:23" x14ac:dyDescent="0.25">
      <c r="A605" s="7"/>
      <c r="B605" s="7"/>
      <c r="C605" s="4"/>
      <c r="I605" s="3"/>
      <c r="J605" s="17"/>
      <c r="K605" s="17"/>
      <c r="L605" s="18"/>
      <c r="M605" s="18"/>
      <c r="P605" s="3"/>
      <c r="Q605" s="4"/>
      <c r="R605" s="19"/>
      <c r="S605" s="20"/>
      <c r="U605" s="3" t="str">
        <f t="shared" si="22"/>
        <v/>
      </c>
      <c r="V605" s="4" t="str">
        <f t="shared" si="23"/>
        <v/>
      </c>
      <c r="W605" s="21" t="e" cm="1">
        <f t="array" ref="W605">_xlfn.IFS(
  A605="BELL", "WHITE",
  A605="GAMP", "ORANGE",
  A605="GAMM", "GREEN",
  A605="BWF", "YELLOW",
  OR(A605="TNBE", A605="TNBL", A605="TNBD", A605="TNWC", A605="TNBW", A605="THBS"), "PINK",
  A605="CRWD", "BLUE",
  A605="PASS", "WHITE"
)</f>
        <v>#N/A</v>
      </c>
    </row>
    <row r="606" spans="1:23" x14ac:dyDescent="0.25">
      <c r="A606" s="7"/>
      <c r="B606" s="7"/>
      <c r="C606" s="4"/>
      <c r="I606" s="3"/>
      <c r="J606" s="17"/>
      <c r="K606" s="17"/>
      <c r="L606" s="18"/>
      <c r="M606" s="18"/>
      <c r="P606" s="3"/>
      <c r="Q606" s="4"/>
      <c r="R606" s="19"/>
      <c r="S606" s="20"/>
      <c r="U606" s="3" t="str">
        <f t="shared" si="22"/>
        <v/>
      </c>
      <c r="V606" s="4" t="str">
        <f t="shared" si="23"/>
        <v/>
      </c>
      <c r="W606" s="21" t="e" cm="1">
        <f t="array" ref="W606">_xlfn.IFS(
  A606="BELL", "WHITE",
  A606="GAMP", "ORANGE",
  A606="GAMM", "GREEN",
  A606="BWF", "YELLOW",
  OR(A606="TNBE", A606="TNBL", A606="TNBD", A606="TNWC", A606="TNBW", A606="THBS"), "PINK",
  A606="CRWD", "BLUE",
  A606="PASS", "WHITE"
)</f>
        <v>#N/A</v>
      </c>
    </row>
    <row r="607" spans="1:23" x14ac:dyDescent="0.25">
      <c r="A607" s="7"/>
      <c r="B607" s="7"/>
      <c r="C607" s="4"/>
      <c r="I607" s="3"/>
      <c r="J607" s="17"/>
      <c r="K607" s="17"/>
      <c r="L607" s="18"/>
      <c r="M607" s="3"/>
      <c r="P607" s="3"/>
      <c r="Q607" s="4"/>
      <c r="R607" s="19"/>
      <c r="S607" s="20"/>
      <c r="U607" s="3" t="str">
        <f t="shared" si="22"/>
        <v/>
      </c>
      <c r="V607" s="4" t="str">
        <f t="shared" si="23"/>
        <v/>
      </c>
      <c r="W607" s="21" t="e" cm="1">
        <f t="array" ref="W607">_xlfn.IFS(
  A607="BELL", "WHITE",
  A607="GAMP", "ORANGE",
  A607="GAMM", "GREEN",
  A607="BWF", "YELLOW",
  OR(A607="TNBE", A607="TNBL", A607="TNBD", A607="TNWC", A607="TNBW", A607="THBS"), "PINK",
  A607="CRWD", "BLUE",
  A607="PASS", "WHITE"
)</f>
        <v>#N/A</v>
      </c>
    </row>
    <row r="608" spans="1:23" x14ac:dyDescent="0.25">
      <c r="A608" s="7"/>
      <c r="B608" s="7"/>
      <c r="C608" s="4"/>
      <c r="I608" s="3"/>
      <c r="J608" s="17"/>
      <c r="K608" s="17"/>
      <c r="L608" s="18"/>
      <c r="M608" s="3"/>
      <c r="P608" s="3"/>
      <c r="Q608" s="4"/>
      <c r="R608" s="19"/>
      <c r="S608" s="20"/>
      <c r="U608" s="3" t="str">
        <f t="shared" si="22"/>
        <v/>
      </c>
      <c r="V608" s="4" t="str">
        <f t="shared" si="23"/>
        <v/>
      </c>
      <c r="W608" s="21" t="e" cm="1">
        <f t="array" ref="W608">_xlfn.IFS(
  A608="BELL", "WHITE",
  A608="GAMP", "ORANGE",
  A608="GAMM", "GREEN",
  A608="BWF", "YELLOW",
  OR(A608="TNBE", A608="TNBL", A608="TNBD", A608="TNWC", A608="TNBW", A608="THBS"), "PINK",
  A608="CRWD", "BLUE",
  A608="PASS", "WHITE"
)</f>
        <v>#N/A</v>
      </c>
    </row>
    <row r="609" spans="1:23" x14ac:dyDescent="0.25">
      <c r="A609" s="7"/>
      <c r="B609" s="7"/>
      <c r="C609" s="4"/>
      <c r="I609" s="3"/>
      <c r="J609" s="17"/>
      <c r="K609" s="17"/>
      <c r="L609" s="18"/>
      <c r="M609" s="18"/>
      <c r="P609" s="3"/>
      <c r="Q609" s="4"/>
      <c r="R609" s="19"/>
      <c r="S609" s="20"/>
      <c r="U609" s="3" t="str">
        <f t="shared" si="22"/>
        <v/>
      </c>
      <c r="V609" s="4" t="str">
        <f t="shared" si="23"/>
        <v/>
      </c>
      <c r="W609" s="21" t="e" cm="1">
        <f t="array" ref="W609">_xlfn.IFS(
  A609="BELL", "WHITE",
  A609="GAMP", "ORANGE",
  A609="GAMM", "GREEN",
  A609="BWF", "YELLOW",
  OR(A609="TNBE", A609="TNBL", A609="TNBD", A609="TNWC", A609="TNBW", A609="THBS"), "PINK",
  A609="CRWD", "BLUE",
  A609="PASS", "WHITE"
)</f>
        <v>#N/A</v>
      </c>
    </row>
    <row r="610" spans="1:23" x14ac:dyDescent="0.25">
      <c r="A610" s="7"/>
      <c r="B610" s="7"/>
      <c r="C610" s="4"/>
      <c r="I610" s="3"/>
      <c r="J610" s="17"/>
      <c r="K610" s="17"/>
      <c r="L610" s="18"/>
      <c r="M610" s="18"/>
      <c r="P610" s="3"/>
      <c r="Q610" s="4"/>
      <c r="R610" s="19"/>
      <c r="S610" s="20"/>
      <c r="U610" s="3" t="str">
        <f t="shared" si="22"/>
        <v/>
      </c>
      <c r="V610" s="4" t="str">
        <f t="shared" si="23"/>
        <v/>
      </c>
      <c r="W610" s="21" t="e" cm="1">
        <f t="array" ref="W610">_xlfn.IFS(
  A610="BELL", "WHITE",
  A610="GAMP", "ORANGE",
  A610="GAMM", "GREEN",
  A610="BWF", "YELLOW",
  OR(A610="TNBE", A610="TNBL", A610="TNBD", A610="TNWC", A610="TNBW", A610="THBS"), "PINK",
  A610="CRWD", "BLUE",
  A610="PASS", "WHITE"
)</f>
        <v>#N/A</v>
      </c>
    </row>
    <row r="611" spans="1:23" x14ac:dyDescent="0.25">
      <c r="A611" s="7"/>
      <c r="B611" s="7"/>
      <c r="C611" s="4"/>
      <c r="I611" s="3"/>
      <c r="J611" s="17"/>
      <c r="K611" s="17"/>
      <c r="L611" s="18"/>
      <c r="M611" s="3"/>
      <c r="P611" s="3"/>
      <c r="Q611" s="4"/>
      <c r="R611" s="19"/>
      <c r="S611" s="20"/>
      <c r="U611" s="3" t="str">
        <f t="shared" si="22"/>
        <v/>
      </c>
      <c r="V611" s="4" t="str">
        <f t="shared" si="23"/>
        <v/>
      </c>
      <c r="W611" s="21" t="e" cm="1">
        <f t="array" ref="W611">_xlfn.IFS(
  A611="BELL", "WHITE",
  A611="GAMP", "ORANGE",
  A611="GAMM", "GREEN",
  A611="BWF", "YELLOW",
  OR(A611="TNBE", A611="TNBL", A611="TNBD", A611="TNWC", A611="TNBW", A611="THBS"), "PINK",
  A611="CRWD", "BLUE",
  A611="PASS", "WHITE"
)</f>
        <v>#N/A</v>
      </c>
    </row>
    <row r="612" spans="1:23" x14ac:dyDescent="0.25">
      <c r="A612" s="7"/>
      <c r="B612" s="7"/>
      <c r="C612" s="4"/>
      <c r="I612" s="3"/>
      <c r="J612" s="17"/>
      <c r="K612" s="17"/>
      <c r="L612" s="18"/>
      <c r="M612" s="18"/>
      <c r="P612" s="3"/>
      <c r="Q612" s="4"/>
      <c r="R612" s="19"/>
      <c r="S612" s="20"/>
      <c r="U612" s="3" t="str">
        <f t="shared" si="22"/>
        <v/>
      </c>
      <c r="V612" s="4" t="str">
        <f t="shared" si="23"/>
        <v/>
      </c>
      <c r="W612" s="21" t="e" cm="1">
        <f t="array" ref="W612">_xlfn.IFS(
  A612="BELL", "WHITE",
  A612="GAMP", "ORANGE",
  A612="GAMM", "GREEN",
  A612="BWF", "YELLOW",
  OR(A612="TNBE", A612="TNBL", A612="TNBD", A612="TNWC", A612="TNBW", A612="THBS"), "PINK",
  A612="CRWD", "BLUE",
  A612="PASS", "WHITE"
)</f>
        <v>#N/A</v>
      </c>
    </row>
    <row r="613" spans="1:23" x14ac:dyDescent="0.25">
      <c r="A613" s="7"/>
      <c r="B613" s="7"/>
      <c r="C613" s="4"/>
      <c r="E613" s="1"/>
      <c r="I613" s="3"/>
      <c r="J613" s="17"/>
      <c r="K613" s="17"/>
      <c r="L613" s="18"/>
      <c r="M613" s="3"/>
      <c r="P613" s="3"/>
      <c r="Q613" s="4"/>
      <c r="R613" s="19"/>
      <c r="S613" s="20"/>
      <c r="U613" s="3" t="str">
        <f t="shared" si="22"/>
        <v/>
      </c>
      <c r="V613" s="4" t="str">
        <f t="shared" si="23"/>
        <v/>
      </c>
      <c r="W613" s="21" t="e" cm="1">
        <f t="array" ref="W613">_xlfn.IFS(
  A613="BELL", "WHITE",
  A613="GAMP", "ORANGE",
  A613="GAMM", "GREEN",
  A613="BWF", "YELLOW",
  OR(A613="TNBE", A613="TNBL", A613="TNBD", A613="TNWC", A613="TNBW", A613="THBS"), "PINK",
  A613="CRWD", "BLUE",
  A613="PASS", "WHITE"
)</f>
        <v>#N/A</v>
      </c>
    </row>
    <row r="614" spans="1:23" x14ac:dyDescent="0.25">
      <c r="A614" s="7"/>
      <c r="B614" s="7"/>
      <c r="C614" s="4"/>
      <c r="I614" s="3"/>
      <c r="J614" s="17"/>
      <c r="K614" s="17"/>
      <c r="L614" s="18"/>
      <c r="M614" s="18"/>
      <c r="P614" s="3"/>
      <c r="Q614" s="4"/>
      <c r="R614" s="19"/>
      <c r="S614" s="20"/>
      <c r="U614" s="3" t="str">
        <f t="shared" si="22"/>
        <v/>
      </c>
      <c r="V614" s="4" t="str">
        <f t="shared" si="23"/>
        <v/>
      </c>
      <c r="W614" s="21" t="e" cm="1">
        <f t="array" ref="W614">_xlfn.IFS(
  A614="BELL", "WHITE",
  A614="GAMP", "ORANGE",
  A614="GAMM", "GREEN",
  A614="BWF", "YELLOW",
  OR(A614="TNBE", A614="TNBL", A614="TNBD", A614="TNWC", A614="TNBW", A614="THBS"), "PINK",
  A614="CRWD", "BLUE",
  A614="PASS", "WHITE"
)</f>
        <v>#N/A</v>
      </c>
    </row>
    <row r="615" spans="1:23" x14ac:dyDescent="0.25">
      <c r="A615" s="7"/>
      <c r="B615" s="7"/>
      <c r="C615" s="4"/>
      <c r="I615" s="3"/>
      <c r="J615" s="17"/>
      <c r="K615" s="17"/>
      <c r="L615" s="18"/>
      <c r="M615" s="18"/>
      <c r="P615" s="3"/>
      <c r="Q615" s="4"/>
      <c r="R615" s="19"/>
      <c r="S615" s="20"/>
      <c r="U615" s="3" t="str">
        <f t="shared" si="22"/>
        <v/>
      </c>
      <c r="V615" s="4" t="str">
        <f t="shared" si="23"/>
        <v/>
      </c>
      <c r="W615" s="21" t="e" cm="1">
        <f t="array" ref="W615">_xlfn.IFS(
  A615="BELL", "WHITE",
  A615="GAMP", "ORANGE",
  A615="GAMM", "GREEN",
  A615="BWF", "YELLOW",
  OR(A615="TNBE", A615="TNBL", A615="TNBD", A615="TNWC", A615="TNBW", A615="THBS"), "PINK",
  A615="CRWD", "BLUE",
  A615="PASS", "WHITE"
)</f>
        <v>#N/A</v>
      </c>
    </row>
    <row r="616" spans="1:23" x14ac:dyDescent="0.25">
      <c r="A616" s="7"/>
      <c r="B616" s="7"/>
      <c r="C616" s="4"/>
      <c r="I616" s="3"/>
      <c r="J616" s="17"/>
      <c r="K616" s="17"/>
      <c r="L616" s="18"/>
      <c r="M616" s="18"/>
      <c r="P616" s="3"/>
      <c r="Q616" s="4"/>
      <c r="R616" s="19"/>
      <c r="S616" s="20"/>
      <c r="U616" s="3" t="str">
        <f t="shared" si="22"/>
        <v/>
      </c>
      <c r="V616" s="4" t="str">
        <f t="shared" si="23"/>
        <v/>
      </c>
      <c r="W616" s="21" t="e" cm="1">
        <f t="array" ref="W616">_xlfn.IFS(
  A616="BELL", "WHITE",
  A616="GAMP", "ORANGE",
  A616="GAMM", "GREEN",
  A616="BWF", "YELLOW",
  OR(A616="TNBE", A616="TNBL", A616="TNBD", A616="TNWC", A616="TNBW", A616="THBS"), "PINK",
  A616="CRWD", "BLUE",
  A616="PASS", "WHITE"
)</f>
        <v>#N/A</v>
      </c>
    </row>
    <row r="617" spans="1:23" x14ac:dyDescent="0.25">
      <c r="A617" s="7"/>
      <c r="B617" s="26"/>
      <c r="C617" s="4"/>
      <c r="I617" s="3"/>
      <c r="J617" s="17"/>
      <c r="K617" s="17"/>
      <c r="L617" s="18"/>
      <c r="M617" s="18"/>
      <c r="P617" s="3"/>
      <c r="Q617" s="4"/>
      <c r="R617" s="19"/>
      <c r="S617" s="20"/>
      <c r="U617" s="3" t="str">
        <f t="shared" si="22"/>
        <v/>
      </c>
      <c r="V617" s="4" t="str">
        <f t="shared" si="23"/>
        <v/>
      </c>
      <c r="W617" s="21" t="e" cm="1">
        <f t="array" ref="W617">_xlfn.IFS(
  A617="BELL", "WHITE",
  A617="GAMP", "ORANGE",
  A617="GAMM", "GREEN",
  A617="BWF", "YELLOW",
  OR(A617="TNBE", A617="TNBL", A617="TNBD", A617="TNWC", A617="TNBW", A617="THBS"), "PINK",
  A617="CRWD", "BLUE",
  A617="PASS", "WHITE"
)</f>
        <v>#N/A</v>
      </c>
    </row>
    <row r="618" spans="1:23" x14ac:dyDescent="0.25">
      <c r="A618" s="7"/>
      <c r="B618" s="26"/>
      <c r="C618" s="4"/>
      <c r="I618" s="3"/>
      <c r="J618" s="17"/>
      <c r="K618" s="17"/>
      <c r="L618" s="18"/>
      <c r="M618" s="18"/>
      <c r="P618" s="3"/>
      <c r="Q618" s="4"/>
      <c r="R618" s="19"/>
      <c r="S618" s="20"/>
      <c r="U618" s="3" t="str">
        <f t="shared" si="22"/>
        <v/>
      </c>
      <c r="V618" s="4" t="str">
        <f t="shared" si="23"/>
        <v/>
      </c>
      <c r="W618" s="21" t="e" cm="1">
        <f t="array" ref="W618">_xlfn.IFS(
  A618="BELL", "WHITE",
  A618="GAMP", "ORANGE",
  A618="GAMM", "GREEN",
  A618="BWF", "YELLOW",
  OR(A618="TNBE", A618="TNBL", A618="TNBD", A618="TNWC", A618="TNBW", A618="THBS"), "PINK",
  A618="CRWD", "BLUE",
  A618="PASS", "WHITE"
)</f>
        <v>#N/A</v>
      </c>
    </row>
    <row r="619" spans="1:23" x14ac:dyDescent="0.25">
      <c r="A619" s="7"/>
      <c r="B619" s="26"/>
      <c r="C619" s="4"/>
      <c r="I619" s="3"/>
      <c r="J619" s="17"/>
      <c r="K619" s="17"/>
      <c r="L619" s="18"/>
      <c r="M619" s="18"/>
      <c r="P619" s="3"/>
      <c r="Q619" s="4"/>
      <c r="R619" s="19"/>
      <c r="S619" s="20"/>
      <c r="U619" s="3" t="str">
        <f t="shared" si="22"/>
        <v/>
      </c>
      <c r="V619" s="4" t="str">
        <f t="shared" si="23"/>
        <v/>
      </c>
      <c r="W619" s="21" t="e" cm="1">
        <f t="array" ref="W619">_xlfn.IFS(
  A619="BELL", "WHITE",
  A619="GAMP", "ORANGE",
  A619="GAMM", "GREEN",
  A619="BWF", "YELLOW",
  OR(A619="TNBE", A619="TNBL", A619="TNBD", A619="TNWC", A619="TNBW", A619="THBS"), "PINK",
  A619="CRWD", "BLUE",
  A619="PASS", "WHITE"
)</f>
        <v>#N/A</v>
      </c>
    </row>
    <row r="620" spans="1:23" x14ac:dyDescent="0.25">
      <c r="A620" s="7"/>
      <c r="B620" s="26"/>
      <c r="C620" s="4"/>
      <c r="I620" s="3"/>
      <c r="J620" s="17"/>
      <c r="K620" s="17"/>
      <c r="L620" s="18"/>
      <c r="M620" s="18"/>
      <c r="P620" s="3"/>
      <c r="Q620" s="4"/>
      <c r="R620" s="19"/>
      <c r="S620" s="20"/>
      <c r="U620" s="3" t="str">
        <f t="shared" si="22"/>
        <v/>
      </c>
      <c r="V620" s="4" t="str">
        <f t="shared" si="23"/>
        <v/>
      </c>
      <c r="W620" s="21" t="e" cm="1">
        <f t="array" ref="W620">_xlfn.IFS(
  A620="BELL", "WHITE",
  A620="GAMP", "ORANGE",
  A620="GAMM", "GREEN",
  A620="BWF", "YELLOW",
  OR(A620="TNBE", A620="TNBL", A620="TNBD", A620="TNWC", A620="TNBW", A620="THBS"), "PINK",
  A620="CRWD", "BLUE",
  A620="PASS", "WHITE"
)</f>
        <v>#N/A</v>
      </c>
    </row>
    <row r="621" spans="1:23" x14ac:dyDescent="0.25">
      <c r="A621" s="7"/>
      <c r="B621" s="7"/>
      <c r="C621" s="4"/>
      <c r="I621" s="3"/>
      <c r="J621" s="17"/>
      <c r="K621" s="17"/>
      <c r="L621" s="18"/>
      <c r="M621" s="18"/>
      <c r="P621" s="3"/>
      <c r="Q621" s="4"/>
      <c r="R621" s="19"/>
      <c r="S621" s="20"/>
      <c r="U621" s="3" t="str">
        <f t="shared" si="22"/>
        <v/>
      </c>
      <c r="V621" s="4" t="str">
        <f t="shared" si="23"/>
        <v/>
      </c>
      <c r="W621" s="21" t="e" cm="1">
        <f t="array" ref="W621">_xlfn.IFS(
  A621="BELL", "WHITE",
  A621="GAMP", "ORANGE",
  A621="GAMM", "GREEN",
  A621="BWF", "YELLOW",
  OR(A621="TNBE", A621="TNBL", A621="TNBD", A621="TNWC", A621="TNBW", A621="THBS"), "PINK",
  A621="CRWD", "BLUE",
  A621="PASS", "WHITE"
)</f>
        <v>#N/A</v>
      </c>
    </row>
    <row r="622" spans="1:23" x14ac:dyDescent="0.25">
      <c r="A622" s="7"/>
      <c r="B622" s="7"/>
      <c r="C622" s="4"/>
      <c r="I622" s="3"/>
      <c r="J622" s="17"/>
      <c r="K622" s="17"/>
      <c r="L622" s="18"/>
      <c r="M622" s="18"/>
      <c r="P622" s="3"/>
      <c r="Q622" s="4"/>
      <c r="R622" s="19"/>
      <c r="S622" s="20"/>
      <c r="U622" s="3" t="str">
        <f t="shared" si="22"/>
        <v/>
      </c>
      <c r="V622" s="4" t="str">
        <f t="shared" si="23"/>
        <v/>
      </c>
      <c r="W622" s="21" t="e" cm="1">
        <f t="array" ref="W622">_xlfn.IFS(
  A622="BELL", "WHITE",
  A622="GAMP", "ORANGE",
  A622="GAMM", "GREEN",
  A622="BWF", "YELLOW",
  OR(A622="TNBE", A622="TNBL", A622="TNBD", A622="TNWC", A622="TNBW", A622="THBS"), "PINK",
  A622="CRWD", "BLUE",
  A622="PASS", "WHITE"
)</f>
        <v>#N/A</v>
      </c>
    </row>
    <row r="623" spans="1:23" x14ac:dyDescent="0.25">
      <c r="A623" s="7"/>
      <c r="B623" s="7"/>
      <c r="C623" s="4"/>
      <c r="I623" s="3"/>
      <c r="J623" s="17"/>
      <c r="K623" s="17"/>
      <c r="L623" s="18"/>
      <c r="M623" s="18"/>
      <c r="P623" s="3"/>
      <c r="Q623" s="4"/>
      <c r="R623" s="19"/>
      <c r="S623" s="20"/>
      <c r="U623" s="3" t="str">
        <f t="shared" si="22"/>
        <v/>
      </c>
      <c r="V623" s="4" t="str">
        <f t="shared" si="23"/>
        <v/>
      </c>
      <c r="W623" s="21" t="e" cm="1">
        <f t="array" ref="W623">_xlfn.IFS(
  A623="BELL", "WHITE",
  A623="GAMP", "ORANGE",
  A623="GAMM", "GREEN",
  A623="BWF", "YELLOW",
  OR(A623="TNBE", A623="TNBL", A623="TNBD", A623="TNWC", A623="TNBW", A623="THBS"), "PINK",
  A623="CRWD", "BLUE",
  A623="PASS", "WHITE"
)</f>
        <v>#N/A</v>
      </c>
    </row>
    <row r="624" spans="1:23" x14ac:dyDescent="0.25">
      <c r="A624" s="7"/>
      <c r="B624" s="7"/>
      <c r="C624" s="4"/>
      <c r="I624" s="3"/>
      <c r="J624" s="17"/>
      <c r="K624" s="17"/>
      <c r="L624" s="18"/>
      <c r="M624" s="3"/>
      <c r="P624" s="3"/>
      <c r="Q624" s="4"/>
      <c r="R624" s="19"/>
      <c r="S624" s="20"/>
      <c r="U624" s="3" t="str">
        <f t="shared" si="22"/>
        <v/>
      </c>
      <c r="V624" s="4" t="str">
        <f t="shared" si="23"/>
        <v/>
      </c>
      <c r="W624" s="21" t="e" cm="1">
        <f t="array" ref="W624">_xlfn.IFS(
  A624="BELL", "WHITE",
  A624="GAMP", "ORANGE",
  A624="GAMM", "GREEN",
  A624="BWF", "YELLOW",
  OR(A624="TNBE", A624="TNBL", A624="TNBD", A624="TNWC", A624="TNBW", A624="THBS"), "PINK",
  A624="CRWD", "BLUE",
  A624="PASS", "WHITE"
)</f>
        <v>#N/A</v>
      </c>
    </row>
    <row r="625" spans="1:23" x14ac:dyDescent="0.25">
      <c r="A625" s="7"/>
      <c r="B625" s="7"/>
      <c r="C625" s="4"/>
      <c r="I625" s="3"/>
      <c r="J625" s="17"/>
      <c r="K625" s="17"/>
      <c r="L625" s="18"/>
      <c r="M625" s="3"/>
      <c r="P625" s="3"/>
      <c r="Q625" s="4"/>
      <c r="R625" s="19"/>
      <c r="S625" s="20"/>
      <c r="U625" s="3" t="str">
        <f t="shared" si="22"/>
        <v/>
      </c>
      <c r="V625" s="4" t="str">
        <f t="shared" si="23"/>
        <v/>
      </c>
      <c r="W625" s="21" t="e" cm="1">
        <f t="array" ref="W625">_xlfn.IFS(
  A625="BELL", "WHITE",
  A625="GAMP", "ORANGE",
  A625="GAMM", "GREEN",
  A625="BWF", "YELLOW",
  OR(A625="TNBE", A625="TNBL", A625="TNBD", A625="TNWC", A625="TNBW", A625="THBS"), "PINK",
  A625="CRWD", "BLUE",
  A625="PASS", "WHITE"
)</f>
        <v>#N/A</v>
      </c>
    </row>
    <row r="626" spans="1:23" x14ac:dyDescent="0.25">
      <c r="A626" s="7"/>
      <c r="B626" s="7"/>
      <c r="C626" s="4"/>
      <c r="I626" s="3"/>
      <c r="J626" s="17"/>
      <c r="K626" s="17"/>
      <c r="L626" s="18"/>
      <c r="M626" s="18"/>
      <c r="P626" s="3"/>
      <c r="Q626" s="4"/>
      <c r="R626" s="19"/>
      <c r="S626" s="20"/>
      <c r="U626" s="3" t="str">
        <f t="shared" si="22"/>
        <v/>
      </c>
      <c r="V626" s="4" t="str">
        <f t="shared" si="23"/>
        <v/>
      </c>
      <c r="W626" s="21" t="e" cm="1">
        <f t="array" ref="W626">_xlfn.IFS(
  A626="BELL", "WHITE",
  A626="GAMP", "ORANGE",
  A626="GAMM", "GREEN",
  A626="BWF", "YELLOW",
  OR(A626="TNBE", A626="TNBL", A626="TNBD", A626="TNWC", A626="TNBW", A626="THBS"), "PINK",
  A626="CRWD", "BLUE",
  A626="PASS", "WHITE"
)</f>
        <v>#N/A</v>
      </c>
    </row>
    <row r="627" spans="1:23" x14ac:dyDescent="0.25">
      <c r="A627" s="7"/>
      <c r="B627" s="26"/>
      <c r="C627" s="4"/>
      <c r="D627" s="28"/>
      <c r="I627" s="3"/>
      <c r="J627" s="17"/>
      <c r="K627" s="17"/>
      <c r="L627" s="18"/>
      <c r="M627" s="18"/>
      <c r="P627" s="3"/>
      <c r="Q627" s="4"/>
      <c r="R627" s="19"/>
      <c r="S627" s="20"/>
      <c r="U627" s="3" t="str">
        <f t="shared" si="22"/>
        <v/>
      </c>
      <c r="V627" s="4" t="str">
        <f t="shared" si="23"/>
        <v/>
      </c>
      <c r="W627" s="21" t="e" cm="1">
        <f t="array" ref="W627">_xlfn.IFS(
  A627="BELL", "WHITE",
  A627="GAMP", "ORANGE",
  A627="GAMM", "GREEN",
  A627="BWF", "YELLOW",
  OR(A627="TNBE", A627="TNBL", A627="TNBD", A627="TNWC", A627="TNBW", A627="THBS"), "PINK",
  A627="CRWD", "BLUE",
  A627="PASS", "WHITE"
)</f>
        <v>#N/A</v>
      </c>
    </row>
    <row r="628" spans="1:23" x14ac:dyDescent="0.25">
      <c r="A628" s="7"/>
      <c r="B628" s="7"/>
      <c r="C628" s="4"/>
      <c r="I628" s="3"/>
      <c r="J628" s="17"/>
      <c r="K628" s="17"/>
      <c r="L628" s="18"/>
      <c r="M628" s="18"/>
      <c r="P628" s="3"/>
      <c r="Q628" s="4"/>
      <c r="R628" s="19"/>
      <c r="S628" s="20"/>
      <c r="U628" s="3" t="str">
        <f t="shared" si="22"/>
        <v/>
      </c>
      <c r="V628" s="4" t="str">
        <f t="shared" si="23"/>
        <v/>
      </c>
      <c r="W628" s="21" t="e" cm="1">
        <f t="array" ref="W628">_xlfn.IFS(
  A628="BELL", "WHITE",
  A628="GAMP", "ORANGE",
  A628="GAMM", "GREEN",
  A628="BWF", "YELLOW",
  OR(A628="TNBE", A628="TNBL", A628="TNBD", A628="TNWC", A628="TNBW", A628="THBS"), "PINK",
  A628="CRWD", "BLUE",
  A628="PASS", "WHITE"
)</f>
        <v>#N/A</v>
      </c>
    </row>
    <row r="629" spans="1:23" x14ac:dyDescent="0.25">
      <c r="A629" s="7"/>
      <c r="B629" s="7"/>
      <c r="C629" s="4"/>
      <c r="I629" s="3"/>
      <c r="J629" s="17"/>
      <c r="K629" s="17"/>
      <c r="L629" s="18"/>
      <c r="M629" s="18"/>
      <c r="P629" s="3"/>
      <c r="Q629" s="4"/>
      <c r="R629" s="19"/>
      <c r="S629" s="20"/>
      <c r="U629" s="3" t="str">
        <f t="shared" si="22"/>
        <v/>
      </c>
      <c r="V629" s="4" t="str">
        <f t="shared" si="23"/>
        <v/>
      </c>
      <c r="W629" s="21" t="e" cm="1">
        <f t="array" ref="W629">_xlfn.IFS(
  A629="BELL", "WHITE",
  A629="GAMP", "ORANGE",
  A629="GAMM", "GREEN",
  A629="BWF", "YELLOW",
  OR(A629="TNBE", A629="TNBL", A629="TNBD", A629="TNWC", A629="TNBW", A629="THBS"), "PINK",
  A629="CRWD", "BLUE",
  A629="PASS", "WHITE"
)</f>
        <v>#N/A</v>
      </c>
    </row>
    <row r="630" spans="1:23" x14ac:dyDescent="0.25">
      <c r="A630" s="7"/>
      <c r="B630" s="26"/>
      <c r="C630" s="4"/>
      <c r="D630" s="28"/>
      <c r="I630" s="3"/>
      <c r="J630" s="17"/>
      <c r="K630" s="17"/>
      <c r="L630" s="18"/>
      <c r="M630" s="18"/>
      <c r="P630" s="3"/>
      <c r="Q630" s="4"/>
      <c r="R630" s="19"/>
      <c r="S630" s="20"/>
      <c r="U630" s="3" t="str">
        <f t="shared" si="22"/>
        <v/>
      </c>
      <c r="V630" s="4" t="str">
        <f t="shared" si="23"/>
        <v/>
      </c>
      <c r="W630" s="21" t="e" cm="1">
        <f t="array" ref="W630">_xlfn.IFS(
  A630="BELL", "WHITE",
  A630="GAMP", "ORANGE",
  A630="GAMM", "GREEN",
  A630="BWF", "YELLOW",
  OR(A630="TNBE", A630="TNBL", A630="TNBD", A630="TNWC", A630="TNBW", A630="THBS"), "PINK",
  A630="CRWD", "BLUE",
  A630="PASS", "WHITE"
)</f>
        <v>#N/A</v>
      </c>
    </row>
    <row r="631" spans="1:23" x14ac:dyDescent="0.25">
      <c r="A631" s="7"/>
      <c r="B631" s="26"/>
      <c r="C631" s="4"/>
      <c r="D631" s="28"/>
      <c r="E631" s="28"/>
      <c r="I631" s="3"/>
      <c r="J631" s="17"/>
      <c r="K631" s="17"/>
      <c r="L631" s="18"/>
      <c r="M631" s="3"/>
      <c r="P631" s="3"/>
      <c r="Q631" s="4"/>
      <c r="R631" s="19"/>
      <c r="S631" s="20"/>
      <c r="U631" s="3" t="str">
        <f t="shared" si="22"/>
        <v/>
      </c>
      <c r="V631" s="4" t="str">
        <f t="shared" si="23"/>
        <v/>
      </c>
      <c r="W631" s="21" t="e" cm="1">
        <f t="array" ref="W631">_xlfn.IFS(
  A631="BELL", "WHITE",
  A631="GAMP", "ORANGE",
  A631="GAMM", "GREEN",
  A631="BWF", "YELLOW",
  OR(A631="TNBE", A631="TNBL", A631="TNBD", A631="TNWC", A631="TNBW", A631="THBS"), "PINK",
  A631="CRWD", "BLUE",
  A631="PASS", "WHITE"
)</f>
        <v>#N/A</v>
      </c>
    </row>
    <row r="632" spans="1:23" x14ac:dyDescent="0.25">
      <c r="A632" s="7"/>
      <c r="B632" s="26"/>
      <c r="C632" s="4"/>
      <c r="D632" s="28"/>
      <c r="E632" s="28"/>
      <c r="I632" s="3"/>
      <c r="J632" s="17"/>
      <c r="K632" s="17"/>
      <c r="L632" s="18"/>
      <c r="M632" s="3"/>
      <c r="P632" s="3"/>
      <c r="Q632" s="4"/>
      <c r="R632" s="19"/>
      <c r="S632" s="20"/>
      <c r="U632" s="3" t="str">
        <f t="shared" si="22"/>
        <v/>
      </c>
      <c r="V632" s="4" t="str">
        <f t="shared" si="23"/>
        <v/>
      </c>
      <c r="W632" s="21" t="e" cm="1">
        <f t="array" ref="W632">_xlfn.IFS(
  A632="BELL", "WHITE",
  A632="GAMP", "ORANGE",
  A632="GAMM", "GREEN",
  A632="BWF", "YELLOW",
  OR(A632="TNBE", A632="TNBL", A632="TNBD", A632="TNWC", A632="TNBW", A632="THBS"), "PINK",
  A632="CRWD", "BLUE",
  A632="PASS", "WHITE"
)</f>
        <v>#N/A</v>
      </c>
    </row>
    <row r="633" spans="1:23" x14ac:dyDescent="0.25">
      <c r="A633" s="7"/>
      <c r="B633" s="26"/>
      <c r="C633" s="4"/>
      <c r="D633" s="28"/>
      <c r="E633" s="28"/>
      <c r="I633" s="3"/>
      <c r="J633" s="17"/>
      <c r="K633" s="17"/>
      <c r="L633" s="18"/>
      <c r="M633" s="3"/>
      <c r="P633" s="3"/>
      <c r="Q633" s="4"/>
      <c r="R633" s="19"/>
      <c r="S633" s="20"/>
      <c r="U633" s="3" t="str">
        <f t="shared" si="22"/>
        <v/>
      </c>
      <c r="V633" s="4" t="str">
        <f t="shared" si="23"/>
        <v/>
      </c>
      <c r="W633" s="21" t="e" cm="1">
        <f t="array" ref="W633">_xlfn.IFS(
  A633="BELL", "WHITE",
  A633="GAMP", "ORANGE",
  A633="GAMM", "GREEN",
  A633="BWF", "YELLOW",
  OR(A633="TNBE", A633="TNBL", A633="TNBD", A633="TNWC", A633="TNBW", A633="THBS"), "PINK",
  A633="CRWD", "BLUE",
  A633="PASS", "WHITE"
)</f>
        <v>#N/A</v>
      </c>
    </row>
    <row r="634" spans="1:23" x14ac:dyDescent="0.25">
      <c r="A634" s="7"/>
      <c r="B634" s="26"/>
      <c r="C634" s="4"/>
      <c r="D634" s="28"/>
      <c r="E634" s="28"/>
      <c r="I634" s="3"/>
      <c r="J634" s="17"/>
      <c r="K634" s="17"/>
      <c r="L634" s="18"/>
      <c r="M634" s="3"/>
      <c r="P634" s="3"/>
      <c r="Q634" s="4"/>
      <c r="R634" s="19"/>
      <c r="S634" s="20"/>
      <c r="U634" s="3" t="str">
        <f t="shared" si="22"/>
        <v/>
      </c>
      <c r="V634" s="4" t="str">
        <f t="shared" si="23"/>
        <v/>
      </c>
      <c r="W634" s="21" t="e" cm="1">
        <f t="array" ref="W634">_xlfn.IFS(
  A634="BELL", "WHITE",
  A634="GAMP", "ORANGE",
  A634="GAMM", "GREEN",
  A634="BWF", "YELLOW",
  OR(A634="TNBE", A634="TNBL", A634="TNBD", A634="TNWC", A634="TNBW", A634="THBS"), "PINK",
  A634="CRWD", "BLUE",
  A634="PASS", "WHITE"
)</f>
        <v>#N/A</v>
      </c>
    </row>
    <row r="635" spans="1:23" x14ac:dyDescent="0.25">
      <c r="A635" s="7"/>
      <c r="B635" s="26"/>
      <c r="C635" s="4"/>
      <c r="D635" s="28"/>
      <c r="E635" s="28"/>
      <c r="I635" s="3"/>
      <c r="J635" s="17"/>
      <c r="K635" s="17"/>
      <c r="L635" s="18"/>
      <c r="M635" s="3"/>
      <c r="P635" s="3"/>
      <c r="Q635" s="4"/>
      <c r="R635" s="19"/>
      <c r="S635" s="20"/>
      <c r="U635" s="3" t="str">
        <f t="shared" si="22"/>
        <v/>
      </c>
      <c r="V635" s="4" t="str">
        <f t="shared" si="23"/>
        <v/>
      </c>
      <c r="W635" s="21" t="e" cm="1">
        <f t="array" ref="W635">_xlfn.IFS(
  A635="BELL", "WHITE",
  A635="GAMP", "ORANGE",
  A635="GAMM", "GREEN",
  A635="BWF", "YELLOW",
  OR(A635="TNBE", A635="TNBL", A635="TNBD", A635="TNWC", A635="TNBW", A635="THBS"), "PINK",
  A635="CRWD", "BLUE",
  A635="PASS", "WHITE"
)</f>
        <v>#N/A</v>
      </c>
    </row>
    <row r="636" spans="1:23" x14ac:dyDescent="0.25">
      <c r="A636" s="7"/>
      <c r="B636" s="26"/>
      <c r="C636" s="4"/>
      <c r="D636" s="28"/>
      <c r="E636" s="28"/>
      <c r="I636" s="3"/>
      <c r="J636" s="17"/>
      <c r="K636" s="17"/>
      <c r="L636" s="18"/>
      <c r="M636" s="3"/>
      <c r="P636" s="3"/>
      <c r="Q636" s="4"/>
      <c r="R636" s="19"/>
      <c r="S636" s="20"/>
      <c r="U636" s="3" t="str">
        <f t="shared" si="22"/>
        <v/>
      </c>
      <c r="V636" s="4" t="str">
        <f t="shared" si="23"/>
        <v/>
      </c>
      <c r="W636" s="21" t="e" cm="1">
        <f t="array" ref="W636">_xlfn.IFS(
  A636="BELL", "WHITE",
  A636="GAMP", "ORANGE",
  A636="GAMM", "GREEN",
  A636="BWF", "YELLOW",
  OR(A636="TNBE", A636="TNBL", A636="TNBD", A636="TNWC", A636="TNBW", A636="THBS"), "PINK",
  A636="CRWD", "BLUE",
  A636="PASS", "WHITE"
)</f>
        <v>#N/A</v>
      </c>
    </row>
    <row r="637" spans="1:23" x14ac:dyDescent="0.25">
      <c r="A637" s="7"/>
      <c r="B637" s="7"/>
      <c r="C637" s="4"/>
      <c r="D637" s="25"/>
      <c r="E637" s="29"/>
      <c r="G637" s="30"/>
      <c r="H637" s="30"/>
      <c r="I637" s="3"/>
      <c r="J637" s="17"/>
      <c r="K637" s="17"/>
      <c r="L637" s="18"/>
      <c r="M637" s="3"/>
      <c r="P637" s="3"/>
      <c r="Q637" s="4"/>
      <c r="R637" s="19"/>
      <c r="S637" s="20"/>
      <c r="T637" s="30"/>
      <c r="U637" s="3" t="str">
        <f t="shared" si="22"/>
        <v/>
      </c>
      <c r="V637" s="4" t="str">
        <f t="shared" si="23"/>
        <v/>
      </c>
      <c r="W637" s="21" t="e" cm="1">
        <f t="array" ref="W637">_xlfn.IFS(
  A637="BELL", "WHITE",
  A637="GAMP", "ORANGE",
  A637="GAMM", "GREEN",
  A637="BWF", "YELLOW",
  OR(A637="TNBE", A637="TNBL", A637="TNBD", A637="TNWC", A637="TNBW", A637="THBS"), "PINK",
  A637="CRWD", "BLUE",
  A637="PASS", "WHITE"
)</f>
        <v>#N/A</v>
      </c>
    </row>
    <row r="638" spans="1:23" x14ac:dyDescent="0.25">
      <c r="A638" s="7"/>
      <c r="B638" s="7"/>
      <c r="C638" s="4"/>
      <c r="D638" s="25"/>
      <c r="E638" s="29"/>
      <c r="G638" s="30"/>
      <c r="H638" s="30"/>
      <c r="I638" s="3"/>
      <c r="J638" s="17"/>
      <c r="K638" s="17"/>
      <c r="L638" s="18"/>
      <c r="M638" s="3"/>
      <c r="P638" s="3"/>
      <c r="Q638" s="4"/>
      <c r="R638" s="19"/>
      <c r="S638" s="20"/>
      <c r="T638" s="30"/>
      <c r="U638" s="3" t="str">
        <f t="shared" si="22"/>
        <v/>
      </c>
      <c r="V638" s="4" t="str">
        <f t="shared" si="23"/>
        <v/>
      </c>
      <c r="W638" s="21" t="e" cm="1">
        <f t="array" ref="W638">_xlfn.IFS(
  A638="BELL", "WHITE",
  A638="GAMP", "ORANGE",
  A638="GAMM", "GREEN",
  A638="BWF", "YELLOW",
  OR(A638="TNBE", A638="TNBL", A638="TNBD", A638="TNWC", A638="TNBW", A638="THBS"), "PINK",
  A638="CRWD", "BLUE",
  A638="PASS", "WHITE"
)</f>
        <v>#N/A</v>
      </c>
    </row>
    <row r="639" spans="1:23" x14ac:dyDescent="0.25">
      <c r="A639" s="7"/>
      <c r="B639" s="7"/>
      <c r="C639" s="4"/>
      <c r="D639" s="25"/>
      <c r="E639" s="29"/>
      <c r="G639" s="30"/>
      <c r="H639" s="30"/>
      <c r="I639" s="3"/>
      <c r="J639" s="17"/>
      <c r="K639" s="17"/>
      <c r="L639" s="18"/>
      <c r="M639" s="3"/>
      <c r="P639" s="3"/>
      <c r="Q639" s="4"/>
      <c r="R639" s="19"/>
      <c r="S639" s="20"/>
      <c r="T639" s="30"/>
      <c r="U639" s="3" t="str">
        <f t="shared" si="22"/>
        <v/>
      </c>
      <c r="V639" s="4" t="str">
        <f t="shared" si="23"/>
        <v/>
      </c>
      <c r="W639" s="21" t="e" cm="1">
        <f t="array" ref="W639">_xlfn.IFS(
  A639="BELL", "WHITE",
  A639="GAMP", "ORANGE",
  A639="GAMM", "GREEN",
  A639="BWF", "YELLOW",
  OR(A639="TNBE", A639="TNBL", A639="TNBD", A639="TNWC", A639="TNBW", A639="THBS"), "PINK",
  A639="CRWD", "BLUE",
  A639="PASS", "WHITE"
)</f>
        <v>#N/A</v>
      </c>
    </row>
    <row r="640" spans="1:23" x14ac:dyDescent="0.25">
      <c r="A640" s="7"/>
      <c r="B640" s="7"/>
      <c r="C640" s="4"/>
      <c r="D640" s="25"/>
      <c r="E640" s="29"/>
      <c r="G640" s="30"/>
      <c r="H640" s="30"/>
      <c r="I640" s="3"/>
      <c r="J640" s="17"/>
      <c r="K640" s="17"/>
      <c r="L640" s="18"/>
      <c r="M640" s="3"/>
      <c r="P640" s="3"/>
      <c r="Q640" s="4"/>
      <c r="R640" s="19"/>
      <c r="S640" s="20"/>
      <c r="T640" s="30"/>
      <c r="U640" s="3" t="str">
        <f t="shared" si="22"/>
        <v/>
      </c>
      <c r="V640" s="4" t="str">
        <f t="shared" si="23"/>
        <v/>
      </c>
      <c r="W640" s="21" t="e" cm="1">
        <f t="array" ref="W640">_xlfn.IFS(
  A640="BELL", "WHITE",
  A640="GAMP", "ORANGE",
  A640="GAMM", "GREEN",
  A640="BWF", "YELLOW",
  OR(A640="TNBE", A640="TNBL", A640="TNBD", A640="TNWC", A640="TNBW", A640="THBS"), "PINK",
  A640="CRWD", "BLUE",
  A640="PASS", "WHITE"
)</f>
        <v>#N/A</v>
      </c>
    </row>
    <row r="641" spans="1:23" x14ac:dyDescent="0.25">
      <c r="A641" s="7"/>
      <c r="B641" s="7"/>
      <c r="C641" s="4"/>
      <c r="D641" s="25"/>
      <c r="E641" s="29"/>
      <c r="G641" s="30"/>
      <c r="H641" s="30"/>
      <c r="I641" s="3"/>
      <c r="J641" s="17"/>
      <c r="K641" s="17"/>
      <c r="L641" s="18"/>
      <c r="M641" s="3"/>
      <c r="P641" s="3"/>
      <c r="Q641" s="4"/>
      <c r="R641" s="19"/>
      <c r="S641" s="20"/>
      <c r="T641" s="30"/>
      <c r="U641" s="3" t="str">
        <f t="shared" si="22"/>
        <v/>
      </c>
      <c r="V641" s="4" t="str">
        <f t="shared" si="23"/>
        <v/>
      </c>
      <c r="W641" s="21" t="e" cm="1">
        <f t="array" ref="W641">_xlfn.IFS(
  A641="BELL", "WHITE",
  A641="GAMP", "ORANGE",
  A641="GAMM", "GREEN",
  A641="BWF", "YELLOW",
  OR(A641="TNBE", A641="TNBL", A641="TNBD", A641="TNWC", A641="TNBW", A641="THBS"), "PINK",
  A641="CRWD", "BLUE",
  A641="PASS", "WHITE"
)</f>
        <v>#N/A</v>
      </c>
    </row>
    <row r="642" spans="1:23" x14ac:dyDescent="0.25">
      <c r="A642" s="7"/>
      <c r="B642" s="7"/>
      <c r="C642" s="4"/>
      <c r="D642" s="25"/>
      <c r="E642" s="29"/>
      <c r="G642" s="30"/>
      <c r="H642" s="30"/>
      <c r="I642" s="3"/>
      <c r="J642" s="17"/>
      <c r="K642" s="17"/>
      <c r="L642" s="18"/>
      <c r="M642" s="3"/>
      <c r="P642" s="3"/>
      <c r="Q642" s="4"/>
      <c r="R642" s="19"/>
      <c r="S642" s="20"/>
      <c r="T642" s="30"/>
      <c r="U642" s="3" t="str">
        <f t="shared" si="22"/>
        <v/>
      </c>
      <c r="V642" s="4" t="str">
        <f t="shared" si="23"/>
        <v/>
      </c>
      <c r="W642" s="21" t="e" cm="1">
        <f t="array" ref="W642">_xlfn.IFS(
  A642="BELL", "WHITE",
  A642="GAMP", "ORANGE",
  A642="GAMM", "GREEN",
  A642="BWF", "YELLOW",
  OR(A642="TNBE", A642="TNBL", A642="TNBD", A642="TNWC", A642="TNBW", A642="THBS"), "PINK",
  A642="CRWD", "BLUE",
  A642="PASS", "WHITE"
)</f>
        <v>#N/A</v>
      </c>
    </row>
    <row r="643" spans="1:23" x14ac:dyDescent="0.25">
      <c r="A643" s="7"/>
      <c r="B643" s="7"/>
      <c r="C643" s="4"/>
      <c r="D643" s="25"/>
      <c r="E643" s="25"/>
      <c r="G643" s="30"/>
      <c r="H643" s="30"/>
      <c r="I643" s="3"/>
      <c r="J643" s="17"/>
      <c r="K643" s="17"/>
      <c r="L643" s="18"/>
      <c r="M643" s="3"/>
      <c r="P643" s="3"/>
      <c r="Q643" s="4"/>
      <c r="R643" s="19"/>
      <c r="S643" s="20"/>
      <c r="T643" s="30"/>
      <c r="U643" s="3" t="str">
        <f t="shared" si="22"/>
        <v/>
      </c>
      <c r="V643" s="4" t="str">
        <f t="shared" si="23"/>
        <v/>
      </c>
      <c r="W643" s="21" t="e" cm="1">
        <f t="array" ref="W643">_xlfn.IFS(
  A643="BELL", "WHITE",
  A643="GAMP", "ORANGE",
  A643="GAMM", "GREEN",
  A643="BWF", "YELLOW",
  OR(A643="TNBE", A643="TNBL", A643="TNBD", A643="TNWC", A643="TNBW", A643="THBS"), "PINK",
  A643="CRWD", "BLUE",
  A643="PASS", "WHITE"
)</f>
        <v>#N/A</v>
      </c>
    </row>
    <row r="644" spans="1:23" x14ac:dyDescent="0.25">
      <c r="A644" s="7"/>
      <c r="B644" s="26"/>
      <c r="C644" s="4"/>
      <c r="D644" s="31"/>
      <c r="E644" s="31"/>
      <c r="G644" s="30"/>
      <c r="H644" s="30"/>
      <c r="I644" s="3"/>
      <c r="J644" s="17"/>
      <c r="K644" s="17"/>
      <c r="L644" s="18"/>
      <c r="M644" s="3"/>
      <c r="P644" s="3"/>
      <c r="Q644" s="4"/>
      <c r="R644" s="19"/>
      <c r="S644" s="20"/>
      <c r="T644" s="30"/>
      <c r="U644" s="3" t="str">
        <f t="shared" ref="U644:U707" si="24">IF(T644="","",IF(T644&gt;I644,H644,T644/G644))</f>
        <v/>
      </c>
      <c r="V644" s="4" t="str">
        <f t="shared" ref="V644:V707" si="25">IF(T644&gt;I644,T644-I644,"")</f>
        <v/>
      </c>
      <c r="W644" s="21" t="e" cm="1">
        <f t="array" ref="W644">_xlfn.IFS(
  A644="BELL", "WHITE",
  A644="GAMP", "ORANGE",
  A644="GAMM", "GREEN",
  A644="BWF", "YELLOW",
  OR(A644="TNBE", A644="TNBL", A644="TNBD", A644="TNWC", A644="TNBW", A644="THBS"), "PINK",
  A644="CRWD", "BLUE",
  A644="PASS", "WHITE"
)</f>
        <v>#N/A</v>
      </c>
    </row>
    <row r="645" spans="1:23" x14ac:dyDescent="0.25">
      <c r="A645" s="7"/>
      <c r="B645" s="26"/>
      <c r="C645" s="4"/>
      <c r="D645" s="26"/>
      <c r="E645" s="26"/>
      <c r="G645" s="30"/>
      <c r="H645" s="30"/>
      <c r="I645" s="3"/>
      <c r="J645" s="17"/>
      <c r="K645" s="17"/>
      <c r="L645" s="18"/>
      <c r="M645" s="3"/>
      <c r="P645" s="3"/>
      <c r="Q645" s="4"/>
      <c r="R645" s="19"/>
      <c r="S645" s="20"/>
      <c r="T645" s="30"/>
      <c r="U645" s="3" t="str">
        <f t="shared" si="24"/>
        <v/>
      </c>
      <c r="V645" s="4" t="str">
        <f t="shared" si="25"/>
        <v/>
      </c>
      <c r="W645" s="21" t="e" cm="1">
        <f t="array" ref="W645">_xlfn.IFS(
  A645="BELL", "WHITE",
  A645="GAMP", "ORANGE",
  A645="GAMM", "GREEN",
  A645="BWF", "YELLOW",
  OR(A645="TNBE", A645="TNBL", A645="TNBD", A645="TNWC", A645="TNBW", A645="THBS"), "PINK",
  A645="CRWD", "BLUE",
  A645="PASS", "WHITE"
)</f>
        <v>#N/A</v>
      </c>
    </row>
    <row r="646" spans="1:23" x14ac:dyDescent="0.25">
      <c r="A646" s="7"/>
      <c r="B646" s="26"/>
      <c r="C646" s="4"/>
      <c r="D646" s="26"/>
      <c r="E646" s="26"/>
      <c r="G646" s="30"/>
      <c r="H646" s="30"/>
      <c r="I646" s="3"/>
      <c r="J646" s="17"/>
      <c r="K646" s="17"/>
      <c r="L646" s="18"/>
      <c r="M646" s="3"/>
      <c r="P646" s="3"/>
      <c r="Q646" s="4"/>
      <c r="R646" s="19"/>
      <c r="S646" s="20"/>
      <c r="T646" s="30"/>
      <c r="U646" s="3" t="str">
        <f t="shared" si="24"/>
        <v/>
      </c>
      <c r="V646" s="4" t="str">
        <f t="shared" si="25"/>
        <v/>
      </c>
      <c r="W646" s="21" t="e" cm="1">
        <f t="array" ref="W646">_xlfn.IFS(
  A646="BELL", "WHITE",
  A646="GAMP", "ORANGE",
  A646="GAMM", "GREEN",
  A646="BWF", "YELLOW",
  OR(A646="TNBE", A646="TNBL", A646="TNBD", A646="TNWC", A646="TNBW", A646="THBS"), "PINK",
  A646="CRWD", "BLUE",
  A646="PASS", "WHITE"
)</f>
        <v>#N/A</v>
      </c>
    </row>
    <row r="647" spans="1:23" x14ac:dyDescent="0.25">
      <c r="A647" s="7"/>
      <c r="B647" s="26"/>
      <c r="C647" s="4"/>
      <c r="D647" s="26"/>
      <c r="E647" s="26"/>
      <c r="G647" s="30"/>
      <c r="H647" s="30"/>
      <c r="I647" s="3"/>
      <c r="J647" s="17"/>
      <c r="K647" s="17"/>
      <c r="L647" s="18"/>
      <c r="M647" s="3"/>
      <c r="P647" s="3"/>
      <c r="Q647" s="4"/>
      <c r="R647" s="19"/>
      <c r="S647" s="20"/>
      <c r="T647" s="30"/>
      <c r="U647" s="3" t="str">
        <f t="shared" si="24"/>
        <v/>
      </c>
      <c r="V647" s="4" t="str">
        <f t="shared" si="25"/>
        <v/>
      </c>
      <c r="W647" s="21" t="e" cm="1">
        <f t="array" ref="W647">_xlfn.IFS(
  A647="BELL", "WHITE",
  A647="GAMP", "ORANGE",
  A647="GAMM", "GREEN",
  A647="BWF", "YELLOW",
  OR(A647="TNBE", A647="TNBL", A647="TNBD", A647="TNWC", A647="TNBW", A647="THBS"), "PINK",
  A647="CRWD", "BLUE",
  A647="PASS", "WHITE"
)</f>
        <v>#N/A</v>
      </c>
    </row>
    <row r="648" spans="1:23" x14ac:dyDescent="0.25">
      <c r="A648" s="7"/>
      <c r="B648" s="26"/>
      <c r="C648" s="4"/>
      <c r="D648" s="26"/>
      <c r="E648" s="26"/>
      <c r="G648" s="30"/>
      <c r="H648" s="30"/>
      <c r="I648" s="3"/>
      <c r="J648" s="17"/>
      <c r="K648" s="17"/>
      <c r="L648" s="18"/>
      <c r="M648" s="18"/>
      <c r="P648" s="3"/>
      <c r="Q648" s="4"/>
      <c r="R648" s="19"/>
      <c r="S648" s="20"/>
      <c r="T648" s="30"/>
      <c r="U648" s="3" t="str">
        <f t="shared" si="24"/>
        <v/>
      </c>
      <c r="V648" s="4" t="str">
        <f t="shared" si="25"/>
        <v/>
      </c>
      <c r="W648" s="21" t="e" cm="1">
        <f t="array" ref="W648">_xlfn.IFS(
  A648="BELL", "WHITE",
  A648="GAMP", "ORANGE",
  A648="GAMM", "GREEN",
  A648="BWF", "YELLOW",
  OR(A648="TNBE", A648="TNBL", A648="TNBD", A648="TNWC", A648="TNBW", A648="THBS"), "PINK",
  A648="CRWD", "BLUE",
  A648="PASS", "WHITE"
)</f>
        <v>#N/A</v>
      </c>
    </row>
    <row r="649" spans="1:23" x14ac:dyDescent="0.25">
      <c r="A649" s="7"/>
      <c r="B649" s="26"/>
      <c r="C649" s="4"/>
      <c r="D649" s="26"/>
      <c r="E649" s="26"/>
      <c r="G649" s="30"/>
      <c r="H649" s="30"/>
      <c r="I649" s="3"/>
      <c r="J649" s="17"/>
      <c r="K649" s="17"/>
      <c r="L649" s="18"/>
      <c r="M649" s="3"/>
      <c r="P649" s="3"/>
      <c r="Q649" s="4"/>
      <c r="R649" s="19"/>
      <c r="S649" s="20"/>
      <c r="T649" s="30"/>
      <c r="U649" s="3" t="str">
        <f t="shared" si="24"/>
        <v/>
      </c>
      <c r="V649" s="4" t="str">
        <f t="shared" si="25"/>
        <v/>
      </c>
      <c r="W649" s="21" t="e" cm="1">
        <f t="array" ref="W649">_xlfn.IFS(
  A649="BELL", "WHITE",
  A649="GAMP", "ORANGE",
  A649="GAMM", "GREEN",
  A649="BWF", "YELLOW",
  OR(A649="TNBE", A649="TNBL", A649="TNBD", A649="TNWC", A649="TNBW", A649="THBS"), "PINK",
  A649="CRWD", "BLUE",
  A649="PASS", "WHITE"
)</f>
        <v>#N/A</v>
      </c>
    </row>
    <row r="650" spans="1:23" x14ac:dyDescent="0.25">
      <c r="A650" s="7"/>
      <c r="B650" s="26"/>
      <c r="C650" s="4"/>
      <c r="D650" s="26"/>
      <c r="E650" s="26"/>
      <c r="G650" s="30"/>
      <c r="H650" s="30"/>
      <c r="I650" s="3"/>
      <c r="J650" s="17"/>
      <c r="K650" s="17"/>
      <c r="L650" s="18"/>
      <c r="M650" s="3"/>
      <c r="P650" s="3"/>
      <c r="Q650" s="4"/>
      <c r="R650" s="19"/>
      <c r="S650" s="20"/>
      <c r="T650" s="30"/>
      <c r="U650" s="3" t="str">
        <f t="shared" si="24"/>
        <v/>
      </c>
      <c r="V650" s="4" t="str">
        <f t="shared" si="25"/>
        <v/>
      </c>
      <c r="W650" s="21" t="e" cm="1">
        <f t="array" ref="W650">_xlfn.IFS(
  A650="BELL", "WHITE",
  A650="GAMP", "ORANGE",
  A650="GAMM", "GREEN",
  A650="BWF", "YELLOW",
  OR(A650="TNBE", A650="TNBL", A650="TNBD", A650="TNWC", A650="TNBW", A650="THBS"), "PINK",
  A650="CRWD", "BLUE",
  A650="PASS", "WHITE"
)</f>
        <v>#N/A</v>
      </c>
    </row>
    <row r="651" spans="1:23" x14ac:dyDescent="0.25">
      <c r="A651" s="7"/>
      <c r="B651" s="26"/>
      <c r="C651" s="4"/>
      <c r="D651" s="26"/>
      <c r="E651" s="26"/>
      <c r="G651" s="30"/>
      <c r="H651" s="30"/>
      <c r="I651" s="3"/>
      <c r="J651" s="17"/>
      <c r="K651" s="17"/>
      <c r="L651" s="18"/>
      <c r="M651" s="3"/>
      <c r="P651" s="3"/>
      <c r="Q651" s="4"/>
      <c r="R651" s="19"/>
      <c r="S651" s="20"/>
      <c r="T651" s="30"/>
      <c r="U651" s="3" t="str">
        <f t="shared" si="24"/>
        <v/>
      </c>
      <c r="V651" s="4" t="str">
        <f t="shared" si="25"/>
        <v/>
      </c>
      <c r="W651" s="21" t="e" cm="1">
        <f t="array" ref="W651">_xlfn.IFS(
  A651="BELL", "WHITE",
  A651="GAMP", "ORANGE",
  A651="GAMM", "GREEN",
  A651="BWF", "YELLOW",
  OR(A651="TNBE", A651="TNBL", A651="TNBD", A651="TNWC", A651="TNBW", A651="THBS"), "PINK",
  A651="CRWD", "BLUE",
  A651="PASS", "WHITE"
)</f>
        <v>#N/A</v>
      </c>
    </row>
    <row r="652" spans="1:23" x14ac:dyDescent="0.25">
      <c r="A652" s="7"/>
      <c r="B652" s="26"/>
      <c r="C652" s="4"/>
      <c r="D652" s="26"/>
      <c r="E652" s="26"/>
      <c r="G652" s="30"/>
      <c r="H652" s="30"/>
      <c r="I652" s="3"/>
      <c r="J652" s="17"/>
      <c r="K652" s="17"/>
      <c r="L652" s="18"/>
      <c r="M652" s="3"/>
      <c r="P652" s="3"/>
      <c r="Q652" s="4"/>
      <c r="R652" s="19"/>
      <c r="S652" s="20"/>
      <c r="T652" s="30"/>
      <c r="U652" s="3" t="str">
        <f t="shared" si="24"/>
        <v/>
      </c>
      <c r="V652" s="4" t="str">
        <f t="shared" si="25"/>
        <v/>
      </c>
      <c r="W652" s="21" t="e" cm="1">
        <f t="array" ref="W652">_xlfn.IFS(
  A652="BELL", "WHITE",
  A652="GAMP", "ORANGE",
  A652="GAMM", "GREEN",
  A652="BWF", "YELLOW",
  OR(A652="TNBE", A652="TNBL", A652="TNBD", A652="TNWC", A652="TNBW", A652="THBS"), "PINK",
  A652="CRWD", "BLUE",
  A652="PASS", "WHITE"
)</f>
        <v>#N/A</v>
      </c>
    </row>
    <row r="653" spans="1:23" x14ac:dyDescent="0.25">
      <c r="A653" s="7"/>
      <c r="B653" s="26"/>
      <c r="C653" s="4"/>
      <c r="D653" s="26"/>
      <c r="E653" s="26"/>
      <c r="G653" s="30"/>
      <c r="H653" s="30"/>
      <c r="I653" s="3"/>
      <c r="J653" s="17"/>
      <c r="K653" s="17"/>
      <c r="L653" s="18"/>
      <c r="M653" s="3"/>
      <c r="P653" s="3"/>
      <c r="Q653" s="4"/>
      <c r="R653" s="19"/>
      <c r="S653" s="20"/>
      <c r="T653" s="30"/>
      <c r="U653" s="3" t="str">
        <f t="shared" si="24"/>
        <v/>
      </c>
      <c r="V653" s="4" t="str">
        <f t="shared" si="25"/>
        <v/>
      </c>
      <c r="W653" s="21" t="e" cm="1">
        <f t="array" ref="W653">_xlfn.IFS(
  A653="BELL", "WHITE",
  A653="GAMP", "ORANGE",
  A653="GAMM", "GREEN",
  A653="BWF", "YELLOW",
  OR(A653="TNBE", A653="TNBL", A653="TNBD", A653="TNWC", A653="TNBW", A653="THBS"), "PINK",
  A653="CRWD", "BLUE",
  A653="PASS", "WHITE"
)</f>
        <v>#N/A</v>
      </c>
    </row>
    <row r="654" spans="1:23" x14ac:dyDescent="0.25">
      <c r="A654" s="7"/>
      <c r="B654" s="31"/>
      <c r="C654" s="4"/>
      <c r="D654" s="27"/>
      <c r="E654" s="26"/>
      <c r="G654" s="30"/>
      <c r="H654" s="30"/>
      <c r="I654" s="3"/>
      <c r="J654" s="17"/>
      <c r="K654" s="17"/>
      <c r="L654" s="18"/>
      <c r="M654" s="3"/>
      <c r="P654" s="3"/>
      <c r="Q654" s="4"/>
      <c r="R654" s="19"/>
      <c r="S654" s="20"/>
      <c r="T654" s="30"/>
      <c r="U654" s="3" t="str">
        <f t="shared" si="24"/>
        <v/>
      </c>
      <c r="V654" s="4" t="str">
        <f t="shared" si="25"/>
        <v/>
      </c>
      <c r="W654" s="21" t="e" cm="1">
        <f t="array" ref="W654">_xlfn.IFS(
  A654="BELL", "WHITE",
  A654="GAMP", "ORANGE",
  A654="GAMM", "GREEN",
  A654="BWF", "YELLOW",
  OR(A654="TNBE", A654="TNBL", A654="TNBD", A654="TNWC", A654="TNBW", A654="THBS"), "PINK",
  A654="CRWD", "BLUE",
  A654="PASS", "WHITE"
)</f>
        <v>#N/A</v>
      </c>
    </row>
    <row r="655" spans="1:23" x14ac:dyDescent="0.25">
      <c r="A655" s="7"/>
      <c r="B655" s="31"/>
      <c r="C655" s="4"/>
      <c r="D655" s="27"/>
      <c r="E655" s="26"/>
      <c r="G655" s="30"/>
      <c r="H655" s="30"/>
      <c r="I655" s="3"/>
      <c r="J655" s="17"/>
      <c r="K655" s="17"/>
      <c r="L655" s="18"/>
      <c r="M655" s="3"/>
      <c r="P655" s="3"/>
      <c r="Q655" s="4"/>
      <c r="R655" s="19"/>
      <c r="S655" s="20"/>
      <c r="T655" s="30"/>
      <c r="U655" s="3" t="str">
        <f t="shared" si="24"/>
        <v/>
      </c>
      <c r="V655" s="4" t="str">
        <f t="shared" si="25"/>
        <v/>
      </c>
      <c r="W655" s="21" t="e" cm="1">
        <f t="array" ref="W655">_xlfn.IFS(
  A655="BELL", "WHITE",
  A655="GAMP", "ORANGE",
  A655="GAMM", "GREEN",
  A655="BWF", "YELLOW",
  OR(A655="TNBE", A655="TNBL", A655="TNBD", A655="TNWC", A655="TNBW", A655="THBS"), "PINK",
  A655="CRWD", "BLUE",
  A655="PASS", "WHITE"
)</f>
        <v>#N/A</v>
      </c>
    </row>
    <row r="656" spans="1:23" x14ac:dyDescent="0.25">
      <c r="A656" s="7"/>
      <c r="B656" s="31"/>
      <c r="C656" s="4"/>
      <c r="D656" s="27"/>
      <c r="E656" s="26"/>
      <c r="G656" s="30"/>
      <c r="H656" s="30"/>
      <c r="I656" s="3"/>
      <c r="J656" s="17"/>
      <c r="K656" s="17"/>
      <c r="L656" s="18"/>
      <c r="M656" s="3"/>
      <c r="P656" s="3"/>
      <c r="Q656" s="4"/>
      <c r="R656" s="19"/>
      <c r="S656" s="20"/>
      <c r="T656" s="30"/>
      <c r="U656" s="3" t="str">
        <f t="shared" si="24"/>
        <v/>
      </c>
      <c r="V656" s="4" t="str">
        <f t="shared" si="25"/>
        <v/>
      </c>
      <c r="W656" s="21" t="e" cm="1">
        <f t="array" ref="W656">_xlfn.IFS(
  A656="BELL", "WHITE",
  A656="GAMP", "ORANGE",
  A656="GAMM", "GREEN",
  A656="BWF", "YELLOW",
  OR(A656="TNBE", A656="TNBL", A656="TNBD", A656="TNWC", A656="TNBW", A656="THBS"), "PINK",
  A656="CRWD", "BLUE",
  A656="PASS", "WHITE"
)</f>
        <v>#N/A</v>
      </c>
    </row>
    <row r="657" spans="1:23" x14ac:dyDescent="0.25">
      <c r="A657" s="7"/>
      <c r="B657" s="31"/>
      <c r="C657" s="4"/>
      <c r="D657" s="27"/>
      <c r="E657" s="26"/>
      <c r="G657" s="30"/>
      <c r="H657" s="30"/>
      <c r="I657" s="3"/>
      <c r="J657" s="17"/>
      <c r="K657" s="17"/>
      <c r="L657" s="18"/>
      <c r="M657" s="3"/>
      <c r="P657" s="3"/>
      <c r="Q657" s="4"/>
      <c r="R657" s="19"/>
      <c r="S657" s="20"/>
      <c r="T657" s="30"/>
      <c r="U657" s="3" t="str">
        <f t="shared" si="24"/>
        <v/>
      </c>
      <c r="V657" s="4" t="str">
        <f t="shared" si="25"/>
        <v/>
      </c>
      <c r="W657" s="21" t="e" cm="1">
        <f t="array" ref="W657">_xlfn.IFS(
  A657="BELL", "WHITE",
  A657="GAMP", "ORANGE",
  A657="GAMM", "GREEN",
  A657="BWF", "YELLOW",
  OR(A657="TNBE", A657="TNBL", A657="TNBD", A657="TNWC", A657="TNBW", A657="THBS"), "PINK",
  A657="CRWD", "BLUE",
  A657="PASS", "WHITE"
)</f>
        <v>#N/A</v>
      </c>
    </row>
    <row r="658" spans="1:23" x14ac:dyDescent="0.25">
      <c r="A658" s="7"/>
      <c r="B658" s="31"/>
      <c r="C658" s="4"/>
      <c r="D658" s="27"/>
      <c r="E658" s="26"/>
      <c r="G658" s="30"/>
      <c r="H658" s="30"/>
      <c r="I658" s="3"/>
      <c r="J658" s="17"/>
      <c r="K658" s="17"/>
      <c r="L658" s="18"/>
      <c r="M658" s="3"/>
      <c r="P658" s="3"/>
      <c r="Q658" s="4"/>
      <c r="R658" s="19"/>
      <c r="S658" s="20"/>
      <c r="T658" s="30"/>
      <c r="U658" s="3" t="str">
        <f t="shared" si="24"/>
        <v/>
      </c>
      <c r="V658" s="4" t="str">
        <f t="shared" si="25"/>
        <v/>
      </c>
      <c r="W658" s="21" t="e" cm="1">
        <f t="array" ref="W658">_xlfn.IFS(
  A658="BELL", "WHITE",
  A658="GAMP", "ORANGE",
  A658="GAMM", "GREEN",
  A658="BWF", "YELLOW",
  OR(A658="TNBE", A658="TNBL", A658="TNBD", A658="TNWC", A658="TNBW", A658="THBS"), "PINK",
  A658="CRWD", "BLUE",
  A658="PASS", "WHITE"
)</f>
        <v>#N/A</v>
      </c>
    </row>
    <row r="659" spans="1:23" x14ac:dyDescent="0.25">
      <c r="A659" s="7"/>
      <c r="B659" s="31"/>
      <c r="C659" s="4"/>
      <c r="D659" s="27"/>
      <c r="E659" s="26"/>
      <c r="G659" s="30"/>
      <c r="H659" s="30"/>
      <c r="I659" s="3"/>
      <c r="J659" s="17"/>
      <c r="K659" s="17"/>
      <c r="L659" s="18"/>
      <c r="M659" s="3"/>
      <c r="P659" s="3"/>
      <c r="Q659" s="4"/>
      <c r="R659" s="19"/>
      <c r="S659" s="20"/>
      <c r="T659" s="30"/>
      <c r="U659" s="3" t="str">
        <f t="shared" si="24"/>
        <v/>
      </c>
      <c r="V659" s="4" t="str">
        <f t="shared" si="25"/>
        <v/>
      </c>
      <c r="W659" s="21" t="e" cm="1">
        <f t="array" ref="W659">_xlfn.IFS(
  A659="BELL", "WHITE",
  A659="GAMP", "ORANGE",
  A659="GAMM", "GREEN",
  A659="BWF", "YELLOW",
  OR(A659="TNBE", A659="TNBL", A659="TNBD", A659="TNWC", A659="TNBW", A659="THBS"), "PINK",
  A659="CRWD", "BLUE",
  A659="PASS", "WHITE"
)</f>
        <v>#N/A</v>
      </c>
    </row>
    <row r="660" spans="1:23" x14ac:dyDescent="0.25">
      <c r="A660" s="7"/>
      <c r="B660" s="31"/>
      <c r="C660" s="4"/>
      <c r="D660" s="27"/>
      <c r="E660" s="26"/>
      <c r="G660" s="30"/>
      <c r="H660" s="30"/>
      <c r="I660" s="3"/>
      <c r="J660" s="17"/>
      <c r="K660" s="17"/>
      <c r="L660" s="18"/>
      <c r="M660" s="3"/>
      <c r="P660" s="3"/>
      <c r="Q660" s="4"/>
      <c r="R660" s="19"/>
      <c r="S660" s="20"/>
      <c r="T660" s="30"/>
      <c r="U660" s="3" t="str">
        <f t="shared" si="24"/>
        <v/>
      </c>
      <c r="V660" s="4" t="str">
        <f t="shared" si="25"/>
        <v/>
      </c>
      <c r="W660" s="21" t="e" cm="1">
        <f t="array" ref="W660">_xlfn.IFS(
  A660="BELL", "WHITE",
  A660="GAMP", "ORANGE",
  A660="GAMM", "GREEN",
  A660="BWF", "YELLOW",
  OR(A660="TNBE", A660="TNBL", A660="TNBD", A660="TNWC", A660="TNBW", A660="THBS"), "PINK",
  A660="CRWD", "BLUE",
  A660="PASS", "WHITE"
)</f>
        <v>#N/A</v>
      </c>
    </row>
    <row r="661" spans="1:23" x14ac:dyDescent="0.25">
      <c r="A661" s="7"/>
      <c r="B661" s="31"/>
      <c r="C661" s="4"/>
      <c r="D661" s="1"/>
      <c r="E661" s="26"/>
      <c r="G661" s="30"/>
      <c r="H661" s="30"/>
      <c r="I661" s="3"/>
      <c r="J661" s="17"/>
      <c r="K661" s="17"/>
      <c r="L661" s="18"/>
      <c r="M661" s="18"/>
      <c r="P661" s="3"/>
      <c r="Q661" s="4"/>
      <c r="R661" s="19"/>
      <c r="S661" s="20"/>
      <c r="T661" s="30"/>
      <c r="U661" s="3" t="str">
        <f t="shared" si="24"/>
        <v/>
      </c>
      <c r="V661" s="4" t="str">
        <f t="shared" si="25"/>
        <v/>
      </c>
      <c r="W661" s="21" t="e" cm="1">
        <f t="array" ref="W661">_xlfn.IFS(
  A661="BELL", "WHITE",
  A661="GAMP", "ORANGE",
  A661="GAMM", "GREEN",
  A661="BWF", "YELLOW",
  OR(A661="TNBE", A661="TNBL", A661="TNBD", A661="TNWC", A661="TNBW", A661="THBS"), "PINK",
  A661="CRWD", "BLUE",
  A661="PASS", "WHITE"
)</f>
        <v>#N/A</v>
      </c>
    </row>
    <row r="662" spans="1:23" x14ac:dyDescent="0.25">
      <c r="A662" s="7"/>
      <c r="B662" s="31"/>
      <c r="C662" s="4"/>
      <c r="D662" s="1"/>
      <c r="E662" s="26"/>
      <c r="G662" s="30"/>
      <c r="H662" s="30"/>
      <c r="I662" s="3"/>
      <c r="J662" s="17"/>
      <c r="K662" s="17"/>
      <c r="L662" s="18"/>
      <c r="M662" s="18"/>
      <c r="P662" s="3"/>
      <c r="Q662" s="4"/>
      <c r="R662" s="19"/>
      <c r="S662" s="20"/>
      <c r="T662" s="30"/>
      <c r="U662" s="3" t="str">
        <f t="shared" si="24"/>
        <v/>
      </c>
      <c r="V662" s="4" t="str">
        <f t="shared" si="25"/>
        <v/>
      </c>
      <c r="W662" s="21" t="e" cm="1">
        <f t="array" ref="W662">_xlfn.IFS(
  A662="BELL", "WHITE",
  A662="GAMP", "ORANGE",
  A662="GAMM", "GREEN",
  A662="BWF", "YELLOW",
  OR(A662="TNBE", A662="TNBL", A662="TNBD", A662="TNWC", A662="TNBW", A662="THBS"), "PINK",
  A662="CRWD", "BLUE",
  A662="PASS", "WHITE"
)</f>
        <v>#N/A</v>
      </c>
    </row>
    <row r="663" spans="1:23" x14ac:dyDescent="0.25">
      <c r="A663" s="7"/>
      <c r="B663" s="26"/>
      <c r="C663" s="4"/>
      <c r="D663" s="1"/>
      <c r="E663" s="26"/>
      <c r="G663" s="30"/>
      <c r="H663" s="30"/>
      <c r="I663" s="3"/>
      <c r="J663" s="17"/>
      <c r="K663" s="17"/>
      <c r="L663" s="18"/>
      <c r="M663" s="18"/>
      <c r="P663" s="3"/>
      <c r="Q663" s="4"/>
      <c r="R663" s="19"/>
      <c r="S663" s="20"/>
      <c r="T663" s="30"/>
      <c r="U663" s="3" t="str">
        <f t="shared" si="24"/>
        <v/>
      </c>
      <c r="V663" s="4" t="str">
        <f t="shared" si="25"/>
        <v/>
      </c>
      <c r="W663" s="21" t="e" cm="1">
        <f t="array" ref="W663">_xlfn.IFS(
  A663="BELL", "WHITE",
  A663="GAMP", "ORANGE",
  A663="GAMM", "GREEN",
  A663="BWF", "YELLOW",
  OR(A663="TNBE", A663="TNBL", A663="TNBD", A663="TNWC", A663="TNBW", A663="THBS"), "PINK",
  A663="CRWD", "BLUE",
  A663="PASS", "WHITE"
)</f>
        <v>#N/A</v>
      </c>
    </row>
    <row r="664" spans="1:23" x14ac:dyDescent="0.25">
      <c r="A664" s="7"/>
      <c r="B664" s="7"/>
      <c r="C664" s="4"/>
      <c r="I664" s="3"/>
      <c r="J664" s="17"/>
      <c r="K664" s="17"/>
      <c r="L664" s="18"/>
      <c r="M664" s="3"/>
      <c r="P664" s="3"/>
      <c r="Q664" s="4"/>
      <c r="R664" s="19"/>
      <c r="S664" s="20"/>
      <c r="U664" s="3" t="str">
        <f t="shared" si="24"/>
        <v/>
      </c>
      <c r="V664" s="4" t="str">
        <f t="shared" si="25"/>
        <v/>
      </c>
      <c r="W664" s="21" t="e" cm="1">
        <f t="array" ref="W664">_xlfn.IFS(
  A664="BELL", "WHITE",
  A664="GAMP", "ORANGE",
  A664="GAMM", "GREEN",
  A664="BWF", "YELLOW",
  OR(A664="TNBE", A664="TNBL", A664="TNBD", A664="TNWC", A664="TNBW", A664="THBS"), "PINK",
  A664="CRWD", "BLUE",
  A664="PASS", "WHITE"
)</f>
        <v>#N/A</v>
      </c>
    </row>
    <row r="665" spans="1:23" x14ac:dyDescent="0.25">
      <c r="A665" s="7"/>
      <c r="B665" s="7"/>
      <c r="C665" s="4"/>
      <c r="H665" s="2"/>
      <c r="I665" s="3"/>
      <c r="J665" s="17"/>
      <c r="K665" s="17"/>
      <c r="L665" s="18"/>
      <c r="M665" s="18"/>
      <c r="P665" s="3"/>
      <c r="Q665" s="4"/>
      <c r="R665" s="19"/>
      <c r="S665" s="20"/>
      <c r="U665" s="3" t="str">
        <f t="shared" si="24"/>
        <v/>
      </c>
      <c r="V665" s="4" t="str">
        <f t="shared" si="25"/>
        <v/>
      </c>
      <c r="W665" s="21" t="e" cm="1">
        <f t="array" ref="W665">_xlfn.IFS(
  A665="BELL", "WHITE",
  A665="GAMP", "ORANGE",
  A665="GAMM", "GREEN",
  A665="BWF", "YELLOW",
  OR(A665="TNBE", A665="TNBL", A665="TNBD", A665="TNWC", A665="TNBW", A665="THBS"), "PINK",
  A665="CRWD", "BLUE",
  A665="PASS", "WHITE"
)</f>
        <v>#N/A</v>
      </c>
    </row>
    <row r="666" spans="1:23" x14ac:dyDescent="0.25">
      <c r="A666" s="7"/>
      <c r="B666" s="7"/>
      <c r="C666" s="4"/>
      <c r="I666" s="3"/>
      <c r="J666" s="17"/>
      <c r="K666" s="17"/>
      <c r="L666" s="18"/>
      <c r="M666" s="3"/>
      <c r="P666" s="3"/>
      <c r="Q666" s="4"/>
      <c r="R666" s="19"/>
      <c r="S666" s="20"/>
      <c r="U666" s="3" t="str">
        <f t="shared" si="24"/>
        <v/>
      </c>
      <c r="V666" s="4" t="str">
        <f t="shared" si="25"/>
        <v/>
      </c>
      <c r="W666" s="21" t="e" cm="1">
        <f t="array" ref="W666">_xlfn.IFS(
  A666="BELL", "WHITE",
  A666="GAMP", "ORANGE",
  A666="GAMM", "GREEN",
  A666="BWF", "YELLOW",
  OR(A666="TNBE", A666="TNBL", A666="TNBD", A666="TNWC", A666="TNBW", A666="THBS"), "PINK",
  A666="CRWD", "BLUE",
  A666="PASS", "WHITE"
)</f>
        <v>#N/A</v>
      </c>
    </row>
    <row r="667" spans="1:23" x14ac:dyDescent="0.25">
      <c r="A667" s="7"/>
      <c r="B667" s="7"/>
      <c r="C667" s="4"/>
      <c r="I667" s="3"/>
      <c r="J667" s="17"/>
      <c r="K667" s="17"/>
      <c r="L667" s="18"/>
      <c r="M667" s="3"/>
      <c r="P667" s="3"/>
      <c r="Q667" s="4"/>
      <c r="R667" s="19"/>
      <c r="S667" s="20"/>
      <c r="U667" s="3" t="str">
        <f t="shared" si="24"/>
        <v/>
      </c>
      <c r="V667" s="4" t="str">
        <f t="shared" si="25"/>
        <v/>
      </c>
      <c r="W667" s="21" t="e" cm="1">
        <f t="array" ref="W667">_xlfn.IFS(
  A667="BELL", "WHITE",
  A667="GAMP", "ORANGE",
  A667="GAMM", "GREEN",
  A667="BWF", "YELLOW",
  OR(A667="TNBE", A667="TNBL", A667="TNBD", A667="TNWC", A667="TNBW", A667="THBS"), "PINK",
  A667="CRWD", "BLUE",
  A667="PASS", "WHITE"
)</f>
        <v>#N/A</v>
      </c>
    </row>
    <row r="668" spans="1:23" x14ac:dyDescent="0.25">
      <c r="A668" s="7"/>
      <c r="B668" s="7"/>
      <c r="C668" s="4"/>
      <c r="I668" s="3"/>
      <c r="J668" s="17"/>
      <c r="K668" s="17"/>
      <c r="L668" s="18"/>
      <c r="M668" s="3"/>
      <c r="P668" s="3"/>
      <c r="Q668" s="4"/>
      <c r="R668" s="19"/>
      <c r="S668" s="20"/>
      <c r="U668" s="3" t="str">
        <f t="shared" si="24"/>
        <v/>
      </c>
      <c r="V668" s="4" t="str">
        <f t="shared" si="25"/>
        <v/>
      </c>
      <c r="W668" s="21" t="e" cm="1">
        <f t="array" ref="W668">_xlfn.IFS(
  A668="BELL", "WHITE",
  A668="GAMP", "ORANGE",
  A668="GAMM", "GREEN",
  A668="BWF", "YELLOW",
  OR(A668="TNBE", A668="TNBL", A668="TNBD", A668="TNWC", A668="TNBW", A668="THBS"), "PINK",
  A668="CRWD", "BLUE",
  A668="PASS", "WHITE"
)</f>
        <v>#N/A</v>
      </c>
    </row>
    <row r="669" spans="1:23" x14ac:dyDescent="0.25">
      <c r="A669" s="7"/>
      <c r="B669" s="7"/>
      <c r="C669" s="4"/>
      <c r="I669" s="3"/>
      <c r="J669" s="17"/>
      <c r="K669" s="17"/>
      <c r="L669" s="18"/>
      <c r="M669" s="3"/>
      <c r="P669" s="3"/>
      <c r="Q669" s="4"/>
      <c r="R669" s="19"/>
      <c r="S669" s="20"/>
      <c r="U669" s="3" t="str">
        <f t="shared" si="24"/>
        <v/>
      </c>
      <c r="V669" s="4" t="str">
        <f t="shared" si="25"/>
        <v/>
      </c>
      <c r="W669" s="21" t="e" cm="1">
        <f t="array" ref="W669">_xlfn.IFS(
  A669="BELL", "WHITE",
  A669="GAMP", "ORANGE",
  A669="GAMM", "GREEN",
  A669="BWF", "YELLOW",
  OR(A669="TNBE", A669="TNBL", A669="TNBD", A669="TNWC", A669="TNBW", A669="THBS"), "PINK",
  A669="CRWD", "BLUE",
  A669="PASS", "WHITE"
)</f>
        <v>#N/A</v>
      </c>
    </row>
    <row r="670" spans="1:23" x14ac:dyDescent="0.25">
      <c r="A670" s="7"/>
      <c r="B670" s="7"/>
      <c r="C670" s="4"/>
      <c r="I670" s="3"/>
      <c r="J670" s="17"/>
      <c r="K670" s="17"/>
      <c r="L670" s="18"/>
      <c r="M670" s="3"/>
      <c r="P670" s="3"/>
      <c r="Q670" s="4"/>
      <c r="R670" s="19"/>
      <c r="S670" s="20"/>
      <c r="U670" s="3" t="str">
        <f t="shared" si="24"/>
        <v/>
      </c>
      <c r="V670" s="4" t="str">
        <f t="shared" si="25"/>
        <v/>
      </c>
      <c r="W670" s="21" t="e" cm="1">
        <f t="array" ref="W670">_xlfn.IFS(
  A670="BELL", "WHITE",
  A670="GAMP", "ORANGE",
  A670="GAMM", "GREEN",
  A670="BWF", "YELLOW",
  OR(A670="TNBE", A670="TNBL", A670="TNBD", A670="TNWC", A670="TNBW", A670="THBS"), "PINK",
  A670="CRWD", "BLUE",
  A670="PASS", "WHITE"
)</f>
        <v>#N/A</v>
      </c>
    </row>
    <row r="671" spans="1:23" x14ac:dyDescent="0.25">
      <c r="A671" s="7"/>
      <c r="B671" s="7"/>
      <c r="C671" s="4"/>
      <c r="I671" s="3"/>
      <c r="J671" s="17"/>
      <c r="K671" s="17"/>
      <c r="L671" s="18"/>
      <c r="M671" s="3"/>
      <c r="P671" s="3"/>
      <c r="Q671" s="4"/>
      <c r="R671" s="19"/>
      <c r="S671" s="20"/>
      <c r="U671" s="3" t="str">
        <f t="shared" si="24"/>
        <v/>
      </c>
      <c r="V671" s="4" t="str">
        <f t="shared" si="25"/>
        <v/>
      </c>
      <c r="W671" s="21" t="e" cm="1">
        <f t="array" ref="W671">_xlfn.IFS(
  A671="BELL", "WHITE",
  A671="GAMP", "ORANGE",
  A671="GAMM", "GREEN",
  A671="BWF", "YELLOW",
  OR(A671="TNBE", A671="TNBL", A671="TNBD", A671="TNWC", A671="TNBW", A671="THBS"), "PINK",
  A671="CRWD", "BLUE",
  A671="PASS", "WHITE"
)</f>
        <v>#N/A</v>
      </c>
    </row>
    <row r="672" spans="1:23" x14ac:dyDescent="0.25">
      <c r="A672" s="7"/>
      <c r="B672" s="7"/>
      <c r="C672" s="4"/>
      <c r="I672" s="3"/>
      <c r="J672" s="17"/>
      <c r="K672" s="17"/>
      <c r="L672" s="18"/>
      <c r="M672" s="3"/>
      <c r="P672" s="3"/>
      <c r="Q672" s="4"/>
      <c r="R672" s="19"/>
      <c r="S672" s="20"/>
      <c r="U672" s="3" t="str">
        <f t="shared" si="24"/>
        <v/>
      </c>
      <c r="V672" s="4" t="str">
        <f t="shared" si="25"/>
        <v/>
      </c>
      <c r="W672" s="21" t="e" cm="1">
        <f t="array" ref="W672">_xlfn.IFS(
  A672="BELL", "WHITE",
  A672="GAMP", "ORANGE",
  A672="GAMM", "GREEN",
  A672="BWF", "YELLOW",
  OR(A672="TNBE", A672="TNBL", A672="TNBD", A672="TNWC", A672="TNBW", A672="THBS"), "PINK",
  A672="CRWD", "BLUE",
  A672="PASS", "WHITE"
)</f>
        <v>#N/A</v>
      </c>
    </row>
    <row r="673" spans="1:23" x14ac:dyDescent="0.25">
      <c r="A673" s="7"/>
      <c r="B673" s="7"/>
      <c r="C673" s="4"/>
      <c r="I673" s="3"/>
      <c r="J673" s="17"/>
      <c r="K673" s="17"/>
      <c r="L673" s="18"/>
      <c r="M673" s="3"/>
      <c r="P673" s="3"/>
      <c r="Q673" s="4"/>
      <c r="R673" s="19"/>
      <c r="S673" s="20"/>
      <c r="U673" s="3" t="str">
        <f t="shared" si="24"/>
        <v/>
      </c>
      <c r="V673" s="4" t="str">
        <f t="shared" si="25"/>
        <v/>
      </c>
      <c r="W673" s="21" t="e" cm="1">
        <f t="array" ref="W673">_xlfn.IFS(
  A673="BELL", "WHITE",
  A673="GAMP", "ORANGE",
  A673="GAMM", "GREEN",
  A673="BWF", "YELLOW",
  OR(A673="TNBE", A673="TNBL", A673="TNBD", A673="TNWC", A673="TNBW", A673="THBS"), "PINK",
  A673="CRWD", "BLUE",
  A673="PASS", "WHITE"
)</f>
        <v>#N/A</v>
      </c>
    </row>
    <row r="674" spans="1:23" x14ac:dyDescent="0.25">
      <c r="A674" s="7"/>
      <c r="B674" s="7"/>
      <c r="C674" s="4"/>
      <c r="I674" s="3"/>
      <c r="J674" s="17"/>
      <c r="K674" s="17"/>
      <c r="L674" s="18"/>
      <c r="M674" s="3"/>
      <c r="P674" s="3"/>
      <c r="Q674" s="4"/>
      <c r="R674" s="19"/>
      <c r="S674" s="20"/>
      <c r="U674" s="3" t="str">
        <f t="shared" si="24"/>
        <v/>
      </c>
      <c r="V674" s="4" t="str">
        <f t="shared" si="25"/>
        <v/>
      </c>
      <c r="W674" s="21" t="e" cm="1">
        <f t="array" ref="W674">_xlfn.IFS(
  A674="BELL", "WHITE",
  A674="GAMP", "ORANGE",
  A674="GAMM", "GREEN",
  A674="BWF", "YELLOW",
  OR(A674="TNBE", A674="TNBL", A674="TNBD", A674="TNWC", A674="TNBW", A674="THBS"), "PINK",
  A674="CRWD", "BLUE",
  A674="PASS", "WHITE"
)</f>
        <v>#N/A</v>
      </c>
    </row>
    <row r="675" spans="1:23" x14ac:dyDescent="0.25">
      <c r="A675" s="7"/>
      <c r="B675" s="7"/>
      <c r="C675" s="4"/>
      <c r="I675" s="3"/>
      <c r="J675" s="17"/>
      <c r="K675" s="17"/>
      <c r="L675" s="18"/>
      <c r="M675" s="3"/>
      <c r="P675" s="3"/>
      <c r="Q675" s="4"/>
      <c r="R675" s="19"/>
      <c r="S675" s="20"/>
      <c r="U675" s="3" t="str">
        <f t="shared" si="24"/>
        <v/>
      </c>
      <c r="V675" s="4" t="str">
        <f t="shared" si="25"/>
        <v/>
      </c>
      <c r="W675" s="21" t="e" cm="1">
        <f t="array" ref="W675">_xlfn.IFS(
  A675="BELL", "WHITE",
  A675="GAMP", "ORANGE",
  A675="GAMM", "GREEN",
  A675="BWF", "YELLOW",
  OR(A675="TNBE", A675="TNBL", A675="TNBD", A675="TNWC", A675="TNBW", A675="THBS"), "PINK",
  A675="CRWD", "BLUE",
  A675="PASS", "WHITE"
)</f>
        <v>#N/A</v>
      </c>
    </row>
    <row r="676" spans="1:23" x14ac:dyDescent="0.25">
      <c r="A676" s="7"/>
      <c r="B676" s="7"/>
      <c r="C676" s="4"/>
      <c r="I676" s="3"/>
      <c r="J676" s="17"/>
      <c r="K676" s="17"/>
      <c r="L676" s="18"/>
      <c r="M676" s="3"/>
      <c r="P676" s="3"/>
      <c r="Q676" s="4"/>
      <c r="R676" s="19"/>
      <c r="S676" s="20"/>
      <c r="U676" s="3" t="str">
        <f t="shared" si="24"/>
        <v/>
      </c>
      <c r="V676" s="4" t="str">
        <f t="shared" si="25"/>
        <v/>
      </c>
      <c r="W676" s="21" t="e" cm="1">
        <f t="array" ref="W676">_xlfn.IFS(
  A676="BELL", "WHITE",
  A676="GAMP", "ORANGE",
  A676="GAMM", "GREEN",
  A676="BWF", "YELLOW",
  OR(A676="TNBE", A676="TNBL", A676="TNBD", A676="TNWC", A676="TNBW", A676="THBS"), "PINK",
  A676="CRWD", "BLUE",
  A676="PASS", "WHITE"
)</f>
        <v>#N/A</v>
      </c>
    </row>
    <row r="677" spans="1:23" x14ac:dyDescent="0.25">
      <c r="A677" s="7"/>
      <c r="B677" s="7"/>
      <c r="C677" s="4"/>
      <c r="I677" s="3"/>
      <c r="J677" s="17"/>
      <c r="K677" s="17"/>
      <c r="L677" s="18"/>
      <c r="M677" s="3"/>
      <c r="P677" s="3"/>
      <c r="Q677" s="4"/>
      <c r="R677" s="19"/>
      <c r="S677" s="20"/>
      <c r="U677" s="3" t="str">
        <f t="shared" si="24"/>
        <v/>
      </c>
      <c r="V677" s="4" t="str">
        <f t="shared" si="25"/>
        <v/>
      </c>
      <c r="W677" s="21" t="e" cm="1">
        <f t="array" ref="W677">_xlfn.IFS(
  A677="BELL", "WHITE",
  A677="GAMP", "ORANGE",
  A677="GAMM", "GREEN",
  A677="BWF", "YELLOW",
  OR(A677="TNBE", A677="TNBL", A677="TNBD", A677="TNWC", A677="TNBW", A677="THBS"), "PINK",
  A677="CRWD", "BLUE",
  A677="PASS", "WHITE"
)</f>
        <v>#N/A</v>
      </c>
    </row>
    <row r="678" spans="1:23" x14ac:dyDescent="0.25">
      <c r="A678" s="7"/>
      <c r="B678" s="7"/>
      <c r="C678" s="4"/>
      <c r="I678" s="3"/>
      <c r="J678" s="17"/>
      <c r="K678" s="17"/>
      <c r="L678" s="18"/>
      <c r="M678" s="3"/>
      <c r="P678" s="3"/>
      <c r="Q678" s="4"/>
      <c r="R678" s="19"/>
      <c r="S678" s="20"/>
      <c r="U678" s="3" t="str">
        <f t="shared" si="24"/>
        <v/>
      </c>
      <c r="V678" s="4" t="str">
        <f t="shared" si="25"/>
        <v/>
      </c>
      <c r="W678" s="21" t="e" cm="1">
        <f t="array" ref="W678">_xlfn.IFS(
  A678="BELL", "WHITE",
  A678="GAMP", "ORANGE",
  A678="GAMM", "GREEN",
  A678="BWF", "YELLOW",
  OR(A678="TNBE", A678="TNBL", A678="TNBD", A678="TNWC", A678="TNBW", A678="THBS"), "PINK",
  A678="CRWD", "BLUE",
  A678="PASS", "WHITE"
)</f>
        <v>#N/A</v>
      </c>
    </row>
    <row r="679" spans="1:23" x14ac:dyDescent="0.25">
      <c r="A679" s="7"/>
      <c r="B679" s="7"/>
      <c r="C679" s="4"/>
      <c r="I679" s="3"/>
      <c r="J679" s="17"/>
      <c r="K679" s="17"/>
      <c r="L679" s="18"/>
      <c r="M679" s="3"/>
      <c r="P679" s="3"/>
      <c r="Q679" s="4"/>
      <c r="R679" s="19"/>
      <c r="S679" s="20"/>
      <c r="U679" s="3" t="str">
        <f t="shared" si="24"/>
        <v/>
      </c>
      <c r="V679" s="4" t="str">
        <f t="shared" si="25"/>
        <v/>
      </c>
      <c r="W679" s="21" t="e" cm="1">
        <f t="array" ref="W679">_xlfn.IFS(
  A679="BELL", "WHITE",
  A679="GAMP", "ORANGE",
  A679="GAMM", "GREEN",
  A679="BWF", "YELLOW",
  OR(A679="TNBE", A679="TNBL", A679="TNBD", A679="TNWC", A679="TNBW", A679="THBS"), "PINK",
  A679="CRWD", "BLUE",
  A679="PASS", "WHITE"
)</f>
        <v>#N/A</v>
      </c>
    </row>
    <row r="680" spans="1:23" x14ac:dyDescent="0.25">
      <c r="A680" s="7"/>
      <c r="B680" s="7"/>
      <c r="C680" s="4"/>
      <c r="I680" s="3"/>
      <c r="J680" s="17"/>
      <c r="K680" s="17"/>
      <c r="L680" s="18"/>
      <c r="M680" s="3"/>
      <c r="P680" s="3"/>
      <c r="Q680" s="4"/>
      <c r="R680" s="19"/>
      <c r="S680" s="20"/>
      <c r="U680" s="3" t="str">
        <f t="shared" si="24"/>
        <v/>
      </c>
      <c r="V680" s="4" t="str">
        <f t="shared" si="25"/>
        <v/>
      </c>
      <c r="W680" s="21" t="e" cm="1">
        <f t="array" ref="W680">_xlfn.IFS(
  A680="BELL", "WHITE",
  A680="GAMP", "ORANGE",
  A680="GAMM", "GREEN",
  A680="BWF", "YELLOW",
  OR(A680="TNBE", A680="TNBL", A680="TNBD", A680="TNWC", A680="TNBW", A680="THBS"), "PINK",
  A680="CRWD", "BLUE",
  A680="PASS", "WHITE"
)</f>
        <v>#N/A</v>
      </c>
    </row>
    <row r="681" spans="1:23" x14ac:dyDescent="0.25">
      <c r="A681" s="7"/>
      <c r="B681" s="7"/>
      <c r="C681" s="4"/>
      <c r="I681" s="3"/>
      <c r="J681" s="17"/>
      <c r="K681" s="17"/>
      <c r="L681" s="18"/>
      <c r="M681" s="3"/>
      <c r="P681" s="3"/>
      <c r="Q681" s="4"/>
      <c r="R681" s="19"/>
      <c r="S681" s="20"/>
      <c r="U681" s="3" t="str">
        <f t="shared" si="24"/>
        <v/>
      </c>
      <c r="V681" s="4" t="str">
        <f t="shared" si="25"/>
        <v/>
      </c>
      <c r="W681" s="21" t="e" cm="1">
        <f t="array" ref="W681">_xlfn.IFS(
  A681="BELL", "WHITE",
  A681="GAMP", "ORANGE",
  A681="GAMM", "GREEN",
  A681="BWF", "YELLOW",
  OR(A681="TNBE", A681="TNBL", A681="TNBD", A681="TNWC", A681="TNBW", A681="THBS"), "PINK",
  A681="CRWD", "BLUE",
  A681="PASS", "WHITE"
)</f>
        <v>#N/A</v>
      </c>
    </row>
    <row r="682" spans="1:23" x14ac:dyDescent="0.25">
      <c r="A682" s="7"/>
      <c r="B682" s="7"/>
      <c r="C682" s="4"/>
      <c r="I682" s="3"/>
      <c r="J682" s="17"/>
      <c r="K682" s="17"/>
      <c r="L682" s="18"/>
      <c r="M682" s="3"/>
      <c r="P682" s="3"/>
      <c r="Q682" s="4"/>
      <c r="R682" s="19"/>
      <c r="S682" s="20"/>
      <c r="U682" s="3" t="str">
        <f t="shared" si="24"/>
        <v/>
      </c>
      <c r="V682" s="4" t="str">
        <f t="shared" si="25"/>
        <v/>
      </c>
      <c r="W682" s="21" t="e" cm="1">
        <f t="array" ref="W682">_xlfn.IFS(
  A682="BELL", "WHITE",
  A682="GAMP", "ORANGE",
  A682="GAMM", "GREEN",
  A682="BWF", "YELLOW",
  OR(A682="TNBE", A682="TNBL", A682="TNBD", A682="TNWC", A682="TNBW", A682="THBS"), "PINK",
  A682="CRWD", "BLUE",
  A682="PASS", "WHITE"
)</f>
        <v>#N/A</v>
      </c>
    </row>
    <row r="683" spans="1:23" x14ac:dyDescent="0.25">
      <c r="A683" s="7"/>
      <c r="B683" s="7"/>
      <c r="C683" s="4"/>
      <c r="I683" s="3"/>
      <c r="J683" s="17"/>
      <c r="K683" s="17"/>
      <c r="L683" s="18"/>
      <c r="M683" s="3"/>
      <c r="P683" s="3"/>
      <c r="Q683" s="4"/>
      <c r="R683" s="19"/>
      <c r="S683" s="20"/>
      <c r="U683" s="3" t="str">
        <f t="shared" si="24"/>
        <v/>
      </c>
      <c r="V683" s="4" t="str">
        <f t="shared" si="25"/>
        <v/>
      </c>
      <c r="W683" s="21" t="e" cm="1">
        <f t="array" ref="W683">_xlfn.IFS(
  A683="BELL", "WHITE",
  A683="GAMP", "ORANGE",
  A683="GAMM", "GREEN",
  A683="BWF", "YELLOW",
  OR(A683="TNBE", A683="TNBL", A683="TNBD", A683="TNWC", A683="TNBW", A683="THBS"), "PINK",
  A683="CRWD", "BLUE",
  A683="PASS", "WHITE"
)</f>
        <v>#N/A</v>
      </c>
    </row>
    <row r="684" spans="1:23" x14ac:dyDescent="0.25">
      <c r="A684" s="7"/>
      <c r="B684" s="7"/>
      <c r="C684" s="4"/>
      <c r="I684" s="3"/>
      <c r="J684" s="17"/>
      <c r="K684" s="17"/>
      <c r="L684" s="18"/>
      <c r="M684" s="3"/>
      <c r="P684" s="3"/>
      <c r="Q684" s="4"/>
      <c r="R684" s="19"/>
      <c r="S684" s="20"/>
      <c r="U684" s="3" t="str">
        <f t="shared" si="24"/>
        <v/>
      </c>
      <c r="V684" s="4" t="str">
        <f t="shared" si="25"/>
        <v/>
      </c>
      <c r="W684" s="21" t="e" cm="1">
        <f t="array" ref="W684">_xlfn.IFS(
  A684="BELL", "WHITE",
  A684="GAMP", "ORANGE",
  A684="GAMM", "GREEN",
  A684="BWF", "YELLOW",
  OR(A684="TNBE", A684="TNBL", A684="TNBD", A684="TNWC", A684="TNBW", A684="THBS"), "PINK",
  A684="CRWD", "BLUE",
  A684="PASS", "WHITE"
)</f>
        <v>#N/A</v>
      </c>
    </row>
    <row r="685" spans="1:23" x14ac:dyDescent="0.25">
      <c r="A685" s="7"/>
      <c r="B685" s="7"/>
      <c r="C685" s="4"/>
      <c r="I685" s="3"/>
      <c r="J685" s="17"/>
      <c r="K685" s="17"/>
      <c r="L685" s="18"/>
      <c r="M685" s="3"/>
      <c r="P685" s="3"/>
      <c r="Q685" s="4"/>
      <c r="R685" s="19"/>
      <c r="S685" s="20"/>
      <c r="U685" s="3" t="str">
        <f t="shared" si="24"/>
        <v/>
      </c>
      <c r="V685" s="4" t="str">
        <f t="shared" si="25"/>
        <v/>
      </c>
      <c r="W685" s="21" t="e" cm="1">
        <f t="array" ref="W685">_xlfn.IFS(
  A685="BELL", "WHITE",
  A685="GAMP", "ORANGE",
  A685="GAMM", "GREEN",
  A685="BWF", "YELLOW",
  OR(A685="TNBE", A685="TNBL", A685="TNBD", A685="TNWC", A685="TNBW", A685="THBS"), "PINK",
  A685="CRWD", "BLUE",
  A685="PASS", "WHITE"
)</f>
        <v>#N/A</v>
      </c>
    </row>
    <row r="686" spans="1:23" x14ac:dyDescent="0.25">
      <c r="A686" s="7"/>
      <c r="B686" s="7"/>
      <c r="C686" s="4"/>
      <c r="I686" s="3"/>
      <c r="J686" s="17"/>
      <c r="K686" s="17"/>
      <c r="L686" s="18"/>
      <c r="M686" s="3"/>
      <c r="P686" s="3"/>
      <c r="Q686" s="4"/>
      <c r="R686" s="19"/>
      <c r="S686" s="20"/>
      <c r="U686" s="3" t="str">
        <f t="shared" si="24"/>
        <v/>
      </c>
      <c r="V686" s="4" t="str">
        <f t="shared" si="25"/>
        <v/>
      </c>
      <c r="W686" s="21" t="e" cm="1">
        <f t="array" ref="W686">_xlfn.IFS(
  A686="BELL", "WHITE",
  A686="GAMP", "ORANGE",
  A686="GAMM", "GREEN",
  A686="BWF", "YELLOW",
  OR(A686="TNBE", A686="TNBL", A686="TNBD", A686="TNWC", A686="TNBW", A686="THBS"), "PINK",
  A686="CRWD", "BLUE",
  A686="PASS", "WHITE"
)</f>
        <v>#N/A</v>
      </c>
    </row>
    <row r="687" spans="1:23" x14ac:dyDescent="0.25">
      <c r="A687" s="7"/>
      <c r="B687" s="7"/>
      <c r="C687" s="4"/>
      <c r="I687" s="3"/>
      <c r="J687" s="17"/>
      <c r="K687" s="17"/>
      <c r="L687" s="18"/>
      <c r="M687" s="3"/>
      <c r="P687" s="3"/>
      <c r="Q687" s="4"/>
      <c r="R687" s="19"/>
      <c r="S687" s="20"/>
      <c r="U687" s="3" t="str">
        <f t="shared" si="24"/>
        <v/>
      </c>
      <c r="V687" s="4" t="str">
        <f t="shared" si="25"/>
        <v/>
      </c>
      <c r="W687" s="21" t="e" cm="1">
        <f t="array" ref="W687">_xlfn.IFS(
  A687="BELL", "WHITE",
  A687="GAMP", "ORANGE",
  A687="GAMM", "GREEN",
  A687="BWF", "YELLOW",
  OR(A687="TNBE", A687="TNBL", A687="TNBD", A687="TNWC", A687="TNBW", A687="THBS"), "PINK",
  A687="CRWD", "BLUE",
  A687="PASS", "WHITE"
)</f>
        <v>#N/A</v>
      </c>
    </row>
    <row r="688" spans="1:23" x14ac:dyDescent="0.25">
      <c r="A688" s="7"/>
      <c r="B688" s="7"/>
      <c r="C688" s="4"/>
      <c r="I688" s="3"/>
      <c r="J688" s="17"/>
      <c r="K688" s="17"/>
      <c r="L688" s="18"/>
      <c r="M688" s="3"/>
      <c r="P688" s="3"/>
      <c r="Q688" s="4"/>
      <c r="R688" s="19"/>
      <c r="S688" s="20"/>
      <c r="U688" s="3" t="str">
        <f t="shared" si="24"/>
        <v/>
      </c>
      <c r="V688" s="4" t="str">
        <f t="shared" si="25"/>
        <v/>
      </c>
      <c r="W688" s="21" t="e" cm="1">
        <f t="array" ref="W688">_xlfn.IFS(
  A688="BELL", "WHITE",
  A688="GAMP", "ORANGE",
  A688="GAMM", "GREEN",
  A688="BWF", "YELLOW",
  OR(A688="TNBE", A688="TNBL", A688="TNBD", A688="TNWC", A688="TNBW", A688="THBS"), "PINK",
  A688="CRWD", "BLUE",
  A688="PASS", "WHITE"
)</f>
        <v>#N/A</v>
      </c>
    </row>
    <row r="689" spans="1:23" x14ac:dyDescent="0.25">
      <c r="A689" s="7"/>
      <c r="B689" s="7"/>
      <c r="C689" s="4"/>
      <c r="I689" s="3"/>
      <c r="J689" s="17"/>
      <c r="K689" s="17"/>
      <c r="L689" s="18"/>
      <c r="M689" s="3"/>
      <c r="P689" s="3"/>
      <c r="Q689" s="4"/>
      <c r="R689" s="19"/>
      <c r="S689" s="20"/>
      <c r="U689" s="3" t="str">
        <f t="shared" si="24"/>
        <v/>
      </c>
      <c r="V689" s="4" t="str">
        <f t="shared" si="25"/>
        <v/>
      </c>
      <c r="W689" s="21" t="e" cm="1">
        <f t="array" ref="W689">_xlfn.IFS(
  A689="BELL", "WHITE",
  A689="GAMP", "ORANGE",
  A689="GAMM", "GREEN",
  A689="BWF", "YELLOW",
  OR(A689="TNBE", A689="TNBL", A689="TNBD", A689="TNWC", A689="TNBW", A689="THBS"), "PINK",
  A689="CRWD", "BLUE",
  A689="PASS", "WHITE"
)</f>
        <v>#N/A</v>
      </c>
    </row>
    <row r="690" spans="1:23" x14ac:dyDescent="0.25">
      <c r="A690" s="7"/>
      <c r="B690" s="7"/>
      <c r="C690" s="4"/>
      <c r="I690" s="3"/>
      <c r="J690" s="17"/>
      <c r="K690" s="17"/>
      <c r="L690" s="18"/>
      <c r="M690" s="3"/>
      <c r="P690" s="3"/>
      <c r="Q690" s="4"/>
      <c r="R690" s="19"/>
      <c r="S690" s="20"/>
      <c r="U690" s="3" t="str">
        <f t="shared" si="24"/>
        <v/>
      </c>
      <c r="V690" s="4" t="str">
        <f t="shared" si="25"/>
        <v/>
      </c>
      <c r="W690" s="21" t="e" cm="1">
        <f t="array" ref="W690">_xlfn.IFS(
  A690="BELL", "WHITE",
  A690="GAMP", "ORANGE",
  A690="GAMM", "GREEN",
  A690="BWF", "YELLOW",
  OR(A690="TNBE", A690="TNBL", A690="TNBD", A690="TNWC", A690="TNBW", A690="THBS"), "PINK",
  A690="CRWD", "BLUE",
  A690="PASS", "WHITE"
)</f>
        <v>#N/A</v>
      </c>
    </row>
    <row r="691" spans="1:23" x14ac:dyDescent="0.25">
      <c r="A691" s="7"/>
      <c r="B691" s="7"/>
      <c r="C691" s="4"/>
      <c r="I691" s="3"/>
      <c r="J691" s="17"/>
      <c r="K691" s="17"/>
      <c r="L691" s="18"/>
      <c r="M691" s="3"/>
      <c r="P691" s="3"/>
      <c r="Q691" s="4"/>
      <c r="R691" s="19"/>
      <c r="S691" s="20"/>
      <c r="U691" s="3" t="str">
        <f t="shared" si="24"/>
        <v/>
      </c>
      <c r="V691" s="4" t="str">
        <f t="shared" si="25"/>
        <v/>
      </c>
      <c r="W691" s="21" t="e" cm="1">
        <f t="array" ref="W691">_xlfn.IFS(
  A691="BELL", "WHITE",
  A691="GAMP", "ORANGE",
  A691="GAMM", "GREEN",
  A691="BWF", "YELLOW",
  OR(A691="TNBE", A691="TNBL", A691="TNBD", A691="TNWC", A691="TNBW", A691="THBS"), "PINK",
  A691="CRWD", "BLUE",
  A691="PASS", "WHITE"
)</f>
        <v>#N/A</v>
      </c>
    </row>
    <row r="692" spans="1:23" x14ac:dyDescent="0.25">
      <c r="A692" s="7"/>
      <c r="B692" s="7"/>
      <c r="C692" s="4"/>
      <c r="I692" s="3"/>
      <c r="J692" s="17"/>
      <c r="K692" s="17"/>
      <c r="L692" s="18"/>
      <c r="M692" s="3"/>
      <c r="P692" s="3"/>
      <c r="Q692" s="4"/>
      <c r="R692" s="19"/>
      <c r="S692" s="20"/>
      <c r="U692" s="3" t="str">
        <f t="shared" si="24"/>
        <v/>
      </c>
      <c r="V692" s="4" t="str">
        <f t="shared" si="25"/>
        <v/>
      </c>
      <c r="W692" s="21" t="e" cm="1">
        <f t="array" ref="W692">_xlfn.IFS(
  A692="BELL", "WHITE",
  A692="GAMP", "ORANGE",
  A692="GAMM", "GREEN",
  A692="BWF", "YELLOW",
  OR(A692="TNBE", A692="TNBL", A692="TNBD", A692="TNWC", A692="TNBW", A692="THBS"), "PINK",
  A692="CRWD", "BLUE",
  A692="PASS", "WHITE"
)</f>
        <v>#N/A</v>
      </c>
    </row>
    <row r="693" spans="1:23" x14ac:dyDescent="0.25">
      <c r="A693" s="7"/>
      <c r="B693" s="7"/>
      <c r="C693" s="4"/>
      <c r="I693" s="3"/>
      <c r="J693" s="17"/>
      <c r="K693" s="17"/>
      <c r="L693" s="18"/>
      <c r="M693" s="3"/>
      <c r="P693" s="3"/>
      <c r="Q693" s="4"/>
      <c r="R693" s="19"/>
      <c r="S693" s="20"/>
      <c r="U693" s="3" t="str">
        <f t="shared" si="24"/>
        <v/>
      </c>
      <c r="V693" s="4" t="str">
        <f t="shared" si="25"/>
        <v/>
      </c>
      <c r="W693" s="21" t="e" cm="1">
        <f t="array" ref="W693">_xlfn.IFS(
  A693="BELL", "WHITE",
  A693="GAMP", "ORANGE",
  A693="GAMM", "GREEN",
  A693="BWF", "YELLOW",
  OR(A693="TNBE", A693="TNBL", A693="TNBD", A693="TNWC", A693="TNBW", A693="THBS"), "PINK",
  A693="CRWD", "BLUE",
  A693="PASS", "WHITE"
)</f>
        <v>#N/A</v>
      </c>
    </row>
    <row r="694" spans="1:23" x14ac:dyDescent="0.25">
      <c r="A694" s="7"/>
      <c r="B694" s="7"/>
      <c r="C694" s="4"/>
      <c r="I694" s="3"/>
      <c r="J694" s="17"/>
      <c r="K694" s="17"/>
      <c r="L694" s="18"/>
      <c r="M694" s="3"/>
      <c r="P694" s="3"/>
      <c r="Q694" s="4"/>
      <c r="R694" s="19"/>
      <c r="S694" s="20"/>
      <c r="U694" s="3" t="str">
        <f t="shared" si="24"/>
        <v/>
      </c>
      <c r="V694" s="4" t="str">
        <f t="shared" si="25"/>
        <v/>
      </c>
      <c r="W694" s="21" t="e" cm="1">
        <f t="array" ref="W694">_xlfn.IFS(
  A694="BELL", "WHITE",
  A694="GAMP", "ORANGE",
  A694="GAMM", "GREEN",
  A694="BWF", "YELLOW",
  OR(A694="TNBE", A694="TNBL", A694="TNBD", A694="TNWC", A694="TNBW", A694="THBS"), "PINK",
  A694="CRWD", "BLUE",
  A694="PASS", "WHITE"
)</f>
        <v>#N/A</v>
      </c>
    </row>
    <row r="695" spans="1:23" x14ac:dyDescent="0.25">
      <c r="A695" s="7"/>
      <c r="B695" s="7"/>
      <c r="C695" s="4"/>
      <c r="I695" s="3"/>
      <c r="J695" s="17"/>
      <c r="K695" s="17"/>
      <c r="L695" s="18"/>
      <c r="M695" s="3"/>
      <c r="P695" s="3"/>
      <c r="Q695" s="4"/>
      <c r="R695" s="19"/>
      <c r="S695" s="20"/>
      <c r="U695" s="3" t="str">
        <f t="shared" si="24"/>
        <v/>
      </c>
      <c r="V695" s="4" t="str">
        <f t="shared" si="25"/>
        <v/>
      </c>
      <c r="W695" s="21" t="e" cm="1">
        <f t="array" ref="W695">_xlfn.IFS(
  A695="BELL", "WHITE",
  A695="GAMP", "ORANGE",
  A695="GAMM", "GREEN",
  A695="BWF", "YELLOW",
  OR(A695="TNBE", A695="TNBL", A695="TNBD", A695="TNWC", A695="TNBW", A695="THBS"), "PINK",
  A695="CRWD", "BLUE",
  A695="PASS", "WHITE"
)</f>
        <v>#N/A</v>
      </c>
    </row>
    <row r="696" spans="1:23" x14ac:dyDescent="0.25">
      <c r="A696" s="7"/>
      <c r="B696" s="7"/>
      <c r="C696" s="4"/>
      <c r="I696" s="3"/>
      <c r="J696" s="17"/>
      <c r="K696" s="17"/>
      <c r="L696" s="18"/>
      <c r="M696" s="18"/>
      <c r="P696" s="3"/>
      <c r="Q696" s="4"/>
      <c r="R696" s="19"/>
      <c r="S696" s="20"/>
      <c r="U696" s="3" t="str">
        <f t="shared" si="24"/>
        <v/>
      </c>
      <c r="V696" s="4" t="str">
        <f t="shared" si="25"/>
        <v/>
      </c>
      <c r="W696" s="21" t="e" cm="1">
        <f t="array" ref="W696">_xlfn.IFS(
  A696="BELL", "WHITE",
  A696="GAMP", "ORANGE",
  A696="GAMM", "GREEN",
  A696="BWF", "YELLOW",
  OR(A696="TNBE", A696="TNBL", A696="TNBD", A696="TNWC", A696="TNBW", A696="THBS"), "PINK",
  A696="CRWD", "BLUE",
  A696="PASS", "WHITE"
)</f>
        <v>#N/A</v>
      </c>
    </row>
    <row r="697" spans="1:23" x14ac:dyDescent="0.25">
      <c r="A697" s="7"/>
      <c r="B697" s="7"/>
      <c r="C697" s="4"/>
      <c r="I697" s="3"/>
      <c r="J697" s="17"/>
      <c r="K697" s="17"/>
      <c r="L697" s="18"/>
      <c r="M697" s="3"/>
      <c r="P697" s="3"/>
      <c r="Q697" s="4"/>
      <c r="R697" s="19"/>
      <c r="S697" s="20"/>
      <c r="U697" s="3" t="str">
        <f t="shared" si="24"/>
        <v/>
      </c>
      <c r="V697" s="4" t="str">
        <f t="shared" si="25"/>
        <v/>
      </c>
      <c r="W697" s="21" t="e" cm="1">
        <f t="array" ref="W697">_xlfn.IFS(
  A697="BELL", "WHITE",
  A697="GAMP", "ORANGE",
  A697="GAMM", "GREEN",
  A697="BWF", "YELLOW",
  OR(A697="TNBE", A697="TNBL", A697="TNBD", A697="TNWC", A697="TNBW", A697="THBS"), "PINK",
  A697="CRWD", "BLUE",
  A697="PASS", "WHITE"
)</f>
        <v>#N/A</v>
      </c>
    </row>
    <row r="698" spans="1:23" x14ac:dyDescent="0.25">
      <c r="A698" s="7"/>
      <c r="B698" s="7"/>
      <c r="C698" s="4"/>
      <c r="I698" s="3"/>
      <c r="J698" s="17"/>
      <c r="K698" s="17"/>
      <c r="L698" s="18"/>
      <c r="M698" s="3"/>
      <c r="P698" s="3"/>
      <c r="Q698" s="4"/>
      <c r="R698" s="19"/>
      <c r="S698" s="20"/>
      <c r="U698" s="3" t="str">
        <f t="shared" si="24"/>
        <v/>
      </c>
      <c r="V698" s="4" t="str">
        <f t="shared" si="25"/>
        <v/>
      </c>
      <c r="W698" s="21" t="e" cm="1">
        <f t="array" ref="W698">_xlfn.IFS(
  A698="BELL", "WHITE",
  A698="GAMP", "ORANGE",
  A698="GAMM", "GREEN",
  A698="BWF", "YELLOW",
  OR(A698="TNBE", A698="TNBL", A698="TNBD", A698="TNWC", A698="TNBW", A698="THBS"), "PINK",
  A698="CRWD", "BLUE",
  A698="PASS", "WHITE"
)</f>
        <v>#N/A</v>
      </c>
    </row>
    <row r="699" spans="1:23" x14ac:dyDescent="0.25">
      <c r="A699" s="7"/>
      <c r="B699" s="7"/>
      <c r="C699" s="4"/>
      <c r="I699" s="3"/>
      <c r="J699" s="17"/>
      <c r="K699" s="17"/>
      <c r="L699" s="18"/>
      <c r="M699" s="3"/>
      <c r="P699" s="3"/>
      <c r="Q699" s="4"/>
      <c r="R699" s="19"/>
      <c r="S699" s="20"/>
      <c r="U699" s="3" t="str">
        <f t="shared" si="24"/>
        <v/>
      </c>
      <c r="V699" s="4" t="str">
        <f t="shared" si="25"/>
        <v/>
      </c>
      <c r="W699" s="21" t="e" cm="1">
        <f t="array" ref="W699">_xlfn.IFS(
  A699="BELL", "WHITE",
  A699="GAMP", "ORANGE",
  A699="GAMM", "GREEN",
  A699="BWF", "YELLOW",
  OR(A699="TNBE", A699="TNBL", A699="TNBD", A699="TNWC", A699="TNBW", A699="THBS"), "PINK",
  A699="CRWD", "BLUE",
  A699="PASS", "WHITE"
)</f>
        <v>#N/A</v>
      </c>
    </row>
    <row r="700" spans="1:23" x14ac:dyDescent="0.25">
      <c r="A700" s="7"/>
      <c r="B700" s="7"/>
      <c r="C700" s="4"/>
      <c r="I700" s="3"/>
      <c r="J700" s="17"/>
      <c r="K700" s="17"/>
      <c r="L700" s="18"/>
      <c r="M700" s="3"/>
      <c r="P700" s="3"/>
      <c r="Q700" s="4"/>
      <c r="R700" s="19"/>
      <c r="S700" s="20"/>
      <c r="U700" s="3" t="str">
        <f t="shared" si="24"/>
        <v/>
      </c>
      <c r="V700" s="4" t="str">
        <f t="shared" si="25"/>
        <v/>
      </c>
      <c r="W700" s="21" t="e" cm="1">
        <f t="array" ref="W700">_xlfn.IFS(
  A700="BELL", "WHITE",
  A700="GAMP", "ORANGE",
  A700="GAMM", "GREEN",
  A700="BWF", "YELLOW",
  OR(A700="TNBE", A700="TNBL", A700="TNBD", A700="TNWC", A700="TNBW", A700="THBS"), "PINK",
  A700="CRWD", "BLUE",
  A700="PASS", "WHITE"
)</f>
        <v>#N/A</v>
      </c>
    </row>
    <row r="701" spans="1:23" x14ac:dyDescent="0.25">
      <c r="A701" s="7"/>
      <c r="B701" s="7"/>
      <c r="C701" s="4"/>
      <c r="I701" s="3"/>
      <c r="J701" s="17"/>
      <c r="K701" s="17"/>
      <c r="L701" s="18"/>
      <c r="M701" s="3"/>
      <c r="P701" s="3"/>
      <c r="Q701" s="4"/>
      <c r="R701" s="19"/>
      <c r="S701" s="20"/>
      <c r="U701" s="3" t="str">
        <f t="shared" si="24"/>
        <v/>
      </c>
      <c r="V701" s="4" t="str">
        <f t="shared" si="25"/>
        <v/>
      </c>
      <c r="W701" s="21" t="e" cm="1">
        <f t="array" ref="W701">_xlfn.IFS(
  A701="BELL", "WHITE",
  A701="GAMP", "ORANGE",
  A701="GAMM", "GREEN",
  A701="BWF", "YELLOW",
  OR(A701="TNBE", A701="TNBL", A701="TNBD", A701="TNWC", A701="TNBW", A701="THBS"), "PINK",
  A701="CRWD", "BLUE",
  A701="PASS", "WHITE"
)</f>
        <v>#N/A</v>
      </c>
    </row>
    <row r="702" spans="1:23" x14ac:dyDescent="0.25">
      <c r="A702" s="7"/>
      <c r="B702" s="7"/>
      <c r="C702" s="4"/>
      <c r="I702" s="3"/>
      <c r="J702" s="17"/>
      <c r="K702" s="17"/>
      <c r="L702" s="18"/>
      <c r="M702" s="3"/>
      <c r="P702" s="3"/>
      <c r="Q702" s="4"/>
      <c r="R702" s="19"/>
      <c r="S702" s="20"/>
      <c r="U702" s="3" t="str">
        <f t="shared" si="24"/>
        <v/>
      </c>
      <c r="V702" s="4" t="str">
        <f t="shared" si="25"/>
        <v/>
      </c>
      <c r="W702" s="21" t="e" cm="1">
        <f t="array" ref="W702">_xlfn.IFS(
  A702="BELL", "WHITE",
  A702="GAMP", "ORANGE",
  A702="GAMM", "GREEN",
  A702="BWF", "YELLOW",
  OR(A702="TNBE", A702="TNBL", A702="TNBD", A702="TNWC", A702="TNBW", A702="THBS"), "PINK",
  A702="CRWD", "BLUE",
  A702="PASS", "WHITE"
)</f>
        <v>#N/A</v>
      </c>
    </row>
    <row r="703" spans="1:23" x14ac:dyDescent="0.25">
      <c r="A703" s="7"/>
      <c r="B703" s="7"/>
      <c r="C703" s="4"/>
      <c r="I703" s="3"/>
      <c r="J703" s="17"/>
      <c r="K703" s="17"/>
      <c r="L703" s="18"/>
      <c r="M703" s="3"/>
      <c r="P703" s="3"/>
      <c r="Q703" s="4"/>
      <c r="R703" s="19"/>
      <c r="S703" s="20"/>
      <c r="U703" s="3" t="str">
        <f t="shared" si="24"/>
        <v/>
      </c>
      <c r="V703" s="4" t="str">
        <f t="shared" si="25"/>
        <v/>
      </c>
      <c r="W703" s="21" t="e" cm="1">
        <f t="array" ref="W703">_xlfn.IFS(
  A703="BELL", "WHITE",
  A703="GAMP", "ORANGE",
  A703="GAMM", "GREEN",
  A703="BWF", "YELLOW",
  OR(A703="TNBE", A703="TNBL", A703="TNBD", A703="TNWC", A703="TNBW", A703="THBS"), "PINK",
  A703="CRWD", "BLUE",
  A703="PASS", "WHITE"
)</f>
        <v>#N/A</v>
      </c>
    </row>
    <row r="704" spans="1:23" x14ac:dyDescent="0.25">
      <c r="A704" s="7"/>
      <c r="B704" s="7"/>
      <c r="C704" s="4"/>
      <c r="I704" s="3"/>
      <c r="J704" s="17"/>
      <c r="K704" s="17"/>
      <c r="L704" s="18"/>
      <c r="M704" s="3"/>
      <c r="P704" s="3"/>
      <c r="Q704" s="4"/>
      <c r="R704" s="19"/>
      <c r="S704" s="20"/>
      <c r="U704" s="3" t="str">
        <f t="shared" si="24"/>
        <v/>
      </c>
      <c r="V704" s="4" t="str">
        <f t="shared" si="25"/>
        <v/>
      </c>
      <c r="W704" s="21" t="e" cm="1">
        <f t="array" ref="W704">_xlfn.IFS(
  A704="BELL", "WHITE",
  A704="GAMP", "ORANGE",
  A704="GAMM", "GREEN",
  A704="BWF", "YELLOW",
  OR(A704="TNBE", A704="TNBL", A704="TNBD", A704="TNWC", A704="TNBW", A704="THBS"), "PINK",
  A704="CRWD", "BLUE",
  A704="PASS", "WHITE"
)</f>
        <v>#N/A</v>
      </c>
    </row>
    <row r="705" spans="1:23" x14ac:dyDescent="0.25">
      <c r="A705" s="7"/>
      <c r="B705" s="7"/>
      <c r="C705" s="4"/>
      <c r="I705" s="3"/>
      <c r="J705" s="17"/>
      <c r="K705" s="17"/>
      <c r="L705" s="18"/>
      <c r="M705" s="3"/>
      <c r="P705" s="3"/>
      <c r="Q705" s="4"/>
      <c r="R705" s="19"/>
      <c r="S705" s="20"/>
      <c r="U705" s="3" t="str">
        <f t="shared" si="24"/>
        <v/>
      </c>
      <c r="V705" s="4" t="str">
        <f t="shared" si="25"/>
        <v/>
      </c>
      <c r="W705" s="21" t="e" cm="1">
        <f t="array" ref="W705">_xlfn.IFS(
  A705="BELL", "WHITE",
  A705="GAMP", "ORANGE",
  A705="GAMM", "GREEN",
  A705="BWF", "YELLOW",
  OR(A705="TNBE", A705="TNBL", A705="TNBD", A705="TNWC", A705="TNBW", A705="THBS"), "PINK",
  A705="CRWD", "BLUE",
  A705="PASS", "WHITE"
)</f>
        <v>#N/A</v>
      </c>
    </row>
    <row r="706" spans="1:23" x14ac:dyDescent="0.25">
      <c r="A706" s="7"/>
      <c r="B706" s="7"/>
      <c r="C706" s="4"/>
      <c r="I706" s="3"/>
      <c r="J706" s="17"/>
      <c r="K706" s="17"/>
      <c r="L706" s="18"/>
      <c r="M706" s="3"/>
      <c r="P706" s="3"/>
      <c r="Q706" s="4"/>
      <c r="R706" s="19"/>
      <c r="S706" s="20"/>
      <c r="U706" s="3" t="str">
        <f t="shared" si="24"/>
        <v/>
      </c>
      <c r="V706" s="4" t="str">
        <f t="shared" si="25"/>
        <v/>
      </c>
      <c r="W706" s="21" t="e" cm="1">
        <f t="array" ref="W706">_xlfn.IFS(
  A706="BELL", "WHITE",
  A706="GAMP", "ORANGE",
  A706="GAMM", "GREEN",
  A706="BWF", "YELLOW",
  OR(A706="TNBE", A706="TNBL", A706="TNBD", A706="TNWC", A706="TNBW", A706="THBS"), "PINK",
  A706="CRWD", "BLUE",
  A706="PASS", "WHITE"
)</f>
        <v>#N/A</v>
      </c>
    </row>
    <row r="707" spans="1:23" x14ac:dyDescent="0.25">
      <c r="A707" s="7"/>
      <c r="B707" s="7"/>
      <c r="C707" s="4"/>
      <c r="I707" s="3"/>
      <c r="J707" s="17"/>
      <c r="K707" s="17"/>
      <c r="L707" s="18"/>
      <c r="M707" s="3"/>
      <c r="P707" s="3"/>
      <c r="Q707" s="4"/>
      <c r="R707" s="19"/>
      <c r="S707" s="20"/>
      <c r="U707" s="3" t="str">
        <f t="shared" si="24"/>
        <v/>
      </c>
      <c r="V707" s="4" t="str">
        <f t="shared" si="25"/>
        <v/>
      </c>
      <c r="W707" s="21" t="e" cm="1">
        <f t="array" ref="W707">_xlfn.IFS(
  A707="BELL", "WHITE",
  A707="GAMP", "ORANGE",
  A707="GAMM", "GREEN",
  A707="BWF", "YELLOW",
  OR(A707="TNBE", A707="TNBL", A707="TNBD", A707="TNWC", A707="TNBW", A707="THBS"), "PINK",
  A707="CRWD", "BLUE",
  A707="PASS", "WHITE"
)</f>
        <v>#N/A</v>
      </c>
    </row>
    <row r="708" spans="1:23" x14ac:dyDescent="0.25">
      <c r="A708" s="7"/>
      <c r="B708" s="7"/>
      <c r="C708" s="4"/>
      <c r="I708" s="3"/>
      <c r="J708" s="17"/>
      <c r="K708" s="17"/>
      <c r="L708" s="18"/>
      <c r="M708" s="3"/>
      <c r="P708" s="3"/>
      <c r="Q708" s="4"/>
      <c r="R708" s="19"/>
      <c r="S708" s="20"/>
      <c r="U708" s="3" t="str">
        <f t="shared" ref="U708:U771" si="26">IF(T708="","",IF(T708&gt;I708,H708,T708/G708))</f>
        <v/>
      </c>
      <c r="V708" s="4" t="str">
        <f t="shared" ref="V708:V771" si="27">IF(T708&gt;I708,T708-I708,"")</f>
        <v/>
      </c>
      <c r="W708" s="21" t="e" cm="1">
        <f t="array" ref="W708">_xlfn.IFS(
  A708="BELL", "WHITE",
  A708="GAMP", "ORANGE",
  A708="GAMM", "GREEN",
  A708="BWF", "YELLOW",
  OR(A708="TNBE", A708="TNBL", A708="TNBD", A708="TNWC", A708="TNBW", A708="THBS"), "PINK",
  A708="CRWD", "BLUE",
  A708="PASS", "WHITE"
)</f>
        <v>#N/A</v>
      </c>
    </row>
    <row r="709" spans="1:23" x14ac:dyDescent="0.25">
      <c r="A709" s="7"/>
      <c r="B709" s="7"/>
      <c r="C709" s="4"/>
      <c r="I709" s="3"/>
      <c r="J709" s="17"/>
      <c r="K709" s="17"/>
      <c r="L709" s="18"/>
      <c r="M709" s="3"/>
      <c r="P709" s="3"/>
      <c r="Q709" s="4"/>
      <c r="R709" s="19"/>
      <c r="S709" s="20"/>
      <c r="U709" s="3" t="str">
        <f t="shared" si="26"/>
        <v/>
      </c>
      <c r="V709" s="4" t="str">
        <f t="shared" si="27"/>
        <v/>
      </c>
      <c r="W709" s="21" t="e" cm="1">
        <f t="array" ref="W709">_xlfn.IFS(
  A709="BELL", "WHITE",
  A709="GAMP", "ORANGE",
  A709="GAMM", "GREEN",
  A709="BWF", "YELLOW",
  OR(A709="TNBE", A709="TNBL", A709="TNBD", A709="TNWC", A709="TNBW", A709="THBS"), "PINK",
  A709="CRWD", "BLUE",
  A709="PASS", "WHITE"
)</f>
        <v>#N/A</v>
      </c>
    </row>
    <row r="710" spans="1:23" x14ac:dyDescent="0.25">
      <c r="A710" s="7"/>
      <c r="B710" s="7"/>
      <c r="C710" s="4"/>
      <c r="I710" s="3"/>
      <c r="J710" s="17"/>
      <c r="K710" s="17"/>
      <c r="L710" s="18"/>
      <c r="M710" s="3"/>
      <c r="P710" s="3"/>
      <c r="Q710" s="4"/>
      <c r="R710" s="19"/>
      <c r="S710" s="20"/>
      <c r="U710" s="3" t="str">
        <f t="shared" si="26"/>
        <v/>
      </c>
      <c r="V710" s="4" t="str">
        <f t="shared" si="27"/>
        <v/>
      </c>
      <c r="W710" s="21" t="e" cm="1">
        <f t="array" ref="W710">_xlfn.IFS(
  A710="BELL", "WHITE",
  A710="GAMP", "ORANGE",
  A710="GAMM", "GREEN",
  A710="BWF", "YELLOW",
  OR(A710="TNBE", A710="TNBL", A710="TNBD", A710="TNWC", A710="TNBW", A710="THBS"), "PINK",
  A710="CRWD", "BLUE",
  A710="PASS", "WHITE"
)</f>
        <v>#N/A</v>
      </c>
    </row>
    <row r="711" spans="1:23" x14ac:dyDescent="0.25">
      <c r="A711" s="7"/>
      <c r="B711" s="7"/>
      <c r="C711" s="4"/>
      <c r="I711" s="3"/>
      <c r="J711" s="17"/>
      <c r="K711" s="17"/>
      <c r="L711" s="18"/>
      <c r="M711" s="3"/>
      <c r="P711" s="3"/>
      <c r="Q711" s="4"/>
      <c r="R711" s="19"/>
      <c r="S711" s="20"/>
      <c r="U711" s="3" t="str">
        <f t="shared" si="26"/>
        <v/>
      </c>
      <c r="V711" s="4" t="str">
        <f t="shared" si="27"/>
        <v/>
      </c>
      <c r="W711" s="21" t="e" cm="1">
        <f t="array" ref="W711">_xlfn.IFS(
  A711="BELL", "WHITE",
  A711="GAMP", "ORANGE",
  A711="GAMM", "GREEN",
  A711="BWF", "YELLOW",
  OR(A711="TNBE", A711="TNBL", A711="TNBD", A711="TNWC", A711="TNBW", A711="THBS"), "PINK",
  A711="CRWD", "BLUE",
  A711="PASS", "WHITE"
)</f>
        <v>#N/A</v>
      </c>
    </row>
    <row r="712" spans="1:23" x14ac:dyDescent="0.25">
      <c r="A712" s="7"/>
      <c r="B712" s="7"/>
      <c r="C712" s="4"/>
      <c r="I712" s="3"/>
      <c r="J712" s="17"/>
      <c r="K712" s="17"/>
      <c r="L712" s="18"/>
      <c r="M712" s="3"/>
      <c r="P712" s="3"/>
      <c r="Q712" s="4"/>
      <c r="R712" s="19"/>
      <c r="S712" s="20"/>
      <c r="U712" s="3" t="str">
        <f t="shared" si="26"/>
        <v/>
      </c>
      <c r="V712" s="4" t="str">
        <f t="shared" si="27"/>
        <v/>
      </c>
      <c r="W712" s="21" t="e" cm="1">
        <f t="array" ref="W712">_xlfn.IFS(
  A712="BELL", "WHITE",
  A712="GAMP", "ORANGE",
  A712="GAMM", "GREEN",
  A712="BWF", "YELLOW",
  OR(A712="TNBE", A712="TNBL", A712="TNBD", A712="TNWC", A712="TNBW", A712="THBS"), "PINK",
  A712="CRWD", "BLUE",
  A712="PASS", "WHITE"
)</f>
        <v>#N/A</v>
      </c>
    </row>
    <row r="713" spans="1:23" x14ac:dyDescent="0.25">
      <c r="A713" s="7"/>
      <c r="B713" s="7"/>
      <c r="C713" s="4"/>
      <c r="I713" s="3"/>
      <c r="J713" s="17"/>
      <c r="K713" s="17"/>
      <c r="L713" s="18"/>
      <c r="M713" s="3"/>
      <c r="P713" s="3"/>
      <c r="Q713" s="4"/>
      <c r="R713" s="19"/>
      <c r="S713" s="20"/>
      <c r="U713" s="3" t="str">
        <f t="shared" si="26"/>
        <v/>
      </c>
      <c r="V713" s="4" t="str">
        <f t="shared" si="27"/>
        <v/>
      </c>
      <c r="W713" s="21" t="e" cm="1">
        <f t="array" ref="W713">_xlfn.IFS(
  A713="BELL", "WHITE",
  A713="GAMP", "ORANGE",
  A713="GAMM", "GREEN",
  A713="BWF", "YELLOW",
  OR(A713="TNBE", A713="TNBL", A713="TNBD", A713="TNWC", A713="TNBW", A713="THBS"), "PINK",
  A713="CRWD", "BLUE",
  A713="PASS", "WHITE"
)</f>
        <v>#N/A</v>
      </c>
    </row>
    <row r="714" spans="1:23" x14ac:dyDescent="0.25">
      <c r="A714" s="7"/>
      <c r="B714" s="7"/>
      <c r="C714" s="4"/>
      <c r="I714" s="3"/>
      <c r="J714" s="17"/>
      <c r="K714" s="17"/>
      <c r="L714" s="18"/>
      <c r="M714" s="3"/>
      <c r="P714" s="3"/>
      <c r="Q714" s="4"/>
      <c r="R714" s="19"/>
      <c r="S714" s="20"/>
      <c r="U714" s="3" t="str">
        <f t="shared" si="26"/>
        <v/>
      </c>
      <c r="V714" s="4" t="str">
        <f t="shared" si="27"/>
        <v/>
      </c>
      <c r="W714" s="21" t="e" cm="1">
        <f t="array" ref="W714">_xlfn.IFS(
  A714="BELL", "WHITE",
  A714="GAMP", "ORANGE",
  A714="GAMM", "GREEN",
  A714="BWF", "YELLOW",
  OR(A714="TNBE", A714="TNBL", A714="TNBD", A714="TNWC", A714="TNBW", A714="THBS"), "PINK",
  A714="CRWD", "BLUE",
  A714="PASS", "WHITE"
)</f>
        <v>#N/A</v>
      </c>
    </row>
    <row r="715" spans="1:23" x14ac:dyDescent="0.25">
      <c r="A715" s="7"/>
      <c r="B715" s="7"/>
      <c r="C715" s="4"/>
      <c r="I715" s="3"/>
      <c r="J715" s="17"/>
      <c r="K715" s="17"/>
      <c r="L715" s="18"/>
      <c r="M715" s="3"/>
      <c r="P715" s="3"/>
      <c r="Q715" s="4"/>
      <c r="R715" s="19"/>
      <c r="S715" s="20"/>
      <c r="U715" s="3" t="str">
        <f t="shared" si="26"/>
        <v/>
      </c>
      <c r="V715" s="4" t="str">
        <f t="shared" si="27"/>
        <v/>
      </c>
      <c r="W715" s="21" t="e" cm="1">
        <f t="array" ref="W715">_xlfn.IFS(
  A715="BELL", "WHITE",
  A715="GAMP", "ORANGE",
  A715="GAMM", "GREEN",
  A715="BWF", "YELLOW",
  OR(A715="TNBE", A715="TNBL", A715="TNBD", A715="TNWC", A715="TNBW", A715="THBS"), "PINK",
  A715="CRWD", "BLUE",
  A715="PASS", "WHITE"
)</f>
        <v>#N/A</v>
      </c>
    </row>
    <row r="716" spans="1:23" x14ac:dyDescent="0.25">
      <c r="A716" s="7"/>
      <c r="B716" s="7"/>
      <c r="C716" s="4"/>
      <c r="I716" s="3"/>
      <c r="J716" s="17"/>
      <c r="K716" s="17"/>
      <c r="L716" s="18"/>
      <c r="M716" s="3"/>
      <c r="P716" s="3"/>
      <c r="Q716" s="4"/>
      <c r="R716" s="19"/>
      <c r="S716" s="20"/>
      <c r="U716" s="3" t="str">
        <f t="shared" si="26"/>
        <v/>
      </c>
      <c r="V716" s="4" t="str">
        <f t="shared" si="27"/>
        <v/>
      </c>
      <c r="W716" s="21" t="e" cm="1">
        <f t="array" ref="W716">_xlfn.IFS(
  A716="BELL", "WHITE",
  A716="GAMP", "ORANGE",
  A716="GAMM", "GREEN",
  A716="BWF", "YELLOW",
  OR(A716="TNBE", A716="TNBL", A716="TNBD", A716="TNWC", A716="TNBW", A716="THBS"), "PINK",
  A716="CRWD", "BLUE",
  A716="PASS", "WHITE"
)</f>
        <v>#N/A</v>
      </c>
    </row>
    <row r="717" spans="1:23" x14ac:dyDescent="0.25">
      <c r="A717" s="7"/>
      <c r="B717" s="7"/>
      <c r="C717" s="4"/>
      <c r="I717" s="3"/>
      <c r="J717" s="17"/>
      <c r="K717" s="17"/>
      <c r="L717" s="18"/>
      <c r="M717" s="3"/>
      <c r="P717" s="3"/>
      <c r="Q717" s="4"/>
      <c r="R717" s="19"/>
      <c r="S717" s="20"/>
      <c r="U717" s="3" t="str">
        <f t="shared" si="26"/>
        <v/>
      </c>
      <c r="V717" s="4" t="str">
        <f t="shared" si="27"/>
        <v/>
      </c>
      <c r="W717" s="21" t="e" cm="1">
        <f t="array" ref="W717">_xlfn.IFS(
  A717="BELL", "WHITE",
  A717="GAMP", "ORANGE",
  A717="GAMM", "GREEN",
  A717="BWF", "YELLOW",
  OR(A717="TNBE", A717="TNBL", A717="TNBD", A717="TNWC", A717="TNBW", A717="THBS"), "PINK",
  A717="CRWD", "BLUE",
  A717="PASS", "WHITE"
)</f>
        <v>#N/A</v>
      </c>
    </row>
    <row r="718" spans="1:23" x14ac:dyDescent="0.25">
      <c r="A718" s="7"/>
      <c r="B718" s="7"/>
      <c r="C718" s="4"/>
      <c r="I718" s="3"/>
      <c r="J718" s="17"/>
      <c r="K718" s="17"/>
      <c r="L718" s="18"/>
      <c r="M718" s="3"/>
      <c r="P718" s="3"/>
      <c r="Q718" s="4"/>
      <c r="R718" s="19"/>
      <c r="S718" s="20"/>
      <c r="U718" s="3" t="str">
        <f t="shared" si="26"/>
        <v/>
      </c>
      <c r="V718" s="4" t="str">
        <f t="shared" si="27"/>
        <v/>
      </c>
      <c r="W718" s="21" t="e" cm="1">
        <f t="array" ref="W718">_xlfn.IFS(
  A718="BELL", "WHITE",
  A718="GAMP", "ORANGE",
  A718="GAMM", "GREEN",
  A718="BWF", "YELLOW",
  OR(A718="TNBE", A718="TNBL", A718="TNBD", A718="TNWC", A718="TNBW", A718="THBS"), "PINK",
  A718="CRWD", "BLUE",
  A718="PASS", "WHITE"
)</f>
        <v>#N/A</v>
      </c>
    </row>
    <row r="719" spans="1:23" x14ac:dyDescent="0.25">
      <c r="A719" s="7"/>
      <c r="B719" s="7"/>
      <c r="C719" s="4"/>
      <c r="I719" s="3"/>
      <c r="J719" s="17"/>
      <c r="K719" s="17"/>
      <c r="L719" s="18"/>
      <c r="M719" s="3"/>
      <c r="P719" s="3"/>
      <c r="Q719" s="4"/>
      <c r="R719" s="19"/>
      <c r="S719" s="20"/>
      <c r="U719" s="3" t="str">
        <f t="shared" si="26"/>
        <v/>
      </c>
      <c r="V719" s="4" t="str">
        <f t="shared" si="27"/>
        <v/>
      </c>
      <c r="W719" s="21" t="e" cm="1">
        <f t="array" ref="W719">_xlfn.IFS(
  A719="BELL", "WHITE",
  A719="GAMP", "ORANGE",
  A719="GAMM", "GREEN",
  A719="BWF", "YELLOW",
  OR(A719="TNBE", A719="TNBL", A719="TNBD", A719="TNWC", A719="TNBW", A719="THBS"), "PINK",
  A719="CRWD", "BLUE",
  A719="PASS", "WHITE"
)</f>
        <v>#N/A</v>
      </c>
    </row>
    <row r="720" spans="1:23" x14ac:dyDescent="0.25">
      <c r="A720" s="7"/>
      <c r="B720" s="7"/>
      <c r="C720" s="4"/>
      <c r="I720" s="3"/>
      <c r="J720" s="17"/>
      <c r="K720" s="17"/>
      <c r="L720" s="18"/>
      <c r="M720" s="3"/>
      <c r="P720" s="3"/>
      <c r="Q720" s="4"/>
      <c r="R720" s="19"/>
      <c r="S720" s="20"/>
      <c r="U720" s="3" t="str">
        <f t="shared" si="26"/>
        <v/>
      </c>
      <c r="V720" s="4" t="str">
        <f t="shared" si="27"/>
        <v/>
      </c>
      <c r="W720" s="21" t="e" cm="1">
        <f t="array" ref="W720">_xlfn.IFS(
  A720="BELL", "WHITE",
  A720="GAMP", "ORANGE",
  A720="GAMM", "GREEN",
  A720="BWF", "YELLOW",
  OR(A720="TNBE", A720="TNBL", A720="TNBD", A720="TNWC", A720="TNBW", A720="THBS"), "PINK",
  A720="CRWD", "BLUE",
  A720="PASS", "WHITE"
)</f>
        <v>#N/A</v>
      </c>
    </row>
    <row r="721" spans="1:23" x14ac:dyDescent="0.25">
      <c r="A721" s="7"/>
      <c r="B721" s="7"/>
      <c r="C721" s="4"/>
      <c r="I721" s="3"/>
      <c r="J721" s="17"/>
      <c r="K721" s="17"/>
      <c r="L721" s="18"/>
      <c r="M721" s="3"/>
      <c r="P721" s="3"/>
      <c r="Q721" s="4"/>
      <c r="R721" s="19"/>
      <c r="S721" s="20"/>
      <c r="U721" s="3" t="str">
        <f t="shared" si="26"/>
        <v/>
      </c>
      <c r="V721" s="4" t="str">
        <f t="shared" si="27"/>
        <v/>
      </c>
      <c r="W721" s="21" t="e" cm="1">
        <f t="array" ref="W721">_xlfn.IFS(
  A721="BELL", "WHITE",
  A721="GAMP", "ORANGE",
  A721="GAMM", "GREEN",
  A721="BWF", "YELLOW",
  OR(A721="TNBE", A721="TNBL", A721="TNBD", A721="TNWC", A721="TNBW", A721="THBS"), "PINK",
  A721="CRWD", "BLUE",
  A721="PASS", "WHITE"
)</f>
        <v>#N/A</v>
      </c>
    </row>
    <row r="722" spans="1:23" x14ac:dyDescent="0.25">
      <c r="A722" s="7"/>
      <c r="B722" s="7"/>
      <c r="C722" s="4"/>
      <c r="I722" s="3"/>
      <c r="J722" s="17"/>
      <c r="K722" s="17"/>
      <c r="L722" s="18"/>
      <c r="M722" s="3"/>
      <c r="P722" s="3"/>
      <c r="Q722" s="4"/>
      <c r="R722" s="19"/>
      <c r="S722" s="20"/>
      <c r="U722" s="3" t="str">
        <f t="shared" si="26"/>
        <v/>
      </c>
      <c r="V722" s="4" t="str">
        <f t="shared" si="27"/>
        <v/>
      </c>
      <c r="W722" s="21" t="e" cm="1">
        <f t="array" ref="W722">_xlfn.IFS(
  A722="BELL", "WHITE",
  A722="GAMP", "ORANGE",
  A722="GAMM", "GREEN",
  A722="BWF", "YELLOW",
  OR(A722="TNBE", A722="TNBL", A722="TNBD", A722="TNWC", A722="TNBW", A722="THBS"), "PINK",
  A722="CRWD", "BLUE",
  A722="PASS", "WHITE"
)</f>
        <v>#N/A</v>
      </c>
    </row>
    <row r="723" spans="1:23" x14ac:dyDescent="0.25">
      <c r="A723" s="7"/>
      <c r="B723" s="7"/>
      <c r="C723" s="4"/>
      <c r="I723" s="3"/>
      <c r="J723" s="17"/>
      <c r="K723" s="17"/>
      <c r="L723" s="18"/>
      <c r="M723" s="3"/>
      <c r="P723" s="3"/>
      <c r="Q723" s="4"/>
      <c r="R723" s="19"/>
      <c r="S723" s="20"/>
      <c r="U723" s="3" t="str">
        <f t="shared" si="26"/>
        <v/>
      </c>
      <c r="V723" s="4" t="str">
        <f t="shared" si="27"/>
        <v/>
      </c>
      <c r="W723" s="21" t="e" cm="1">
        <f t="array" ref="W723">_xlfn.IFS(
  A723="BELL", "WHITE",
  A723="GAMP", "ORANGE",
  A723="GAMM", "GREEN",
  A723="BWF", "YELLOW",
  OR(A723="TNBE", A723="TNBL", A723="TNBD", A723="TNWC", A723="TNBW", A723="THBS"), "PINK",
  A723="CRWD", "BLUE",
  A723="PASS", "WHITE"
)</f>
        <v>#N/A</v>
      </c>
    </row>
    <row r="724" spans="1:23" x14ac:dyDescent="0.25">
      <c r="A724" s="7"/>
      <c r="B724" s="7"/>
      <c r="C724" s="4"/>
      <c r="I724" s="3"/>
      <c r="J724" s="17"/>
      <c r="K724" s="17"/>
      <c r="L724" s="18"/>
      <c r="M724" s="3"/>
      <c r="P724" s="3"/>
      <c r="Q724" s="4"/>
      <c r="R724" s="19"/>
      <c r="S724" s="20"/>
      <c r="U724" s="3" t="str">
        <f t="shared" si="26"/>
        <v/>
      </c>
      <c r="V724" s="4" t="str">
        <f t="shared" si="27"/>
        <v/>
      </c>
      <c r="W724" s="21" t="e" cm="1">
        <f t="array" ref="W724">_xlfn.IFS(
  A724="BELL", "WHITE",
  A724="GAMP", "ORANGE",
  A724="GAMM", "GREEN",
  A724="BWF", "YELLOW",
  OR(A724="TNBE", A724="TNBL", A724="TNBD", A724="TNWC", A724="TNBW", A724="THBS"), "PINK",
  A724="CRWD", "BLUE",
  A724="PASS", "WHITE"
)</f>
        <v>#N/A</v>
      </c>
    </row>
    <row r="725" spans="1:23" x14ac:dyDescent="0.25">
      <c r="A725" s="7"/>
      <c r="B725" s="7"/>
      <c r="C725" s="4"/>
      <c r="I725" s="3"/>
      <c r="J725" s="17"/>
      <c r="K725" s="17"/>
      <c r="L725" s="18"/>
      <c r="M725" s="3"/>
      <c r="P725" s="3"/>
      <c r="Q725" s="4"/>
      <c r="R725" s="19"/>
      <c r="S725" s="20"/>
      <c r="U725" s="3" t="str">
        <f t="shared" si="26"/>
        <v/>
      </c>
      <c r="V725" s="4" t="str">
        <f t="shared" si="27"/>
        <v/>
      </c>
      <c r="W725" s="21" t="e" cm="1">
        <f t="array" ref="W725">_xlfn.IFS(
  A725="BELL", "WHITE",
  A725="GAMP", "ORANGE",
  A725="GAMM", "GREEN",
  A725="BWF", "YELLOW",
  OR(A725="TNBE", A725="TNBL", A725="TNBD", A725="TNWC", A725="TNBW", A725="THBS"), "PINK",
  A725="CRWD", "BLUE",
  A725="PASS", "WHITE"
)</f>
        <v>#N/A</v>
      </c>
    </row>
    <row r="726" spans="1:23" x14ac:dyDescent="0.25">
      <c r="A726" s="7"/>
      <c r="B726" s="7"/>
      <c r="C726" s="4"/>
      <c r="I726" s="3"/>
      <c r="J726" s="17"/>
      <c r="K726" s="17"/>
      <c r="L726" s="18"/>
      <c r="M726" s="3"/>
      <c r="P726" s="3"/>
      <c r="Q726" s="4"/>
      <c r="R726" s="19"/>
      <c r="S726" s="20"/>
      <c r="U726" s="3" t="str">
        <f t="shared" si="26"/>
        <v/>
      </c>
      <c r="V726" s="4" t="str">
        <f t="shared" si="27"/>
        <v/>
      </c>
      <c r="W726" s="21" t="e" cm="1">
        <f t="array" ref="W726">_xlfn.IFS(
  A726="BELL", "WHITE",
  A726="GAMP", "ORANGE",
  A726="GAMM", "GREEN",
  A726="BWF", "YELLOW",
  OR(A726="TNBE", A726="TNBL", A726="TNBD", A726="TNWC", A726="TNBW", A726="THBS"), "PINK",
  A726="CRWD", "BLUE",
  A726="PASS", "WHITE"
)</f>
        <v>#N/A</v>
      </c>
    </row>
    <row r="727" spans="1:23" x14ac:dyDescent="0.25">
      <c r="A727" s="7"/>
      <c r="B727" s="7"/>
      <c r="C727" s="4"/>
      <c r="I727" s="3"/>
      <c r="J727" s="17"/>
      <c r="K727" s="17"/>
      <c r="L727" s="18"/>
      <c r="M727" s="3"/>
      <c r="P727" s="3"/>
      <c r="Q727" s="4"/>
      <c r="R727" s="19"/>
      <c r="S727" s="20"/>
      <c r="U727" s="3" t="str">
        <f t="shared" si="26"/>
        <v/>
      </c>
      <c r="V727" s="4" t="str">
        <f t="shared" si="27"/>
        <v/>
      </c>
      <c r="W727" s="21" t="e" cm="1">
        <f t="array" ref="W727">_xlfn.IFS(
  A727="BELL", "WHITE",
  A727="GAMP", "ORANGE",
  A727="GAMM", "GREEN",
  A727="BWF", "YELLOW",
  OR(A727="TNBE", A727="TNBL", A727="TNBD", A727="TNWC", A727="TNBW", A727="THBS"), "PINK",
  A727="CRWD", "BLUE",
  A727="PASS", "WHITE"
)</f>
        <v>#N/A</v>
      </c>
    </row>
    <row r="728" spans="1:23" x14ac:dyDescent="0.25">
      <c r="A728" s="7"/>
      <c r="B728" s="7"/>
      <c r="C728" s="4"/>
      <c r="I728" s="3"/>
      <c r="J728" s="17"/>
      <c r="K728" s="17"/>
      <c r="L728" s="18"/>
      <c r="M728" s="3"/>
      <c r="P728" s="3"/>
      <c r="Q728" s="4"/>
      <c r="R728" s="19"/>
      <c r="S728" s="20"/>
      <c r="U728" s="3" t="str">
        <f t="shared" si="26"/>
        <v/>
      </c>
      <c r="V728" s="4" t="str">
        <f t="shared" si="27"/>
        <v/>
      </c>
      <c r="W728" s="21" t="e" cm="1">
        <f t="array" ref="W728">_xlfn.IFS(
  A728="BELL", "WHITE",
  A728="GAMP", "ORANGE",
  A728="GAMM", "GREEN",
  A728="BWF", "YELLOW",
  OR(A728="TNBE", A728="TNBL", A728="TNBD", A728="TNWC", A728="TNBW", A728="THBS"), "PINK",
  A728="CRWD", "BLUE",
  A728="PASS", "WHITE"
)</f>
        <v>#N/A</v>
      </c>
    </row>
    <row r="729" spans="1:23" x14ac:dyDescent="0.25">
      <c r="A729" s="7"/>
      <c r="B729" s="7"/>
      <c r="C729" s="4"/>
      <c r="I729" s="3"/>
      <c r="J729" s="17"/>
      <c r="K729" s="17"/>
      <c r="L729" s="18"/>
      <c r="M729" s="3"/>
      <c r="P729" s="3"/>
      <c r="Q729" s="4"/>
      <c r="R729" s="19"/>
      <c r="S729" s="20"/>
      <c r="U729" s="3" t="str">
        <f t="shared" si="26"/>
        <v/>
      </c>
      <c r="V729" s="4" t="str">
        <f t="shared" si="27"/>
        <v/>
      </c>
      <c r="W729" s="21" t="e" cm="1">
        <f t="array" ref="W729">_xlfn.IFS(
  A729="BELL", "WHITE",
  A729="GAMP", "ORANGE",
  A729="GAMM", "GREEN",
  A729="BWF", "YELLOW",
  OR(A729="TNBE", A729="TNBL", A729="TNBD", A729="TNWC", A729="TNBW", A729="THBS"), "PINK",
  A729="CRWD", "BLUE",
  A729="PASS", "WHITE"
)</f>
        <v>#N/A</v>
      </c>
    </row>
    <row r="730" spans="1:23" x14ac:dyDescent="0.25">
      <c r="A730" s="7"/>
      <c r="B730" s="7"/>
      <c r="C730" s="4"/>
      <c r="I730" s="3"/>
      <c r="J730" s="17"/>
      <c r="K730" s="17"/>
      <c r="L730" s="18"/>
      <c r="M730" s="3"/>
      <c r="P730" s="3"/>
      <c r="Q730" s="4"/>
      <c r="R730" s="19"/>
      <c r="S730" s="20"/>
      <c r="U730" s="3" t="str">
        <f t="shared" si="26"/>
        <v/>
      </c>
      <c r="V730" s="4" t="str">
        <f t="shared" si="27"/>
        <v/>
      </c>
      <c r="W730" s="21" t="e" cm="1">
        <f t="array" ref="W730">_xlfn.IFS(
  A730="BELL", "WHITE",
  A730="GAMP", "ORANGE",
  A730="GAMM", "GREEN",
  A730="BWF", "YELLOW",
  OR(A730="TNBE", A730="TNBL", A730="TNBD", A730="TNWC", A730="TNBW", A730="THBS"), "PINK",
  A730="CRWD", "BLUE",
  A730="PASS", "WHITE"
)</f>
        <v>#N/A</v>
      </c>
    </row>
    <row r="731" spans="1:23" x14ac:dyDescent="0.25">
      <c r="A731" s="7"/>
      <c r="B731" s="7"/>
      <c r="C731" s="4"/>
      <c r="I731" s="3"/>
      <c r="J731" s="17"/>
      <c r="K731" s="17"/>
      <c r="L731" s="18"/>
      <c r="M731" s="3"/>
      <c r="P731" s="3"/>
      <c r="Q731" s="4"/>
      <c r="R731" s="19"/>
      <c r="S731" s="20"/>
      <c r="U731" s="3" t="str">
        <f t="shared" si="26"/>
        <v/>
      </c>
      <c r="V731" s="4" t="str">
        <f t="shared" si="27"/>
        <v/>
      </c>
      <c r="W731" s="21" t="e" cm="1">
        <f t="array" ref="W731">_xlfn.IFS(
  A731="BELL", "WHITE",
  A731="GAMP", "ORANGE",
  A731="GAMM", "GREEN",
  A731="BWF", "YELLOW",
  OR(A731="TNBE", A731="TNBL", A731="TNBD", A731="TNWC", A731="TNBW", A731="THBS"), "PINK",
  A731="CRWD", "BLUE",
  A731="PASS", "WHITE"
)</f>
        <v>#N/A</v>
      </c>
    </row>
    <row r="732" spans="1:23" x14ac:dyDescent="0.25">
      <c r="A732" s="7"/>
      <c r="B732" s="7"/>
      <c r="C732" s="4"/>
      <c r="I732" s="3"/>
      <c r="J732" s="17"/>
      <c r="K732" s="17"/>
      <c r="L732" s="18"/>
      <c r="M732" s="3"/>
      <c r="P732" s="3"/>
      <c r="Q732" s="4"/>
      <c r="R732" s="19"/>
      <c r="S732" s="20"/>
      <c r="U732" s="3" t="str">
        <f t="shared" si="26"/>
        <v/>
      </c>
      <c r="V732" s="4" t="str">
        <f t="shared" si="27"/>
        <v/>
      </c>
      <c r="W732" s="21" t="e" cm="1">
        <f t="array" ref="W732">_xlfn.IFS(
  A732="BELL", "WHITE",
  A732="GAMP", "ORANGE",
  A732="GAMM", "GREEN",
  A732="BWF", "YELLOW",
  OR(A732="TNBE", A732="TNBL", A732="TNBD", A732="TNWC", A732="TNBW", A732="THBS"), "PINK",
  A732="CRWD", "BLUE",
  A732="PASS", "WHITE"
)</f>
        <v>#N/A</v>
      </c>
    </row>
    <row r="733" spans="1:23" x14ac:dyDescent="0.25">
      <c r="A733" s="7"/>
      <c r="B733" s="7"/>
      <c r="C733" s="4"/>
      <c r="I733" s="3"/>
      <c r="J733" s="17"/>
      <c r="K733" s="17"/>
      <c r="L733" s="18"/>
      <c r="M733" s="3"/>
      <c r="P733" s="3"/>
      <c r="Q733" s="4"/>
      <c r="R733" s="19"/>
      <c r="S733" s="20"/>
      <c r="U733" s="3" t="str">
        <f t="shared" si="26"/>
        <v/>
      </c>
      <c r="V733" s="4" t="str">
        <f t="shared" si="27"/>
        <v/>
      </c>
      <c r="W733" s="21" t="e" cm="1">
        <f t="array" ref="W733">_xlfn.IFS(
  A733="BELL", "WHITE",
  A733="GAMP", "ORANGE",
  A733="GAMM", "GREEN",
  A733="BWF", "YELLOW",
  OR(A733="TNBE", A733="TNBL", A733="TNBD", A733="TNWC", A733="TNBW", A733="THBS"), "PINK",
  A733="CRWD", "BLUE",
  A733="PASS", "WHITE"
)</f>
        <v>#N/A</v>
      </c>
    </row>
    <row r="734" spans="1:23" x14ac:dyDescent="0.25">
      <c r="A734" s="7"/>
      <c r="B734" s="7"/>
      <c r="C734" s="4"/>
      <c r="I734" s="3"/>
      <c r="J734" s="17"/>
      <c r="K734" s="17"/>
      <c r="L734" s="18"/>
      <c r="M734" s="3"/>
      <c r="P734" s="3"/>
      <c r="Q734" s="4"/>
      <c r="R734" s="19"/>
      <c r="S734" s="20"/>
      <c r="U734" s="3" t="str">
        <f t="shared" si="26"/>
        <v/>
      </c>
      <c r="V734" s="4" t="str">
        <f t="shared" si="27"/>
        <v/>
      </c>
      <c r="W734" s="21" t="e" cm="1">
        <f t="array" ref="W734">_xlfn.IFS(
  A734="BELL", "WHITE",
  A734="GAMP", "ORANGE",
  A734="GAMM", "GREEN",
  A734="BWF", "YELLOW",
  OR(A734="TNBE", A734="TNBL", A734="TNBD", A734="TNWC", A734="TNBW", A734="THBS"), "PINK",
  A734="CRWD", "BLUE",
  A734="PASS", "WHITE"
)</f>
        <v>#N/A</v>
      </c>
    </row>
    <row r="735" spans="1:23" x14ac:dyDescent="0.25">
      <c r="A735" s="7"/>
      <c r="B735" s="7"/>
      <c r="C735" s="4"/>
      <c r="I735" s="3"/>
      <c r="J735" s="17"/>
      <c r="K735" s="17"/>
      <c r="L735" s="18"/>
      <c r="M735" s="3"/>
      <c r="P735" s="3"/>
      <c r="Q735" s="4"/>
      <c r="R735" s="19"/>
      <c r="S735" s="20"/>
      <c r="U735" s="3" t="str">
        <f t="shared" si="26"/>
        <v/>
      </c>
      <c r="V735" s="4" t="str">
        <f t="shared" si="27"/>
        <v/>
      </c>
      <c r="W735" s="21" t="e" cm="1">
        <f t="array" ref="W735">_xlfn.IFS(
  A735="BELL", "WHITE",
  A735="GAMP", "ORANGE",
  A735="GAMM", "GREEN",
  A735="BWF", "YELLOW",
  OR(A735="TNBE", A735="TNBL", A735="TNBD", A735="TNWC", A735="TNBW", A735="THBS"), "PINK",
  A735="CRWD", "BLUE",
  A735="PASS", "WHITE"
)</f>
        <v>#N/A</v>
      </c>
    </row>
    <row r="736" spans="1:23" x14ac:dyDescent="0.25">
      <c r="A736" s="7"/>
      <c r="B736" s="7"/>
      <c r="C736" s="4"/>
      <c r="I736" s="3"/>
      <c r="J736" s="17"/>
      <c r="K736" s="17"/>
      <c r="L736" s="18"/>
      <c r="M736" s="3"/>
      <c r="P736" s="3"/>
      <c r="Q736" s="4"/>
      <c r="R736" s="19"/>
      <c r="S736" s="20"/>
      <c r="U736" s="3" t="str">
        <f t="shared" si="26"/>
        <v/>
      </c>
      <c r="V736" s="4" t="str">
        <f t="shared" si="27"/>
        <v/>
      </c>
      <c r="W736" s="21" t="e" cm="1">
        <f t="array" ref="W736">_xlfn.IFS(
  A736="BELL", "WHITE",
  A736="GAMP", "ORANGE",
  A736="GAMM", "GREEN",
  A736="BWF", "YELLOW",
  OR(A736="TNBE", A736="TNBL", A736="TNBD", A736="TNWC", A736="TNBW", A736="THBS"), "PINK",
  A736="CRWD", "BLUE",
  A736="PASS", "WHITE"
)</f>
        <v>#N/A</v>
      </c>
    </row>
    <row r="737" spans="1:23" x14ac:dyDescent="0.25">
      <c r="A737" s="7"/>
      <c r="B737" s="26"/>
      <c r="C737" s="4"/>
      <c r="H737" s="2"/>
      <c r="I737" s="3"/>
      <c r="J737" s="17"/>
      <c r="K737" s="17"/>
      <c r="L737" s="18"/>
      <c r="M737" s="18"/>
      <c r="P737" s="3"/>
      <c r="Q737" s="4"/>
      <c r="R737" s="19"/>
      <c r="S737" s="20"/>
      <c r="U737" s="3" t="str">
        <f t="shared" si="26"/>
        <v/>
      </c>
      <c r="V737" s="4" t="str">
        <f t="shared" si="27"/>
        <v/>
      </c>
      <c r="W737" s="21" t="e" cm="1">
        <f t="array" ref="W737">_xlfn.IFS(
  A737="BELL", "WHITE",
  A737="GAMP", "ORANGE",
  A737="GAMM", "GREEN",
  A737="BWF", "YELLOW",
  OR(A737="TNBE", A737="TNBL", A737="TNBD", A737="TNWC", A737="TNBW", A737="THBS"), "PINK",
  A737="CRWD", "BLUE",
  A737="PASS", "WHITE"
)</f>
        <v>#N/A</v>
      </c>
    </row>
    <row r="738" spans="1:23" x14ac:dyDescent="0.25">
      <c r="A738" s="7"/>
      <c r="B738" s="26"/>
      <c r="C738" s="4"/>
      <c r="H738" s="2"/>
      <c r="I738" s="3"/>
      <c r="J738" s="17"/>
      <c r="K738" s="17"/>
      <c r="L738" s="18"/>
      <c r="M738" s="18"/>
      <c r="P738" s="3"/>
      <c r="Q738" s="4"/>
      <c r="R738" s="19"/>
      <c r="S738" s="20"/>
      <c r="U738" s="3" t="str">
        <f t="shared" si="26"/>
        <v/>
      </c>
      <c r="V738" s="4" t="str">
        <f t="shared" si="27"/>
        <v/>
      </c>
      <c r="W738" s="21" t="e" cm="1">
        <f t="array" ref="W738">_xlfn.IFS(
  A738="BELL", "WHITE",
  A738="GAMP", "ORANGE",
  A738="GAMM", "GREEN",
  A738="BWF", "YELLOW",
  OR(A738="TNBE", A738="TNBL", A738="TNBD", A738="TNWC", A738="TNBW", A738="THBS"), "PINK",
  A738="CRWD", "BLUE",
  A738="PASS", "WHITE"
)</f>
        <v>#N/A</v>
      </c>
    </row>
    <row r="739" spans="1:23" x14ac:dyDescent="0.25">
      <c r="A739" s="7"/>
      <c r="B739" s="26"/>
      <c r="C739" s="4"/>
      <c r="H739" s="2"/>
      <c r="I739" s="3"/>
      <c r="J739" s="17"/>
      <c r="K739" s="17"/>
      <c r="L739" s="18"/>
      <c r="M739" s="18"/>
      <c r="P739" s="3"/>
      <c r="Q739" s="4"/>
      <c r="R739" s="19"/>
      <c r="S739" s="20"/>
      <c r="U739" s="3" t="str">
        <f t="shared" si="26"/>
        <v/>
      </c>
      <c r="V739" s="4" t="str">
        <f t="shared" si="27"/>
        <v/>
      </c>
      <c r="W739" s="21" t="e" cm="1">
        <f t="array" ref="W739">_xlfn.IFS(
  A739="BELL", "WHITE",
  A739="GAMP", "ORANGE",
  A739="GAMM", "GREEN",
  A739="BWF", "YELLOW",
  OR(A739="TNBE", A739="TNBL", A739="TNBD", A739="TNWC", A739="TNBW", A739="THBS"), "PINK",
  A739="CRWD", "BLUE",
  A739="PASS", "WHITE"
)</f>
        <v>#N/A</v>
      </c>
    </row>
    <row r="740" spans="1:23" x14ac:dyDescent="0.25">
      <c r="A740" s="7"/>
      <c r="B740" s="7"/>
      <c r="C740" s="4"/>
      <c r="H740" s="2"/>
      <c r="I740" s="3"/>
      <c r="J740" s="17"/>
      <c r="K740" s="17"/>
      <c r="L740" s="18"/>
      <c r="M740" s="18"/>
      <c r="P740" s="3"/>
      <c r="Q740" s="4"/>
      <c r="R740" s="19"/>
      <c r="S740" s="20"/>
      <c r="U740" s="3" t="str">
        <f t="shared" si="26"/>
        <v/>
      </c>
      <c r="V740" s="4" t="str">
        <f t="shared" si="27"/>
        <v/>
      </c>
      <c r="W740" s="21" t="e" cm="1">
        <f t="array" ref="W740">_xlfn.IFS(
  A740="BELL", "WHITE",
  A740="GAMP", "ORANGE",
  A740="GAMM", "GREEN",
  A740="BWF", "YELLOW",
  OR(A740="TNBE", A740="TNBL", A740="TNBD", A740="TNWC", A740="TNBW", A740="THBS"), "PINK",
  A740="CRWD", "BLUE",
  A740="PASS", "WHITE"
)</f>
        <v>#N/A</v>
      </c>
    </row>
    <row r="741" spans="1:23" x14ac:dyDescent="0.25">
      <c r="A741" s="7"/>
      <c r="B741" s="7"/>
      <c r="C741" s="4"/>
      <c r="H741" s="2"/>
      <c r="I741" s="3"/>
      <c r="J741" s="17"/>
      <c r="K741" s="17"/>
      <c r="L741" s="18"/>
      <c r="M741" s="18"/>
      <c r="P741" s="3"/>
      <c r="Q741" s="4"/>
      <c r="R741" s="19"/>
      <c r="S741" s="20"/>
      <c r="U741" s="3" t="str">
        <f t="shared" si="26"/>
        <v/>
      </c>
      <c r="V741" s="4" t="str">
        <f t="shared" si="27"/>
        <v/>
      </c>
      <c r="W741" s="21" t="e" cm="1">
        <f t="array" ref="W741">_xlfn.IFS(
  A741="BELL", "WHITE",
  A741="GAMP", "ORANGE",
  A741="GAMM", "GREEN",
  A741="BWF", "YELLOW",
  OR(A741="TNBE", A741="TNBL", A741="TNBD", A741="TNWC", A741="TNBW", A741="THBS"), "PINK",
  A741="CRWD", "BLUE",
  A741="PASS", "WHITE"
)</f>
        <v>#N/A</v>
      </c>
    </row>
    <row r="742" spans="1:23" x14ac:dyDescent="0.25">
      <c r="A742" s="7"/>
      <c r="B742" s="7"/>
      <c r="C742" s="4"/>
      <c r="H742" s="2"/>
      <c r="I742" s="3"/>
      <c r="J742" s="17"/>
      <c r="K742" s="17"/>
      <c r="L742" s="18"/>
      <c r="M742" s="18"/>
      <c r="P742" s="3"/>
      <c r="Q742" s="4"/>
      <c r="R742" s="19"/>
      <c r="S742" s="20"/>
      <c r="U742" s="3" t="str">
        <f t="shared" si="26"/>
        <v/>
      </c>
      <c r="V742" s="4" t="str">
        <f t="shared" si="27"/>
        <v/>
      </c>
      <c r="W742" s="21" t="e" cm="1">
        <f t="array" ref="W742">_xlfn.IFS(
  A742="BELL", "WHITE",
  A742="GAMP", "ORANGE",
  A742="GAMM", "GREEN",
  A742="BWF", "YELLOW",
  OR(A742="TNBE", A742="TNBL", A742="TNBD", A742="TNWC", A742="TNBW", A742="THBS"), "PINK",
  A742="CRWD", "BLUE",
  A742="PASS", "WHITE"
)</f>
        <v>#N/A</v>
      </c>
    </row>
    <row r="743" spans="1:23" x14ac:dyDescent="0.25">
      <c r="A743" s="7"/>
      <c r="B743" s="7"/>
      <c r="C743" s="4"/>
      <c r="D743" s="26"/>
      <c r="E743" s="26"/>
      <c r="H743" s="2"/>
      <c r="I743" s="3"/>
      <c r="J743" s="17"/>
      <c r="K743" s="17"/>
      <c r="L743" s="18"/>
      <c r="M743" s="3"/>
      <c r="P743" s="3"/>
      <c r="Q743" s="4"/>
      <c r="R743" s="19"/>
      <c r="S743" s="20"/>
      <c r="U743" s="3" t="str">
        <f t="shared" si="26"/>
        <v/>
      </c>
      <c r="V743" s="4" t="str">
        <f t="shared" si="27"/>
        <v/>
      </c>
      <c r="W743" s="21" t="e" cm="1">
        <f t="array" ref="W743">_xlfn.IFS(
  A743="BELL", "WHITE",
  A743="GAMP", "ORANGE",
  A743="GAMM", "GREEN",
  A743="BWF", "YELLOW",
  OR(A743="TNBE", A743="TNBL", A743="TNBD", A743="TNWC", A743="TNBW", A743="THBS"), "PINK",
  A743="CRWD", "BLUE",
  A743="PASS", "WHITE"
)</f>
        <v>#N/A</v>
      </c>
    </row>
    <row r="744" spans="1:23" x14ac:dyDescent="0.25">
      <c r="A744" s="7"/>
      <c r="B744" s="7"/>
      <c r="C744" s="4"/>
      <c r="D744" s="26"/>
      <c r="E744" s="26"/>
      <c r="H744" s="2"/>
      <c r="I744" s="3"/>
      <c r="J744" s="17"/>
      <c r="K744" s="17"/>
      <c r="L744" s="18"/>
      <c r="M744" s="3"/>
      <c r="P744" s="3"/>
      <c r="Q744" s="4"/>
      <c r="R744" s="19"/>
      <c r="S744" s="20"/>
      <c r="U744" s="3" t="str">
        <f t="shared" si="26"/>
        <v/>
      </c>
      <c r="V744" s="4" t="str">
        <f t="shared" si="27"/>
        <v/>
      </c>
      <c r="W744" s="21" t="e" cm="1">
        <f t="array" ref="W744">_xlfn.IFS(
  A744="BELL", "WHITE",
  A744="GAMP", "ORANGE",
  A744="GAMM", "GREEN",
  A744="BWF", "YELLOW",
  OR(A744="TNBE", A744="TNBL", A744="TNBD", A744="TNWC", A744="TNBW", A744="THBS"), "PINK",
  A744="CRWD", "BLUE",
  A744="PASS", "WHITE"
)</f>
        <v>#N/A</v>
      </c>
    </row>
    <row r="745" spans="1:23" x14ac:dyDescent="0.25">
      <c r="A745" s="7"/>
      <c r="B745" s="7"/>
      <c r="C745" s="4"/>
      <c r="D745" s="26"/>
      <c r="E745" s="26"/>
      <c r="H745" s="2"/>
      <c r="I745" s="3"/>
      <c r="J745" s="17"/>
      <c r="K745" s="17"/>
      <c r="L745" s="18"/>
      <c r="M745" s="3"/>
      <c r="P745" s="3"/>
      <c r="Q745" s="4"/>
      <c r="R745" s="19"/>
      <c r="S745" s="20"/>
      <c r="U745" s="3" t="str">
        <f t="shared" si="26"/>
        <v/>
      </c>
      <c r="V745" s="4" t="str">
        <f t="shared" si="27"/>
        <v/>
      </c>
      <c r="W745" s="21" t="e" cm="1">
        <f t="array" ref="W745">_xlfn.IFS(
  A745="BELL", "WHITE",
  A745="GAMP", "ORANGE",
  A745="GAMM", "GREEN",
  A745="BWF", "YELLOW",
  OR(A745="TNBE", A745="TNBL", A745="TNBD", A745="TNWC", A745="TNBW", A745="THBS"), "PINK",
  A745="CRWD", "BLUE",
  A745="PASS", "WHITE"
)</f>
        <v>#N/A</v>
      </c>
    </row>
    <row r="746" spans="1:23" x14ac:dyDescent="0.25">
      <c r="A746" s="7"/>
      <c r="B746" s="7"/>
      <c r="C746" s="4"/>
      <c r="D746" s="26"/>
      <c r="E746" s="26"/>
      <c r="H746" s="2"/>
      <c r="I746" s="3"/>
      <c r="J746" s="17"/>
      <c r="K746" s="17"/>
      <c r="L746" s="18"/>
      <c r="M746" s="3"/>
      <c r="P746" s="3"/>
      <c r="Q746" s="4"/>
      <c r="R746" s="19"/>
      <c r="S746" s="20"/>
      <c r="U746" s="3" t="str">
        <f t="shared" si="26"/>
        <v/>
      </c>
      <c r="V746" s="4" t="str">
        <f t="shared" si="27"/>
        <v/>
      </c>
      <c r="W746" s="21" t="e" cm="1">
        <f t="array" ref="W746">_xlfn.IFS(
  A746="BELL", "WHITE",
  A746="GAMP", "ORANGE",
  A746="GAMM", "GREEN",
  A746="BWF", "YELLOW",
  OR(A746="TNBE", A746="TNBL", A746="TNBD", A746="TNWC", A746="TNBW", A746="THBS"), "PINK",
  A746="CRWD", "BLUE",
  A746="PASS", "WHITE"
)</f>
        <v>#N/A</v>
      </c>
    </row>
    <row r="747" spans="1:23" x14ac:dyDescent="0.25">
      <c r="A747" s="7"/>
      <c r="B747" s="7"/>
      <c r="C747" s="4"/>
      <c r="D747" s="28"/>
      <c r="E747" s="28"/>
      <c r="H747" s="2"/>
      <c r="I747" s="3"/>
      <c r="J747" s="17"/>
      <c r="K747" s="17"/>
      <c r="L747" s="18"/>
      <c r="M747" s="3"/>
      <c r="P747" s="3"/>
      <c r="Q747" s="4"/>
      <c r="R747" s="19"/>
      <c r="S747" s="20"/>
      <c r="U747" s="3" t="str">
        <f t="shared" si="26"/>
        <v/>
      </c>
      <c r="V747" s="4" t="str">
        <f t="shared" si="27"/>
        <v/>
      </c>
      <c r="W747" s="21" t="e" cm="1">
        <f t="array" ref="W747">_xlfn.IFS(
  A747="BELL", "WHITE",
  A747="GAMP", "ORANGE",
  A747="GAMM", "GREEN",
  A747="BWF", "YELLOW",
  OR(A747="TNBE", A747="TNBL", A747="TNBD", A747="TNWC", A747="TNBW", A747="THBS"), "PINK",
  A747="CRWD", "BLUE",
  A747="PASS", "WHITE"
)</f>
        <v>#N/A</v>
      </c>
    </row>
    <row r="748" spans="1:23" x14ac:dyDescent="0.25">
      <c r="A748" s="7"/>
      <c r="B748" s="7"/>
      <c r="C748" s="4"/>
      <c r="D748" s="26"/>
      <c r="E748" s="26"/>
      <c r="H748" s="2"/>
      <c r="I748" s="3"/>
      <c r="J748" s="17"/>
      <c r="K748" s="17"/>
      <c r="L748" s="18"/>
      <c r="M748" s="3"/>
      <c r="P748" s="3"/>
      <c r="Q748" s="4"/>
      <c r="R748" s="19"/>
      <c r="S748" s="20"/>
      <c r="U748" s="3" t="str">
        <f t="shared" si="26"/>
        <v/>
      </c>
      <c r="V748" s="4" t="str">
        <f t="shared" si="27"/>
        <v/>
      </c>
      <c r="W748" s="21" t="e" cm="1">
        <f t="array" ref="W748">_xlfn.IFS(
  A748="BELL", "WHITE",
  A748="GAMP", "ORANGE",
  A748="GAMM", "GREEN",
  A748="BWF", "YELLOW",
  OR(A748="TNBE", A748="TNBL", A748="TNBD", A748="TNWC", A748="TNBW", A748="THBS"), "PINK",
  A748="CRWD", "BLUE",
  A748="PASS", "WHITE"
)</f>
        <v>#N/A</v>
      </c>
    </row>
    <row r="749" spans="1:23" x14ac:dyDescent="0.25">
      <c r="A749" s="7"/>
      <c r="B749" s="7"/>
      <c r="C749" s="4"/>
      <c r="D749" s="26"/>
      <c r="E749" s="26"/>
      <c r="H749" s="2"/>
      <c r="I749" s="3"/>
      <c r="J749" s="17"/>
      <c r="K749" s="17"/>
      <c r="L749" s="18"/>
      <c r="M749" s="3"/>
      <c r="P749" s="3"/>
      <c r="Q749" s="4"/>
      <c r="R749" s="19"/>
      <c r="S749" s="20"/>
      <c r="U749" s="3" t="str">
        <f t="shared" si="26"/>
        <v/>
      </c>
      <c r="V749" s="4" t="str">
        <f t="shared" si="27"/>
        <v/>
      </c>
      <c r="W749" s="21" t="e" cm="1">
        <f t="array" ref="W749">_xlfn.IFS(
  A749="BELL", "WHITE",
  A749="GAMP", "ORANGE",
  A749="GAMM", "GREEN",
  A749="BWF", "YELLOW",
  OR(A749="TNBE", A749="TNBL", A749="TNBD", A749="TNWC", A749="TNBW", A749="THBS"), "PINK",
  A749="CRWD", "BLUE",
  A749="PASS", "WHITE"
)</f>
        <v>#N/A</v>
      </c>
    </row>
    <row r="750" spans="1:23" x14ac:dyDescent="0.25">
      <c r="A750" s="7"/>
      <c r="B750" s="26"/>
      <c r="C750" s="4"/>
      <c r="D750" s="32"/>
      <c r="E750" s="26"/>
      <c r="H750" s="2"/>
      <c r="I750" s="3"/>
      <c r="J750" s="17"/>
      <c r="K750" s="17"/>
      <c r="L750" s="18"/>
      <c r="M750" s="3"/>
      <c r="P750" s="3"/>
      <c r="Q750" s="4"/>
      <c r="R750" s="19"/>
      <c r="S750" s="20"/>
      <c r="U750" s="3" t="str">
        <f t="shared" si="26"/>
        <v/>
      </c>
      <c r="V750" s="4" t="str">
        <f t="shared" si="27"/>
        <v/>
      </c>
      <c r="W750" s="21" t="e" cm="1">
        <f t="array" ref="W750">_xlfn.IFS(
  A750="BELL", "WHITE",
  A750="GAMP", "ORANGE",
  A750="GAMM", "GREEN",
  A750="BWF", "YELLOW",
  OR(A750="TNBE", A750="TNBL", A750="TNBD", A750="TNWC", A750="TNBW", A750="THBS"), "PINK",
  A750="CRWD", "BLUE",
  A750="PASS", "WHITE"
)</f>
        <v>#N/A</v>
      </c>
    </row>
    <row r="751" spans="1:23" x14ac:dyDescent="0.25">
      <c r="A751" s="7"/>
      <c r="B751" s="26"/>
      <c r="C751" s="4"/>
      <c r="D751" s="28"/>
      <c r="E751" s="26"/>
      <c r="H751" s="2"/>
      <c r="I751" s="3"/>
      <c r="J751" s="17"/>
      <c r="K751" s="17"/>
      <c r="L751" s="18"/>
      <c r="M751" s="3"/>
      <c r="P751" s="3"/>
      <c r="Q751" s="4"/>
      <c r="R751" s="19"/>
      <c r="S751" s="20"/>
      <c r="U751" s="3" t="str">
        <f t="shared" si="26"/>
        <v/>
      </c>
      <c r="V751" s="4" t="str">
        <f t="shared" si="27"/>
        <v/>
      </c>
      <c r="W751" s="21" t="e" cm="1">
        <f t="array" ref="W751">_xlfn.IFS(
  A751="BELL", "WHITE",
  A751="GAMP", "ORANGE",
  A751="GAMM", "GREEN",
  A751="BWF", "YELLOW",
  OR(A751="TNBE", A751="TNBL", A751="TNBD", A751="TNWC", A751="TNBW", A751="THBS"), "PINK",
  A751="CRWD", "BLUE",
  A751="PASS", "WHITE"
)</f>
        <v>#N/A</v>
      </c>
    </row>
    <row r="752" spans="1:23" x14ac:dyDescent="0.25">
      <c r="A752" s="7"/>
      <c r="B752"/>
      <c r="C752" s="4"/>
      <c r="G752" s="30"/>
      <c r="I752" s="3"/>
      <c r="J752" s="17"/>
      <c r="K752" s="17"/>
      <c r="L752" s="18"/>
      <c r="M752" s="3"/>
      <c r="P752" s="3"/>
      <c r="Q752" s="4"/>
      <c r="R752" s="19"/>
      <c r="S752" s="20"/>
      <c r="T752" s="30"/>
      <c r="U752" s="3" t="str">
        <f t="shared" si="26"/>
        <v/>
      </c>
      <c r="V752" s="4" t="str">
        <f t="shared" si="27"/>
        <v/>
      </c>
      <c r="W752" s="21" t="e" cm="1">
        <f t="array" ref="W752">_xlfn.IFS(
  A752="BELL", "WHITE",
  A752="GAMP", "ORANGE",
  A752="GAMM", "GREEN",
  A752="BWF", "YELLOW",
  OR(A752="TNBE", A752="TNBL", A752="TNBD", A752="TNWC", A752="TNBW", A752="THBS"), "PINK",
  A752="CRWD", "BLUE",
  A752="PASS", "WHITE"
)</f>
        <v>#N/A</v>
      </c>
    </row>
    <row r="753" spans="1:23" x14ac:dyDescent="0.25">
      <c r="A753" s="7"/>
      <c r="B753" s="7"/>
      <c r="C753" s="4"/>
      <c r="D753" s="25"/>
      <c r="E753" s="29"/>
      <c r="G753" s="30"/>
      <c r="H753" s="30"/>
      <c r="I753" s="3"/>
      <c r="J753" s="17"/>
      <c r="K753" s="17"/>
      <c r="L753" s="18"/>
      <c r="M753" s="3"/>
      <c r="P753" s="3"/>
      <c r="Q753" s="4"/>
      <c r="R753" s="19"/>
      <c r="S753" s="20"/>
      <c r="T753" s="30"/>
      <c r="U753" s="3" t="str">
        <f t="shared" si="26"/>
        <v/>
      </c>
      <c r="V753" s="4" t="str">
        <f t="shared" si="27"/>
        <v/>
      </c>
      <c r="W753" s="21" t="e" cm="1">
        <f t="array" ref="W753">_xlfn.IFS(
  A753="BELL", "WHITE",
  A753="GAMP", "ORANGE",
  A753="GAMM", "GREEN",
  A753="BWF", "YELLOW",
  OR(A753="TNBE", A753="TNBL", A753="TNBD", A753="TNWC", A753="TNBW", A753="THBS"), "PINK",
  A753="CRWD", "BLUE",
  A753="PASS", "WHITE"
)</f>
        <v>#N/A</v>
      </c>
    </row>
    <row r="754" spans="1:23" x14ac:dyDescent="0.25">
      <c r="A754" s="7"/>
      <c r="B754" s="7"/>
      <c r="C754" s="4"/>
      <c r="D754" s="25"/>
      <c r="E754" s="29"/>
      <c r="G754" s="30"/>
      <c r="H754" s="30"/>
      <c r="I754" s="3"/>
      <c r="J754" s="17"/>
      <c r="K754" s="17"/>
      <c r="L754" s="18"/>
      <c r="M754" s="3"/>
      <c r="P754" s="3"/>
      <c r="Q754" s="4"/>
      <c r="R754" s="19"/>
      <c r="S754" s="20"/>
      <c r="T754" s="30"/>
      <c r="U754" s="3" t="str">
        <f t="shared" si="26"/>
        <v/>
      </c>
      <c r="V754" s="4" t="str">
        <f t="shared" si="27"/>
        <v/>
      </c>
      <c r="W754" s="21" t="e" cm="1">
        <f t="array" ref="W754">_xlfn.IFS(
  A754="BELL", "WHITE",
  A754="GAMP", "ORANGE",
  A754="GAMM", "GREEN",
  A754="BWF", "YELLOW",
  OR(A754="TNBE", A754="TNBL", A754="TNBD", A754="TNWC", A754="TNBW", A754="THBS"), "PINK",
  A754="CRWD", "BLUE",
  A754="PASS", "WHITE"
)</f>
        <v>#N/A</v>
      </c>
    </row>
    <row r="755" spans="1:23" x14ac:dyDescent="0.25">
      <c r="A755" s="7"/>
      <c r="B755" s="7"/>
      <c r="C755" s="4"/>
      <c r="D755" s="25"/>
      <c r="E755" s="29"/>
      <c r="G755" s="30"/>
      <c r="H755" s="30"/>
      <c r="I755" s="3"/>
      <c r="J755" s="17"/>
      <c r="K755" s="17"/>
      <c r="L755" s="18"/>
      <c r="M755" s="3"/>
      <c r="P755" s="3"/>
      <c r="Q755" s="4"/>
      <c r="R755" s="19"/>
      <c r="S755" s="20"/>
      <c r="T755" s="30"/>
      <c r="U755" s="3" t="str">
        <f t="shared" si="26"/>
        <v/>
      </c>
      <c r="V755" s="4" t="str">
        <f t="shared" si="27"/>
        <v/>
      </c>
      <c r="W755" s="21" t="e" cm="1">
        <f t="array" ref="W755">_xlfn.IFS(
  A755="BELL", "WHITE",
  A755="GAMP", "ORANGE",
  A755="GAMM", "GREEN",
  A755="BWF", "YELLOW",
  OR(A755="TNBE", A755="TNBL", A755="TNBD", A755="TNWC", A755="TNBW", A755="THBS"), "PINK",
  A755="CRWD", "BLUE",
  A755="PASS", "WHITE"
)</f>
        <v>#N/A</v>
      </c>
    </row>
    <row r="756" spans="1:23" x14ac:dyDescent="0.25">
      <c r="A756" s="7"/>
      <c r="B756" s="7"/>
      <c r="C756" s="4"/>
      <c r="D756" s="25"/>
      <c r="E756" s="29"/>
      <c r="G756" s="30"/>
      <c r="H756" s="30"/>
      <c r="I756" s="3"/>
      <c r="J756" s="17"/>
      <c r="K756" s="17"/>
      <c r="L756" s="18"/>
      <c r="M756" s="3"/>
      <c r="P756" s="3"/>
      <c r="Q756" s="4"/>
      <c r="R756" s="19"/>
      <c r="S756" s="20"/>
      <c r="T756" s="30"/>
      <c r="U756" s="3" t="str">
        <f t="shared" si="26"/>
        <v/>
      </c>
      <c r="V756" s="4" t="str">
        <f t="shared" si="27"/>
        <v/>
      </c>
      <c r="W756" s="21" t="e" cm="1">
        <f t="array" ref="W756">_xlfn.IFS(
  A756="BELL", "WHITE",
  A756="GAMP", "ORANGE",
  A756="GAMM", "GREEN",
  A756="BWF", "YELLOW",
  OR(A756="TNBE", A756="TNBL", A756="TNBD", A756="TNWC", A756="TNBW", A756="THBS"), "PINK",
  A756="CRWD", "BLUE",
  A756="PASS", "WHITE"
)</f>
        <v>#N/A</v>
      </c>
    </row>
    <row r="757" spans="1:23" x14ac:dyDescent="0.25">
      <c r="A757" s="7"/>
      <c r="B757" s="7"/>
      <c r="C757" s="4"/>
      <c r="D757" s="25"/>
      <c r="E757" s="29"/>
      <c r="G757" s="30"/>
      <c r="H757" s="30"/>
      <c r="I757" s="3"/>
      <c r="J757" s="17"/>
      <c r="K757" s="17"/>
      <c r="L757" s="18"/>
      <c r="M757" s="3"/>
      <c r="P757" s="3"/>
      <c r="Q757" s="4"/>
      <c r="R757" s="19"/>
      <c r="S757" s="20"/>
      <c r="T757" s="30"/>
      <c r="U757" s="3" t="str">
        <f t="shared" si="26"/>
        <v/>
      </c>
      <c r="V757" s="4" t="str">
        <f t="shared" si="27"/>
        <v/>
      </c>
      <c r="W757" s="21" t="e" cm="1">
        <f t="array" ref="W757">_xlfn.IFS(
  A757="BELL", "WHITE",
  A757="GAMP", "ORANGE",
  A757="GAMM", "GREEN",
  A757="BWF", "YELLOW",
  OR(A757="TNBE", A757="TNBL", A757="TNBD", A757="TNWC", A757="TNBW", A757="THBS"), "PINK",
  A757="CRWD", "BLUE",
  A757="PASS", "WHITE"
)</f>
        <v>#N/A</v>
      </c>
    </row>
    <row r="758" spans="1:23" x14ac:dyDescent="0.25">
      <c r="A758" s="7"/>
      <c r="B758" s="7"/>
      <c r="C758" s="4"/>
      <c r="D758" s="25"/>
      <c r="E758" s="29"/>
      <c r="G758" s="30"/>
      <c r="H758" s="30"/>
      <c r="I758" s="3"/>
      <c r="J758" s="17"/>
      <c r="K758" s="17"/>
      <c r="L758" s="18"/>
      <c r="M758" s="3"/>
      <c r="P758" s="3"/>
      <c r="Q758" s="4"/>
      <c r="R758" s="19"/>
      <c r="S758" s="20"/>
      <c r="T758" s="30"/>
      <c r="U758" s="3" t="str">
        <f t="shared" si="26"/>
        <v/>
      </c>
      <c r="V758" s="4" t="str">
        <f t="shared" si="27"/>
        <v/>
      </c>
      <c r="W758" s="21" t="e" cm="1">
        <f t="array" ref="W758">_xlfn.IFS(
  A758="BELL", "WHITE",
  A758="GAMP", "ORANGE",
  A758="GAMM", "GREEN",
  A758="BWF", "YELLOW",
  OR(A758="TNBE", A758="TNBL", A758="TNBD", A758="TNWC", A758="TNBW", A758="THBS"), "PINK",
  A758="CRWD", "BLUE",
  A758="PASS", "WHITE"
)</f>
        <v>#N/A</v>
      </c>
    </row>
    <row r="759" spans="1:23" x14ac:dyDescent="0.25">
      <c r="A759" s="7"/>
      <c r="B759"/>
      <c r="C759" s="4"/>
      <c r="G759" s="30"/>
      <c r="I759" s="3"/>
      <c r="J759" s="17"/>
      <c r="K759" s="17"/>
      <c r="L759" s="18"/>
      <c r="M759" s="3"/>
      <c r="P759" s="3"/>
      <c r="Q759" s="4"/>
      <c r="R759" s="19"/>
      <c r="S759" s="20"/>
      <c r="T759" s="30"/>
      <c r="U759" s="3" t="str">
        <f t="shared" si="26"/>
        <v/>
      </c>
      <c r="V759" s="4" t="str">
        <f t="shared" si="27"/>
        <v/>
      </c>
      <c r="W759" s="21" t="e" cm="1">
        <f t="array" ref="W759">_xlfn.IFS(
  A759="BELL", "WHITE",
  A759="GAMP", "ORANGE",
  A759="GAMM", "GREEN",
  A759="BWF", "YELLOW",
  OR(A759="TNBE", A759="TNBL", A759="TNBD", A759="TNWC", A759="TNBW", A759="THBS"), "PINK",
  A759="CRWD", "BLUE",
  A759="PASS", "WHITE"
)</f>
        <v>#N/A</v>
      </c>
    </row>
    <row r="760" spans="1:23" x14ac:dyDescent="0.25">
      <c r="A760" s="7"/>
      <c r="B760" s="7"/>
      <c r="C760" s="4"/>
      <c r="E760" s="29"/>
      <c r="I760" s="3"/>
      <c r="J760" s="17"/>
      <c r="K760" s="17"/>
      <c r="L760" s="18"/>
      <c r="M760" s="3"/>
      <c r="P760" s="3"/>
      <c r="Q760" s="4"/>
      <c r="R760" s="19"/>
      <c r="S760" s="20"/>
      <c r="U760" s="3" t="str">
        <f t="shared" si="26"/>
        <v/>
      </c>
      <c r="V760" s="4" t="str">
        <f t="shared" si="27"/>
        <v/>
      </c>
      <c r="W760" s="21" t="e" cm="1">
        <f t="array" ref="W760">_xlfn.IFS(
  A760="BELL", "WHITE",
  A760="GAMP", "ORANGE",
  A760="GAMM", "GREEN",
  A760="BWF", "YELLOW",
  OR(A760="TNBE", A760="TNBL", A760="TNBD", A760="TNWC", A760="TNBW", A760="THBS"), "PINK",
  A760="CRWD", "BLUE",
  A760="PASS", "WHITE"
)</f>
        <v>#N/A</v>
      </c>
    </row>
    <row r="761" spans="1:23" x14ac:dyDescent="0.25">
      <c r="A761" s="7"/>
      <c r="B761" s="26"/>
      <c r="C761" s="4"/>
      <c r="D761" s="28"/>
      <c r="E761" s="28"/>
      <c r="I761" s="3"/>
      <c r="J761" s="17"/>
      <c r="K761" s="17"/>
      <c r="L761" s="18"/>
      <c r="M761" s="3"/>
      <c r="P761" s="3"/>
      <c r="Q761" s="4"/>
      <c r="R761" s="19"/>
      <c r="S761" s="20"/>
      <c r="U761" s="3" t="str">
        <f t="shared" si="26"/>
        <v/>
      </c>
      <c r="V761" s="4" t="str">
        <f t="shared" si="27"/>
        <v/>
      </c>
      <c r="W761" s="21" t="e" cm="1">
        <f t="array" ref="W761">_xlfn.IFS(
  A761="BELL", "WHITE",
  A761="GAMP", "ORANGE",
  A761="GAMM", "GREEN",
  A761="BWF", "YELLOW",
  OR(A761="TNBE", A761="TNBL", A761="TNBD", A761="TNWC", A761="TNBW", A761="THBS"), "PINK",
  A761="CRWD", "BLUE",
  A761="PASS", "WHITE"
)</f>
        <v>#N/A</v>
      </c>
    </row>
    <row r="762" spans="1:23" x14ac:dyDescent="0.25">
      <c r="A762" s="7"/>
      <c r="B762" s="7"/>
      <c r="D762" s="1"/>
      <c r="I762" s="3"/>
      <c r="J762" s="17"/>
      <c r="K762" s="17"/>
      <c r="L762" s="18"/>
      <c r="M762" s="3"/>
      <c r="P762" s="3"/>
      <c r="Q762" s="4"/>
      <c r="R762" s="19"/>
      <c r="S762" s="20"/>
      <c r="U762" s="3" t="str">
        <f t="shared" si="26"/>
        <v/>
      </c>
      <c r="V762" s="4" t="str">
        <f t="shared" si="27"/>
        <v/>
      </c>
      <c r="W762" s="21" t="e" cm="1">
        <f t="array" ref="W762">_xlfn.IFS(
  A762="BELL", "WHITE",
  A762="GAMP", "ORANGE",
  A762="GAMM", "GREEN",
  A762="BWF", "YELLOW",
  OR(A762="TNBE", A762="TNBL", A762="TNBD", A762="TNWC", A762="TNBW", A762="THBS"), "PINK",
  A762="CRWD", "BLUE",
  A762="PASS", "WHITE"
)</f>
        <v>#N/A</v>
      </c>
    </row>
    <row r="763" spans="1:23" x14ac:dyDescent="0.25">
      <c r="A763" s="7"/>
      <c r="B763" s="7"/>
      <c r="D763" s="1"/>
      <c r="H763" s="7"/>
      <c r="I763" s="3"/>
      <c r="J763" s="17"/>
      <c r="K763" s="17"/>
      <c r="L763" s="18"/>
      <c r="M763" s="18"/>
      <c r="P763" s="3"/>
      <c r="Q763" s="4"/>
      <c r="R763" s="19"/>
      <c r="S763" s="20"/>
      <c r="U763" s="3" t="str">
        <f t="shared" si="26"/>
        <v/>
      </c>
      <c r="V763" s="4" t="str">
        <f t="shared" si="27"/>
        <v/>
      </c>
      <c r="W763" s="21" t="e" cm="1">
        <f t="array" ref="W763">_xlfn.IFS(
  A763="BELL", "WHITE",
  A763="GAMP", "ORANGE",
  A763="GAMM", "GREEN",
  A763="BWF", "YELLOW",
  OR(A763="TNBE", A763="TNBL", A763="TNBD", A763="TNWC", A763="TNBW", A763="THBS"), "PINK",
  A763="CRWD", "BLUE",
  A763="PASS", "WHITE"
)</f>
        <v>#N/A</v>
      </c>
    </row>
    <row r="764" spans="1:23" x14ac:dyDescent="0.25">
      <c r="A764" s="7"/>
      <c r="B764" s="7"/>
      <c r="D764" s="1"/>
      <c r="I764" s="3"/>
      <c r="J764" s="17"/>
      <c r="K764" s="17"/>
      <c r="L764" s="18"/>
      <c r="M764" s="3"/>
      <c r="P764" s="3"/>
      <c r="Q764" s="4"/>
      <c r="R764" s="19"/>
      <c r="S764" s="20"/>
      <c r="U764" s="3" t="str">
        <f t="shared" si="26"/>
        <v/>
      </c>
      <c r="V764" s="4" t="str">
        <f t="shared" si="27"/>
        <v/>
      </c>
      <c r="W764" s="21" t="e" cm="1">
        <f t="array" ref="W764">_xlfn.IFS(
  A764="BELL", "WHITE",
  A764="GAMP", "ORANGE",
  A764="GAMM", "GREEN",
  A764="BWF", "YELLOW",
  OR(A764="TNBE", A764="TNBL", A764="TNBD", A764="TNWC", A764="TNBW", A764="THBS"), "PINK",
  A764="CRWD", "BLUE",
  A764="PASS", "WHITE"
)</f>
        <v>#N/A</v>
      </c>
    </row>
    <row r="765" spans="1:23" x14ac:dyDescent="0.25">
      <c r="A765" s="7"/>
      <c r="B765" s="7"/>
      <c r="D765" s="1"/>
      <c r="H765" s="7"/>
      <c r="I765" s="3"/>
      <c r="J765" s="17"/>
      <c r="K765" s="17"/>
      <c r="L765" s="18"/>
      <c r="M765" s="18"/>
      <c r="P765" s="3"/>
      <c r="Q765" s="4"/>
      <c r="R765" s="19"/>
      <c r="S765" s="20"/>
      <c r="U765" s="3" t="str">
        <f t="shared" si="26"/>
        <v/>
      </c>
      <c r="V765" s="4" t="str">
        <f t="shared" si="27"/>
        <v/>
      </c>
      <c r="W765" s="21" t="e" cm="1">
        <f t="array" ref="W765">_xlfn.IFS(
  A765="BELL", "WHITE",
  A765="GAMP", "ORANGE",
  A765="GAMM", "GREEN",
  A765="BWF", "YELLOW",
  OR(A765="TNBE", A765="TNBL", A765="TNBD", A765="TNWC", A765="TNBW", A765="THBS"), "PINK",
  A765="CRWD", "BLUE",
  A765="PASS", "WHITE"
)</f>
        <v>#N/A</v>
      </c>
    </row>
    <row r="766" spans="1:23" x14ac:dyDescent="0.25">
      <c r="A766" s="7"/>
      <c r="B766" s="7"/>
      <c r="D766" s="1"/>
      <c r="I766" s="3"/>
      <c r="J766" s="17"/>
      <c r="K766" s="17"/>
      <c r="L766" s="18"/>
      <c r="M766" s="3"/>
      <c r="P766" s="3"/>
      <c r="Q766" s="4"/>
      <c r="R766" s="19"/>
      <c r="S766" s="20"/>
      <c r="U766" s="3" t="str">
        <f t="shared" si="26"/>
        <v/>
      </c>
      <c r="V766" s="4" t="str">
        <f t="shared" si="27"/>
        <v/>
      </c>
      <c r="W766" s="21" t="e" cm="1">
        <f t="array" ref="W766">_xlfn.IFS(
  A766="BELL", "WHITE",
  A766="GAMP", "ORANGE",
  A766="GAMM", "GREEN",
  A766="BWF", "YELLOW",
  OR(A766="TNBE", A766="TNBL", A766="TNBD", A766="TNWC", A766="TNBW", A766="THBS"), "PINK",
  A766="CRWD", "BLUE",
  A766="PASS", "WHITE"
)</f>
        <v>#N/A</v>
      </c>
    </row>
    <row r="767" spans="1:23" x14ac:dyDescent="0.25">
      <c r="A767" s="7"/>
      <c r="B767" s="7"/>
      <c r="D767" s="1"/>
      <c r="H767" s="7"/>
      <c r="I767" s="3"/>
      <c r="J767" s="17"/>
      <c r="K767" s="17"/>
      <c r="L767" s="18"/>
      <c r="M767" s="18"/>
      <c r="P767" s="3"/>
      <c r="Q767" s="4"/>
      <c r="R767" s="19"/>
      <c r="S767" s="20"/>
      <c r="U767" s="3" t="str">
        <f t="shared" si="26"/>
        <v/>
      </c>
      <c r="V767" s="4" t="str">
        <f t="shared" si="27"/>
        <v/>
      </c>
      <c r="W767" s="21" t="e" cm="1">
        <f t="array" ref="W767">_xlfn.IFS(
  A767="BELL", "WHITE",
  A767="GAMP", "ORANGE",
  A767="GAMM", "GREEN",
  A767="BWF", "YELLOW",
  OR(A767="TNBE", A767="TNBL", A767="TNBD", A767="TNWC", A767="TNBW", A767="THBS"), "PINK",
  A767="CRWD", "BLUE",
  A767="PASS", "WHITE"
)</f>
        <v>#N/A</v>
      </c>
    </row>
    <row r="768" spans="1:23" x14ac:dyDescent="0.25">
      <c r="A768" s="7"/>
      <c r="B768" s="7"/>
      <c r="D768" s="1"/>
      <c r="E768" s="29"/>
      <c r="I768" s="3"/>
      <c r="J768" s="17"/>
      <c r="K768" s="17"/>
      <c r="L768" s="18"/>
      <c r="M768" s="3"/>
      <c r="P768" s="3"/>
      <c r="Q768" s="4"/>
      <c r="R768" s="19"/>
      <c r="S768" s="20"/>
      <c r="U768" s="3" t="str">
        <f t="shared" si="26"/>
        <v/>
      </c>
      <c r="V768" s="4" t="str">
        <f t="shared" si="27"/>
        <v/>
      </c>
      <c r="W768" s="21" t="e" cm="1">
        <f t="array" ref="W768">_xlfn.IFS(
  A768="BELL", "WHITE",
  A768="GAMP", "ORANGE",
  A768="GAMM", "GREEN",
  A768="BWF", "YELLOW",
  OR(A768="TNBE", A768="TNBL", A768="TNBD", A768="TNWC", A768="TNBW", A768="THBS"), "PINK",
  A768="CRWD", "BLUE",
  A768="PASS", "WHITE"
)</f>
        <v>#N/A</v>
      </c>
    </row>
    <row r="769" spans="1:23" x14ac:dyDescent="0.25">
      <c r="A769" s="7"/>
      <c r="B769" s="7"/>
      <c r="D769" s="1"/>
      <c r="E769" s="29"/>
      <c r="I769" s="3"/>
      <c r="J769" s="17"/>
      <c r="K769" s="17"/>
      <c r="L769" s="18"/>
      <c r="M769" s="3"/>
      <c r="P769" s="3"/>
      <c r="Q769" s="4"/>
      <c r="R769" s="19"/>
      <c r="S769" s="20"/>
      <c r="U769" s="3" t="str">
        <f t="shared" si="26"/>
        <v/>
      </c>
      <c r="V769" s="4" t="str">
        <f t="shared" si="27"/>
        <v/>
      </c>
      <c r="W769" s="21" t="e" cm="1">
        <f t="array" ref="W769">_xlfn.IFS(
  A769="BELL", "WHITE",
  A769="GAMP", "ORANGE",
  A769="GAMM", "GREEN",
  A769="BWF", "YELLOW",
  OR(A769="TNBE", A769="TNBL", A769="TNBD", A769="TNWC", A769="TNBW", A769="THBS"), "PINK",
  A769="CRWD", "BLUE",
  A769="PASS", "WHITE"
)</f>
        <v>#N/A</v>
      </c>
    </row>
    <row r="770" spans="1:23" x14ac:dyDescent="0.25">
      <c r="A770" s="7"/>
      <c r="B770" s="7"/>
      <c r="D770" s="1"/>
      <c r="I770" s="3"/>
      <c r="J770" s="17"/>
      <c r="K770" s="17"/>
      <c r="L770" s="18"/>
      <c r="M770" s="3"/>
      <c r="P770" s="3"/>
      <c r="Q770" s="4"/>
      <c r="R770" s="19"/>
      <c r="S770" s="20"/>
      <c r="U770" s="3" t="str">
        <f t="shared" si="26"/>
        <v/>
      </c>
      <c r="V770" s="4" t="str">
        <f t="shared" si="27"/>
        <v/>
      </c>
      <c r="W770" s="21" t="e" cm="1">
        <f t="array" ref="W770">_xlfn.IFS(
  A770="BELL", "WHITE",
  A770="GAMP", "ORANGE",
  A770="GAMM", "GREEN",
  A770="BWF", "YELLOW",
  OR(A770="TNBE", A770="TNBL", A770="TNBD", A770="TNWC", A770="TNBW", A770="THBS"), "PINK",
  A770="CRWD", "BLUE",
  A770="PASS", "WHITE"
)</f>
        <v>#N/A</v>
      </c>
    </row>
    <row r="771" spans="1:23" x14ac:dyDescent="0.25">
      <c r="A771" s="7"/>
      <c r="B771" s="7"/>
      <c r="D771" s="1"/>
      <c r="H771" s="7"/>
      <c r="I771" s="3"/>
      <c r="J771" s="17"/>
      <c r="K771" s="17"/>
      <c r="L771" s="18"/>
      <c r="M771" s="18"/>
      <c r="P771" s="3"/>
      <c r="Q771" s="4"/>
      <c r="R771" s="19"/>
      <c r="S771" s="20"/>
      <c r="U771" s="3" t="str">
        <f t="shared" si="26"/>
        <v/>
      </c>
      <c r="V771" s="4" t="str">
        <f t="shared" si="27"/>
        <v/>
      </c>
      <c r="W771" s="21" t="e" cm="1">
        <f t="array" ref="W771">_xlfn.IFS(
  A771="BELL", "WHITE",
  A771="GAMP", "ORANGE",
  A771="GAMM", "GREEN",
  A771="BWF", "YELLOW",
  OR(A771="TNBE", A771="TNBL", A771="TNBD", A771="TNWC", A771="TNBW", A771="THBS"), "PINK",
  A771="CRWD", "BLUE",
  A771="PASS", "WHITE"
)</f>
        <v>#N/A</v>
      </c>
    </row>
    <row r="772" spans="1:23" x14ac:dyDescent="0.25">
      <c r="A772" s="7"/>
      <c r="B772" s="7"/>
      <c r="D772" s="1"/>
      <c r="I772" s="3"/>
      <c r="J772" s="17"/>
      <c r="K772" s="17"/>
      <c r="L772" s="18"/>
      <c r="M772" s="3"/>
      <c r="P772" s="3"/>
      <c r="Q772" s="4"/>
      <c r="R772" s="19"/>
      <c r="S772" s="20"/>
      <c r="U772" s="3" t="str">
        <f t="shared" ref="U772:U835" si="28">IF(T772="","",IF(T772&gt;I772,H772,T772/G772))</f>
        <v/>
      </c>
      <c r="V772" s="4" t="str">
        <f t="shared" ref="V772:V835" si="29">IF(T772&gt;I772,T772-I772,"")</f>
        <v/>
      </c>
      <c r="W772" s="21" t="e" cm="1">
        <f t="array" ref="W772">_xlfn.IFS(
  A772="BELL", "WHITE",
  A772="GAMP", "ORANGE",
  A772="GAMM", "GREEN",
  A772="BWF", "YELLOW",
  OR(A772="TNBE", A772="TNBL", A772="TNBD", A772="TNWC", A772="TNBW", A772="THBS"), "PINK",
  A772="CRWD", "BLUE",
  A772="PASS", "WHITE"
)</f>
        <v>#N/A</v>
      </c>
    </row>
    <row r="773" spans="1:23" x14ac:dyDescent="0.25">
      <c r="A773" s="7"/>
      <c r="B773" s="7"/>
      <c r="D773" s="1"/>
      <c r="H773" s="7"/>
      <c r="I773" s="3"/>
      <c r="J773" s="17"/>
      <c r="K773" s="17"/>
      <c r="L773" s="18"/>
      <c r="M773" s="18"/>
      <c r="P773" s="3"/>
      <c r="Q773" s="4"/>
      <c r="R773" s="19"/>
      <c r="S773" s="20"/>
      <c r="U773" s="3" t="str">
        <f t="shared" si="28"/>
        <v/>
      </c>
      <c r="V773" s="4" t="str">
        <f t="shared" si="29"/>
        <v/>
      </c>
      <c r="W773" s="21" t="e" cm="1">
        <f t="array" ref="W773">_xlfn.IFS(
  A773="BELL", "WHITE",
  A773="GAMP", "ORANGE",
  A773="GAMM", "GREEN",
  A773="BWF", "YELLOW",
  OR(A773="TNBE", A773="TNBL", A773="TNBD", A773="TNWC", A773="TNBW", A773="THBS"), "PINK",
  A773="CRWD", "BLUE",
  A773="PASS", "WHITE"
)</f>
        <v>#N/A</v>
      </c>
    </row>
    <row r="774" spans="1:23" x14ac:dyDescent="0.25">
      <c r="A774" s="7"/>
      <c r="B774" s="7"/>
      <c r="D774" s="1"/>
      <c r="I774" s="3"/>
      <c r="J774" s="17"/>
      <c r="K774" s="17"/>
      <c r="L774" s="18"/>
      <c r="M774" s="3"/>
      <c r="P774" s="3"/>
      <c r="Q774" s="4"/>
      <c r="R774" s="19"/>
      <c r="S774" s="20"/>
      <c r="U774" s="3" t="str">
        <f t="shared" si="28"/>
        <v/>
      </c>
      <c r="V774" s="4" t="str">
        <f t="shared" si="29"/>
        <v/>
      </c>
      <c r="W774" s="21" t="e" cm="1">
        <f t="array" ref="W774">_xlfn.IFS(
  A774="BELL", "WHITE",
  A774="GAMP", "ORANGE",
  A774="GAMM", "GREEN",
  A774="BWF", "YELLOW",
  OR(A774="TNBE", A774="TNBL", A774="TNBD", A774="TNWC", A774="TNBW", A774="THBS"), "PINK",
  A774="CRWD", "BLUE",
  A774="PASS", "WHITE"
)</f>
        <v>#N/A</v>
      </c>
    </row>
    <row r="775" spans="1:23" x14ac:dyDescent="0.25">
      <c r="A775" s="7"/>
      <c r="B775" s="7"/>
      <c r="D775" s="1"/>
      <c r="H775" s="7"/>
      <c r="I775" s="3"/>
      <c r="J775" s="17"/>
      <c r="K775" s="17"/>
      <c r="L775" s="18"/>
      <c r="M775" s="18"/>
      <c r="P775" s="3"/>
      <c r="Q775" s="4"/>
      <c r="R775" s="19"/>
      <c r="S775" s="20"/>
      <c r="U775" s="3" t="str">
        <f t="shared" si="28"/>
        <v/>
      </c>
      <c r="V775" s="4" t="str">
        <f t="shared" si="29"/>
        <v/>
      </c>
      <c r="W775" s="21" t="e" cm="1">
        <f t="array" ref="W775">_xlfn.IFS(
  A775="BELL", "WHITE",
  A775="GAMP", "ORANGE",
  A775="GAMM", "GREEN",
  A775="BWF", "YELLOW",
  OR(A775="TNBE", A775="TNBL", A775="TNBD", A775="TNWC", A775="TNBW", A775="THBS"), "PINK",
  A775="CRWD", "BLUE",
  A775="PASS", "WHITE"
)</f>
        <v>#N/A</v>
      </c>
    </row>
    <row r="776" spans="1:23" x14ac:dyDescent="0.25">
      <c r="A776" s="7"/>
      <c r="B776" s="7"/>
      <c r="D776" s="1"/>
      <c r="I776" s="3"/>
      <c r="J776" s="17"/>
      <c r="K776" s="17"/>
      <c r="L776" s="18"/>
      <c r="M776" s="3"/>
      <c r="P776" s="3"/>
      <c r="Q776" s="4"/>
      <c r="R776" s="19"/>
      <c r="S776" s="20"/>
      <c r="U776" s="3" t="str">
        <f t="shared" si="28"/>
        <v/>
      </c>
      <c r="V776" s="4" t="str">
        <f t="shared" si="29"/>
        <v/>
      </c>
      <c r="W776" s="21" t="e" cm="1">
        <f t="array" ref="W776">_xlfn.IFS(
  A776="BELL", "WHITE",
  A776="GAMP", "ORANGE",
  A776="GAMM", "GREEN",
  A776="BWF", "YELLOW",
  OR(A776="TNBE", A776="TNBL", A776="TNBD", A776="TNWC", A776="TNBW", A776="THBS"), "PINK",
  A776="CRWD", "BLUE",
  A776="PASS", "WHITE"
)</f>
        <v>#N/A</v>
      </c>
    </row>
    <row r="777" spans="1:23" x14ac:dyDescent="0.25">
      <c r="A777" s="7"/>
      <c r="B777" s="7"/>
      <c r="D777" s="1"/>
      <c r="I777" s="3"/>
      <c r="J777" s="17"/>
      <c r="K777" s="17"/>
      <c r="L777" s="18"/>
      <c r="M777" s="3"/>
      <c r="P777" s="3"/>
      <c r="Q777" s="4"/>
      <c r="R777" s="19"/>
      <c r="S777" s="20"/>
      <c r="U777" s="3" t="str">
        <f t="shared" si="28"/>
        <v/>
      </c>
      <c r="V777" s="4" t="str">
        <f t="shared" si="29"/>
        <v/>
      </c>
      <c r="W777" s="21" t="e" cm="1">
        <f t="array" ref="W777">_xlfn.IFS(
  A777="BELL", "WHITE",
  A777="GAMP", "ORANGE",
  A777="GAMM", "GREEN",
  A777="BWF", "YELLOW",
  OR(A777="TNBE", A777="TNBL", A777="TNBD", A777="TNWC", A777="TNBW", A777="THBS"), "PINK",
  A777="CRWD", "BLUE",
  A777="PASS", "WHITE"
)</f>
        <v>#N/A</v>
      </c>
    </row>
    <row r="778" spans="1:23" x14ac:dyDescent="0.25">
      <c r="A778" s="7"/>
      <c r="B778" s="7"/>
      <c r="D778" s="1"/>
      <c r="H778" s="7"/>
      <c r="I778" s="3"/>
      <c r="J778" s="17"/>
      <c r="K778" s="17"/>
      <c r="L778" s="18"/>
      <c r="M778" s="18"/>
      <c r="P778" s="3"/>
      <c r="Q778" s="4"/>
      <c r="R778" s="19"/>
      <c r="S778" s="20"/>
      <c r="U778" s="3" t="str">
        <f t="shared" si="28"/>
        <v/>
      </c>
      <c r="V778" s="4" t="str">
        <f t="shared" si="29"/>
        <v/>
      </c>
      <c r="W778" s="21" t="e" cm="1">
        <f t="array" ref="W778">_xlfn.IFS(
  A778="BELL", "WHITE",
  A778="GAMP", "ORANGE",
  A778="GAMM", "GREEN",
  A778="BWF", "YELLOW",
  OR(A778="TNBE", A778="TNBL", A778="TNBD", A778="TNWC", A778="TNBW", A778="THBS"), "PINK",
  A778="CRWD", "BLUE",
  A778="PASS", "WHITE"
)</f>
        <v>#N/A</v>
      </c>
    </row>
    <row r="779" spans="1:23" x14ac:dyDescent="0.25">
      <c r="A779" s="7"/>
      <c r="B779" s="7"/>
      <c r="D779" s="1"/>
      <c r="I779" s="3"/>
      <c r="J779" s="17"/>
      <c r="K779" s="17"/>
      <c r="L779" s="18"/>
      <c r="M779" s="3"/>
      <c r="P779" s="3"/>
      <c r="Q779" s="4"/>
      <c r="R779" s="19"/>
      <c r="S779" s="20"/>
      <c r="U779" s="3" t="str">
        <f t="shared" si="28"/>
        <v/>
      </c>
      <c r="V779" s="4" t="str">
        <f t="shared" si="29"/>
        <v/>
      </c>
      <c r="W779" s="21" t="e" cm="1">
        <f t="array" ref="W779">_xlfn.IFS(
  A779="BELL", "WHITE",
  A779="GAMP", "ORANGE",
  A779="GAMM", "GREEN",
  A779="BWF", "YELLOW",
  OR(A779="TNBE", A779="TNBL", A779="TNBD", A779="TNWC", A779="TNBW", A779="THBS"), "PINK",
  A779="CRWD", "BLUE",
  A779="PASS", "WHITE"
)</f>
        <v>#N/A</v>
      </c>
    </row>
    <row r="780" spans="1:23" x14ac:dyDescent="0.25">
      <c r="A780" s="7"/>
      <c r="B780" s="7"/>
      <c r="D780" s="1"/>
      <c r="H780" s="7"/>
      <c r="I780" s="3"/>
      <c r="J780" s="17"/>
      <c r="K780" s="17"/>
      <c r="L780" s="18"/>
      <c r="M780" s="18"/>
      <c r="P780" s="3"/>
      <c r="Q780" s="4"/>
      <c r="R780" s="19"/>
      <c r="S780" s="20"/>
      <c r="U780" s="3" t="str">
        <f t="shared" si="28"/>
        <v/>
      </c>
      <c r="V780" s="4" t="str">
        <f t="shared" si="29"/>
        <v/>
      </c>
      <c r="W780" s="21" t="e" cm="1">
        <f t="array" ref="W780">_xlfn.IFS(
  A780="BELL", "WHITE",
  A780="GAMP", "ORANGE",
  A780="GAMM", "GREEN",
  A780="BWF", "YELLOW",
  OR(A780="TNBE", A780="TNBL", A780="TNBD", A780="TNWC", A780="TNBW", A780="THBS"), "PINK",
  A780="CRWD", "BLUE",
  A780="PASS", "WHITE"
)</f>
        <v>#N/A</v>
      </c>
    </row>
    <row r="781" spans="1:23" x14ac:dyDescent="0.25">
      <c r="A781" s="7"/>
      <c r="B781" s="7"/>
      <c r="D781" s="1"/>
      <c r="I781" s="3"/>
      <c r="J781" s="17"/>
      <c r="K781" s="17"/>
      <c r="L781" s="18"/>
      <c r="M781" s="3"/>
      <c r="P781" s="3"/>
      <c r="Q781" s="4"/>
      <c r="R781" s="19"/>
      <c r="S781" s="20"/>
      <c r="U781" s="3" t="str">
        <f t="shared" si="28"/>
        <v/>
      </c>
      <c r="V781" s="4" t="str">
        <f t="shared" si="29"/>
        <v/>
      </c>
      <c r="W781" s="21" t="e" cm="1">
        <f t="array" ref="W781">_xlfn.IFS(
  A781="BELL", "WHITE",
  A781="GAMP", "ORANGE",
  A781="GAMM", "GREEN",
  A781="BWF", "YELLOW",
  OR(A781="TNBE", A781="TNBL", A781="TNBD", A781="TNWC", A781="TNBW", A781="THBS"), "PINK",
  A781="CRWD", "BLUE",
  A781="PASS", "WHITE"
)</f>
        <v>#N/A</v>
      </c>
    </row>
    <row r="782" spans="1:23" x14ac:dyDescent="0.25">
      <c r="A782" s="7"/>
      <c r="B782" s="7"/>
      <c r="D782" s="1"/>
      <c r="I782" s="3"/>
      <c r="J782" s="17"/>
      <c r="K782" s="17"/>
      <c r="L782" s="18"/>
      <c r="M782" s="3"/>
      <c r="P782" s="3"/>
      <c r="Q782" s="4"/>
      <c r="R782" s="19"/>
      <c r="S782" s="20"/>
      <c r="U782" s="3" t="str">
        <f t="shared" si="28"/>
        <v/>
      </c>
      <c r="V782" s="4" t="str">
        <f t="shared" si="29"/>
        <v/>
      </c>
      <c r="W782" s="21" t="e" cm="1">
        <f t="array" ref="W782">_xlfn.IFS(
  A782="BELL", "WHITE",
  A782="GAMP", "ORANGE",
  A782="GAMM", "GREEN",
  A782="BWF", "YELLOW",
  OR(A782="TNBE", A782="TNBL", A782="TNBD", A782="TNWC", A782="TNBW", A782="THBS"), "PINK",
  A782="CRWD", "BLUE",
  A782="PASS", "WHITE"
)</f>
        <v>#N/A</v>
      </c>
    </row>
    <row r="783" spans="1:23" x14ac:dyDescent="0.25">
      <c r="A783" s="7"/>
      <c r="B783" s="7"/>
      <c r="D783" s="1"/>
      <c r="I783" s="3"/>
      <c r="J783" s="17"/>
      <c r="K783" s="17"/>
      <c r="L783" s="18"/>
      <c r="M783" s="3"/>
      <c r="P783" s="3"/>
      <c r="Q783" s="4"/>
      <c r="R783" s="19"/>
      <c r="S783" s="20"/>
      <c r="U783" s="3" t="str">
        <f t="shared" si="28"/>
        <v/>
      </c>
      <c r="V783" s="4" t="str">
        <f t="shared" si="29"/>
        <v/>
      </c>
      <c r="W783" s="21" t="e" cm="1">
        <f t="array" ref="W783">_xlfn.IFS(
  A783="BELL", "WHITE",
  A783="GAMP", "ORANGE",
  A783="GAMM", "GREEN",
  A783="BWF", "YELLOW",
  OR(A783="TNBE", A783="TNBL", A783="TNBD", A783="TNWC", A783="TNBW", A783="THBS"), "PINK",
  A783="CRWD", "BLUE",
  A783="PASS", "WHITE"
)</f>
        <v>#N/A</v>
      </c>
    </row>
    <row r="784" spans="1:23" x14ac:dyDescent="0.25">
      <c r="A784" s="7"/>
      <c r="B784" s="7"/>
      <c r="D784" s="1"/>
      <c r="H784" s="7"/>
      <c r="I784" s="3"/>
      <c r="J784" s="17"/>
      <c r="K784" s="17"/>
      <c r="L784" s="18"/>
      <c r="M784" s="18"/>
      <c r="P784" s="3"/>
      <c r="Q784" s="4"/>
      <c r="R784" s="19"/>
      <c r="S784" s="20"/>
      <c r="U784" s="3" t="str">
        <f t="shared" si="28"/>
        <v/>
      </c>
      <c r="V784" s="4" t="str">
        <f t="shared" si="29"/>
        <v/>
      </c>
      <c r="W784" s="21" t="e" cm="1">
        <f t="array" ref="W784">_xlfn.IFS(
  A784="BELL", "WHITE",
  A784="GAMP", "ORANGE",
  A784="GAMM", "GREEN",
  A784="BWF", "YELLOW",
  OR(A784="TNBE", A784="TNBL", A784="TNBD", A784="TNWC", A784="TNBW", A784="THBS"), "PINK",
  A784="CRWD", "BLUE",
  A784="PASS", "WHITE"
)</f>
        <v>#N/A</v>
      </c>
    </row>
    <row r="785" spans="1:23" x14ac:dyDescent="0.25">
      <c r="A785" s="7"/>
      <c r="B785" s="7"/>
      <c r="D785" s="33"/>
      <c r="I785" s="3"/>
      <c r="J785" s="17"/>
      <c r="K785" s="17"/>
      <c r="L785" s="18"/>
      <c r="M785" s="3"/>
      <c r="P785" s="3"/>
      <c r="Q785" s="4"/>
      <c r="R785" s="19"/>
      <c r="S785" s="20"/>
      <c r="U785" s="3" t="str">
        <f t="shared" si="28"/>
        <v/>
      </c>
      <c r="V785" s="4" t="str">
        <f t="shared" si="29"/>
        <v/>
      </c>
      <c r="W785" s="21" t="e" cm="1">
        <f t="array" ref="W785">_xlfn.IFS(
  A785="BELL", "WHITE",
  A785="GAMP", "ORANGE",
  A785="GAMM", "GREEN",
  A785="BWF", "YELLOW",
  OR(A785="TNBE", A785="TNBL", A785="TNBD", A785="TNWC", A785="TNBW", A785="THBS"), "PINK",
  A785="CRWD", "BLUE",
  A785="PASS", "WHITE"
)</f>
        <v>#N/A</v>
      </c>
    </row>
    <row r="786" spans="1:23" x14ac:dyDescent="0.25">
      <c r="A786" s="7"/>
      <c r="B786" s="7"/>
      <c r="D786" s="1"/>
      <c r="I786" s="3"/>
      <c r="J786" s="17"/>
      <c r="K786" s="17"/>
      <c r="L786" s="18"/>
      <c r="M786" s="3"/>
      <c r="P786" s="3"/>
      <c r="Q786" s="4"/>
      <c r="R786" s="19"/>
      <c r="S786" s="20"/>
      <c r="U786" s="3" t="str">
        <f t="shared" si="28"/>
        <v/>
      </c>
      <c r="V786" s="4" t="str">
        <f t="shared" si="29"/>
        <v/>
      </c>
      <c r="W786" s="21" t="e" cm="1">
        <f t="array" ref="W786">_xlfn.IFS(
  A786="BELL", "WHITE",
  A786="GAMP", "ORANGE",
  A786="GAMM", "GREEN",
  A786="BWF", "YELLOW",
  OR(A786="TNBE", A786="TNBL", A786="TNBD", A786="TNWC", A786="TNBW", A786="THBS"), "PINK",
  A786="CRWD", "BLUE",
  A786="PASS", "WHITE"
)</f>
        <v>#N/A</v>
      </c>
    </row>
    <row r="787" spans="1:23" x14ac:dyDescent="0.25">
      <c r="A787" s="7"/>
      <c r="B787" s="7"/>
      <c r="D787" s="1"/>
      <c r="H787" s="7"/>
      <c r="I787" s="3"/>
      <c r="J787" s="17"/>
      <c r="K787" s="17"/>
      <c r="L787" s="18"/>
      <c r="M787" s="18"/>
      <c r="P787" s="3"/>
      <c r="Q787" s="4"/>
      <c r="R787" s="19"/>
      <c r="S787" s="20"/>
      <c r="U787" s="3" t="str">
        <f t="shared" si="28"/>
        <v/>
      </c>
      <c r="V787" s="4" t="str">
        <f t="shared" si="29"/>
        <v/>
      </c>
      <c r="W787" s="21" t="e" cm="1">
        <f t="array" ref="W787">_xlfn.IFS(
  A787="BELL", "WHITE",
  A787="GAMP", "ORANGE",
  A787="GAMM", "GREEN",
  A787="BWF", "YELLOW",
  OR(A787="TNBE", A787="TNBL", A787="TNBD", A787="TNWC", A787="TNBW", A787="THBS"), "PINK",
  A787="CRWD", "BLUE",
  A787="PASS", "WHITE"
)</f>
        <v>#N/A</v>
      </c>
    </row>
    <row r="788" spans="1:23" x14ac:dyDescent="0.25">
      <c r="A788" s="7"/>
      <c r="B788" s="7"/>
      <c r="D788" s="1"/>
      <c r="I788" s="3"/>
      <c r="J788" s="17"/>
      <c r="K788" s="17"/>
      <c r="L788" s="18"/>
      <c r="M788" s="3"/>
      <c r="P788" s="3"/>
      <c r="Q788" s="4"/>
      <c r="R788" s="19"/>
      <c r="S788" s="20"/>
      <c r="U788" s="3" t="str">
        <f t="shared" si="28"/>
        <v/>
      </c>
      <c r="V788" s="4" t="str">
        <f t="shared" si="29"/>
        <v/>
      </c>
      <c r="W788" s="21" t="e" cm="1">
        <f t="array" ref="W788">_xlfn.IFS(
  A788="BELL", "WHITE",
  A788="GAMP", "ORANGE",
  A788="GAMM", "GREEN",
  A788="BWF", "YELLOW",
  OR(A788="TNBE", A788="TNBL", A788="TNBD", A788="TNWC", A788="TNBW", A788="THBS"), "PINK",
  A788="CRWD", "BLUE",
  A788="PASS", "WHITE"
)</f>
        <v>#N/A</v>
      </c>
    </row>
    <row r="789" spans="1:23" x14ac:dyDescent="0.25">
      <c r="A789" s="7"/>
      <c r="B789" s="7"/>
      <c r="D789" s="1"/>
      <c r="I789" s="3"/>
      <c r="J789" s="17"/>
      <c r="K789" s="17"/>
      <c r="L789" s="18"/>
      <c r="M789" s="3"/>
      <c r="P789" s="3"/>
      <c r="Q789" s="4"/>
      <c r="R789" s="19"/>
      <c r="S789" s="20"/>
      <c r="U789" s="3" t="str">
        <f t="shared" si="28"/>
        <v/>
      </c>
      <c r="V789" s="4" t="str">
        <f t="shared" si="29"/>
        <v/>
      </c>
      <c r="W789" s="21" t="e" cm="1">
        <f t="array" ref="W789">_xlfn.IFS(
  A789="BELL", "WHITE",
  A789="GAMP", "ORANGE",
  A789="GAMM", "GREEN",
  A789="BWF", "YELLOW",
  OR(A789="TNBE", A789="TNBL", A789="TNBD", A789="TNWC", A789="TNBW", A789="THBS"), "PINK",
  A789="CRWD", "BLUE",
  A789="PASS", "WHITE"
)</f>
        <v>#N/A</v>
      </c>
    </row>
    <row r="790" spans="1:23" x14ac:dyDescent="0.25">
      <c r="A790" s="7"/>
      <c r="B790" s="7"/>
      <c r="D790" s="1"/>
      <c r="H790" s="7"/>
      <c r="I790" s="3"/>
      <c r="J790" s="17"/>
      <c r="K790" s="17"/>
      <c r="L790" s="18"/>
      <c r="M790" s="18"/>
      <c r="P790" s="3"/>
      <c r="Q790" s="4"/>
      <c r="R790" s="19"/>
      <c r="S790" s="20"/>
      <c r="U790" s="3" t="str">
        <f t="shared" si="28"/>
        <v/>
      </c>
      <c r="V790" s="4" t="str">
        <f t="shared" si="29"/>
        <v/>
      </c>
      <c r="W790" s="21" t="e" cm="1">
        <f t="array" ref="W790">_xlfn.IFS(
  A790="BELL", "WHITE",
  A790="GAMP", "ORANGE",
  A790="GAMM", "GREEN",
  A790="BWF", "YELLOW",
  OR(A790="TNBE", A790="TNBL", A790="TNBD", A790="TNWC", A790="TNBW", A790="THBS"), "PINK",
  A790="CRWD", "BLUE",
  A790="PASS", "WHITE"
)</f>
        <v>#N/A</v>
      </c>
    </row>
    <row r="791" spans="1:23" x14ac:dyDescent="0.25">
      <c r="A791" s="7"/>
      <c r="B791" s="7"/>
      <c r="D791" s="1"/>
      <c r="I791" s="3"/>
      <c r="J791" s="17"/>
      <c r="K791" s="17"/>
      <c r="L791" s="18"/>
      <c r="M791" s="3"/>
      <c r="P791" s="3"/>
      <c r="Q791" s="4"/>
      <c r="R791" s="19"/>
      <c r="S791" s="20"/>
      <c r="U791" s="3" t="str">
        <f t="shared" si="28"/>
        <v/>
      </c>
      <c r="V791" s="4" t="str">
        <f t="shared" si="29"/>
        <v/>
      </c>
      <c r="W791" s="21" t="e" cm="1">
        <f t="array" ref="W791">_xlfn.IFS(
  A791="BELL", "WHITE",
  A791="GAMP", "ORANGE",
  A791="GAMM", "GREEN",
  A791="BWF", "YELLOW",
  OR(A791="TNBE", A791="TNBL", A791="TNBD", A791="TNWC", A791="TNBW", A791="THBS"), "PINK",
  A791="CRWD", "BLUE",
  A791="PASS", "WHITE"
)</f>
        <v>#N/A</v>
      </c>
    </row>
    <row r="792" spans="1:23" x14ac:dyDescent="0.25">
      <c r="A792" s="7"/>
      <c r="B792" s="7"/>
      <c r="D792" s="1"/>
      <c r="H792" s="7"/>
      <c r="I792" s="3"/>
      <c r="J792" s="17"/>
      <c r="K792" s="17"/>
      <c r="L792" s="18"/>
      <c r="M792" s="18"/>
      <c r="P792" s="3"/>
      <c r="Q792" s="4"/>
      <c r="R792" s="19"/>
      <c r="S792" s="20"/>
      <c r="U792" s="3" t="str">
        <f t="shared" si="28"/>
        <v/>
      </c>
      <c r="V792" s="4" t="str">
        <f t="shared" si="29"/>
        <v/>
      </c>
      <c r="W792" s="21" t="e" cm="1">
        <f t="array" ref="W792">_xlfn.IFS(
  A792="BELL", "WHITE",
  A792="GAMP", "ORANGE",
  A792="GAMM", "GREEN",
  A792="BWF", "YELLOW",
  OR(A792="TNBE", A792="TNBL", A792="TNBD", A792="TNWC", A792="TNBW", A792="THBS"), "PINK",
  A792="CRWD", "BLUE",
  A792="PASS", "WHITE"
)</f>
        <v>#N/A</v>
      </c>
    </row>
    <row r="793" spans="1:23" x14ac:dyDescent="0.25">
      <c r="A793" s="7"/>
      <c r="B793" s="7"/>
      <c r="D793" s="34"/>
      <c r="I793" s="3"/>
      <c r="J793" s="17"/>
      <c r="K793" s="17"/>
      <c r="L793" s="18"/>
      <c r="M793" s="3"/>
      <c r="P793" s="3"/>
      <c r="Q793" s="4"/>
      <c r="R793" s="19"/>
      <c r="S793" s="20"/>
      <c r="U793" s="3" t="str">
        <f t="shared" si="28"/>
        <v/>
      </c>
      <c r="V793" s="4" t="str">
        <f t="shared" si="29"/>
        <v/>
      </c>
      <c r="W793" s="21" t="e" cm="1">
        <f t="array" ref="W793">_xlfn.IFS(
  A793="BELL", "WHITE",
  A793="GAMP", "ORANGE",
  A793="GAMM", "GREEN",
  A793="BWF", "YELLOW",
  OR(A793="TNBE", A793="TNBL", A793="TNBD", A793="TNWC", A793="TNBW", A793="THBS"), "PINK",
  A793="CRWD", "BLUE",
  A793="PASS", "WHITE"
)</f>
        <v>#N/A</v>
      </c>
    </row>
    <row r="794" spans="1:23" x14ac:dyDescent="0.25">
      <c r="A794" s="7"/>
      <c r="B794" s="7"/>
      <c r="D794" s="1"/>
      <c r="I794" s="3"/>
      <c r="J794" s="17"/>
      <c r="K794" s="17"/>
      <c r="L794" s="18"/>
      <c r="M794" s="3"/>
      <c r="P794" s="3"/>
      <c r="Q794" s="4"/>
      <c r="R794" s="19"/>
      <c r="S794" s="20"/>
      <c r="U794" s="3" t="str">
        <f t="shared" si="28"/>
        <v/>
      </c>
      <c r="V794" s="4" t="str">
        <f t="shared" si="29"/>
        <v/>
      </c>
      <c r="W794" s="21" t="e" cm="1">
        <f t="array" ref="W794">_xlfn.IFS(
  A794="BELL", "WHITE",
  A794="GAMP", "ORANGE",
  A794="GAMM", "GREEN",
  A794="BWF", "YELLOW",
  OR(A794="TNBE", A794="TNBL", A794="TNBD", A794="TNWC", A794="TNBW", A794="THBS"), "PINK",
  A794="CRWD", "BLUE",
  A794="PASS", "WHITE"
)</f>
        <v>#N/A</v>
      </c>
    </row>
    <row r="795" spans="1:23" x14ac:dyDescent="0.25">
      <c r="A795" s="7"/>
      <c r="B795" s="7"/>
      <c r="D795" s="1"/>
      <c r="I795" s="3"/>
      <c r="J795" s="17"/>
      <c r="K795" s="17"/>
      <c r="L795" s="18"/>
      <c r="M795" s="3"/>
      <c r="P795" s="3"/>
      <c r="Q795" s="4"/>
      <c r="R795" s="19"/>
      <c r="S795" s="20"/>
      <c r="U795" s="3" t="str">
        <f t="shared" si="28"/>
        <v/>
      </c>
      <c r="V795" s="4" t="str">
        <f t="shared" si="29"/>
        <v/>
      </c>
      <c r="W795" s="21" t="e" cm="1">
        <f t="array" ref="W795">_xlfn.IFS(
  A795="BELL", "WHITE",
  A795="GAMP", "ORANGE",
  A795="GAMM", "GREEN",
  A795="BWF", "YELLOW",
  OR(A795="TNBE", A795="TNBL", A795="TNBD", A795="TNWC", A795="TNBW", A795="THBS"), "PINK",
  A795="CRWD", "BLUE",
  A795="PASS", "WHITE"
)</f>
        <v>#N/A</v>
      </c>
    </row>
    <row r="796" spans="1:23" x14ac:dyDescent="0.25">
      <c r="A796" s="7"/>
      <c r="B796" s="7"/>
      <c r="D796" s="1"/>
      <c r="H796" s="7"/>
      <c r="I796" s="3"/>
      <c r="J796" s="17"/>
      <c r="K796" s="17"/>
      <c r="L796" s="18"/>
      <c r="M796" s="18"/>
      <c r="P796" s="3"/>
      <c r="Q796" s="4"/>
      <c r="R796" s="19"/>
      <c r="S796" s="20"/>
      <c r="U796" s="3" t="str">
        <f t="shared" si="28"/>
        <v/>
      </c>
      <c r="V796" s="4" t="str">
        <f t="shared" si="29"/>
        <v/>
      </c>
      <c r="W796" s="21" t="e" cm="1">
        <f t="array" ref="W796">_xlfn.IFS(
  A796="BELL", "WHITE",
  A796="GAMP", "ORANGE",
  A796="GAMM", "GREEN",
  A796="BWF", "YELLOW",
  OR(A796="TNBE", A796="TNBL", A796="TNBD", A796="TNWC", A796="TNBW", A796="THBS"), "PINK",
  A796="CRWD", "BLUE",
  A796="PASS", "WHITE"
)</f>
        <v>#N/A</v>
      </c>
    </row>
    <row r="797" spans="1:23" x14ac:dyDescent="0.25">
      <c r="A797" s="7"/>
      <c r="B797" s="7"/>
      <c r="D797" s="1"/>
      <c r="I797" s="3"/>
      <c r="J797" s="17"/>
      <c r="K797" s="17"/>
      <c r="L797" s="18"/>
      <c r="M797" s="3"/>
      <c r="P797" s="3"/>
      <c r="Q797" s="4"/>
      <c r="R797" s="19"/>
      <c r="S797" s="20"/>
      <c r="U797" s="3" t="str">
        <f t="shared" si="28"/>
        <v/>
      </c>
      <c r="V797" s="4" t="str">
        <f t="shared" si="29"/>
        <v/>
      </c>
      <c r="W797" s="21" t="e" cm="1">
        <f t="array" ref="W797">_xlfn.IFS(
  A797="BELL", "WHITE",
  A797="GAMP", "ORANGE",
  A797="GAMM", "GREEN",
  A797="BWF", "YELLOW",
  OR(A797="TNBE", A797="TNBL", A797="TNBD", A797="TNWC", A797="TNBW", A797="THBS"), "PINK",
  A797="CRWD", "BLUE",
  A797="PASS", "WHITE"
)</f>
        <v>#N/A</v>
      </c>
    </row>
    <row r="798" spans="1:23" x14ac:dyDescent="0.25">
      <c r="A798" s="7"/>
      <c r="B798" s="7"/>
      <c r="D798" s="1"/>
      <c r="I798" s="3"/>
      <c r="J798" s="17"/>
      <c r="K798" s="17"/>
      <c r="L798" s="18"/>
      <c r="M798" s="3"/>
      <c r="P798" s="3"/>
      <c r="Q798" s="4"/>
      <c r="R798" s="19"/>
      <c r="S798" s="20"/>
      <c r="U798" s="3" t="str">
        <f t="shared" si="28"/>
        <v/>
      </c>
      <c r="V798" s="4" t="str">
        <f t="shared" si="29"/>
        <v/>
      </c>
      <c r="W798" s="21" t="e" cm="1">
        <f t="array" ref="W798">_xlfn.IFS(
  A798="BELL", "WHITE",
  A798="GAMP", "ORANGE",
  A798="GAMM", "GREEN",
  A798="BWF", "YELLOW",
  OR(A798="TNBE", A798="TNBL", A798="TNBD", A798="TNWC", A798="TNBW", A798="THBS"), "PINK",
  A798="CRWD", "BLUE",
  A798="PASS", "WHITE"
)</f>
        <v>#N/A</v>
      </c>
    </row>
    <row r="799" spans="1:23" x14ac:dyDescent="0.25">
      <c r="A799" s="7"/>
      <c r="B799" s="7"/>
      <c r="D799" s="1"/>
      <c r="I799" s="3"/>
      <c r="J799" s="17"/>
      <c r="K799" s="17"/>
      <c r="L799" s="18"/>
      <c r="M799" s="3"/>
      <c r="P799" s="3"/>
      <c r="Q799" s="4"/>
      <c r="R799" s="19"/>
      <c r="S799" s="20"/>
      <c r="U799" s="3" t="str">
        <f t="shared" si="28"/>
        <v/>
      </c>
      <c r="V799" s="4" t="str">
        <f t="shared" si="29"/>
        <v/>
      </c>
      <c r="W799" s="21" t="e" cm="1">
        <f t="array" ref="W799">_xlfn.IFS(
  A799="BELL", "WHITE",
  A799="GAMP", "ORANGE",
  A799="GAMM", "GREEN",
  A799="BWF", "YELLOW",
  OR(A799="TNBE", A799="TNBL", A799="TNBD", A799="TNWC", A799="TNBW", A799="THBS"), "PINK",
  A799="CRWD", "BLUE",
  A799="PASS", "WHITE"
)</f>
        <v>#N/A</v>
      </c>
    </row>
    <row r="800" spans="1:23" x14ac:dyDescent="0.25">
      <c r="A800" s="7"/>
      <c r="B800" s="7"/>
      <c r="D800" s="1"/>
      <c r="I800" s="3"/>
      <c r="J800" s="17"/>
      <c r="K800" s="17"/>
      <c r="L800" s="18"/>
      <c r="M800" s="3"/>
      <c r="P800" s="3"/>
      <c r="Q800" s="4"/>
      <c r="R800" s="19"/>
      <c r="S800" s="20"/>
      <c r="U800" s="3" t="str">
        <f t="shared" si="28"/>
        <v/>
      </c>
      <c r="V800" s="4" t="str">
        <f t="shared" si="29"/>
        <v/>
      </c>
      <c r="W800" s="21" t="e" cm="1">
        <f t="array" ref="W800">_xlfn.IFS(
  A800="BELL", "WHITE",
  A800="GAMP", "ORANGE",
  A800="GAMM", "GREEN",
  A800="BWF", "YELLOW",
  OR(A800="TNBE", A800="TNBL", A800="TNBD", A800="TNWC", A800="TNBW", A800="THBS"), "PINK",
  A800="CRWD", "BLUE",
  A800="PASS", "WHITE"
)</f>
        <v>#N/A</v>
      </c>
    </row>
    <row r="801" spans="1:23" x14ac:dyDescent="0.25">
      <c r="A801" s="7"/>
      <c r="B801" s="7"/>
      <c r="D801" s="1"/>
      <c r="H801" s="7"/>
      <c r="I801" s="3"/>
      <c r="J801" s="17"/>
      <c r="K801" s="17"/>
      <c r="L801" s="18"/>
      <c r="M801" s="18"/>
      <c r="P801" s="3"/>
      <c r="Q801" s="4"/>
      <c r="R801" s="19"/>
      <c r="S801" s="20"/>
      <c r="U801" s="3" t="str">
        <f t="shared" si="28"/>
        <v/>
      </c>
      <c r="V801" s="4" t="str">
        <f t="shared" si="29"/>
        <v/>
      </c>
      <c r="W801" s="21" t="e" cm="1">
        <f t="array" ref="W801">_xlfn.IFS(
  A801="BELL", "WHITE",
  A801="GAMP", "ORANGE",
  A801="GAMM", "GREEN",
  A801="BWF", "YELLOW",
  OR(A801="TNBE", A801="TNBL", A801="TNBD", A801="TNWC", A801="TNBW", A801="THBS"), "PINK",
  A801="CRWD", "BLUE",
  A801="PASS", "WHITE"
)</f>
        <v>#N/A</v>
      </c>
    </row>
    <row r="802" spans="1:23" x14ac:dyDescent="0.25">
      <c r="A802" s="7"/>
      <c r="B802" s="7"/>
      <c r="D802" s="1"/>
      <c r="I802" s="3"/>
      <c r="J802" s="17"/>
      <c r="K802" s="17"/>
      <c r="L802" s="18"/>
      <c r="M802" s="3"/>
      <c r="P802" s="3"/>
      <c r="Q802" s="4"/>
      <c r="R802" s="19"/>
      <c r="S802" s="20"/>
      <c r="U802" s="3" t="str">
        <f t="shared" si="28"/>
        <v/>
      </c>
      <c r="V802" s="4" t="str">
        <f t="shared" si="29"/>
        <v/>
      </c>
      <c r="W802" s="21" t="e" cm="1">
        <f t="array" ref="W802">_xlfn.IFS(
  A802="BELL", "WHITE",
  A802="GAMP", "ORANGE",
  A802="GAMM", "GREEN",
  A802="BWF", "YELLOW",
  OR(A802="TNBE", A802="TNBL", A802="TNBD", A802="TNWC", A802="TNBW", A802="THBS"), "PINK",
  A802="CRWD", "BLUE",
  A802="PASS", "WHITE"
)</f>
        <v>#N/A</v>
      </c>
    </row>
    <row r="803" spans="1:23" x14ac:dyDescent="0.25">
      <c r="A803" s="7"/>
      <c r="B803" s="7"/>
      <c r="D803" s="1"/>
      <c r="I803" s="3"/>
      <c r="J803" s="17"/>
      <c r="K803" s="17"/>
      <c r="L803" s="18"/>
      <c r="M803" s="3"/>
      <c r="P803" s="3"/>
      <c r="Q803" s="4"/>
      <c r="R803" s="19"/>
      <c r="S803" s="20"/>
      <c r="U803" s="3" t="str">
        <f t="shared" si="28"/>
        <v/>
      </c>
      <c r="V803" s="4" t="str">
        <f t="shared" si="29"/>
        <v/>
      </c>
      <c r="W803" s="21" t="e" cm="1">
        <f t="array" ref="W803">_xlfn.IFS(
  A803="BELL", "WHITE",
  A803="GAMP", "ORANGE",
  A803="GAMM", "GREEN",
  A803="BWF", "YELLOW",
  OR(A803="TNBE", A803="TNBL", A803="TNBD", A803="TNWC", A803="TNBW", A803="THBS"), "PINK",
  A803="CRWD", "BLUE",
  A803="PASS", "WHITE"
)</f>
        <v>#N/A</v>
      </c>
    </row>
    <row r="804" spans="1:23" x14ac:dyDescent="0.25">
      <c r="A804" s="7"/>
      <c r="B804" s="7"/>
      <c r="D804" s="1"/>
      <c r="H804" s="7"/>
      <c r="I804" s="3"/>
      <c r="J804" s="17"/>
      <c r="K804" s="17"/>
      <c r="L804" s="18"/>
      <c r="M804" s="18"/>
      <c r="P804" s="3"/>
      <c r="Q804" s="4"/>
      <c r="R804" s="19"/>
      <c r="S804" s="20"/>
      <c r="U804" s="3" t="str">
        <f t="shared" si="28"/>
        <v/>
      </c>
      <c r="V804" s="4" t="str">
        <f t="shared" si="29"/>
        <v/>
      </c>
      <c r="W804" s="21" t="e" cm="1">
        <f t="array" ref="W804">_xlfn.IFS(
  A804="BELL", "WHITE",
  A804="GAMP", "ORANGE",
  A804="GAMM", "GREEN",
  A804="BWF", "YELLOW",
  OR(A804="TNBE", A804="TNBL", A804="TNBD", A804="TNWC", A804="TNBW", A804="THBS"), "PINK",
  A804="CRWD", "BLUE",
  A804="PASS", "WHITE"
)</f>
        <v>#N/A</v>
      </c>
    </row>
    <row r="805" spans="1:23" x14ac:dyDescent="0.25">
      <c r="A805" s="7"/>
      <c r="B805" s="7"/>
      <c r="D805" s="1"/>
      <c r="I805" s="3"/>
      <c r="J805" s="17"/>
      <c r="K805" s="17"/>
      <c r="L805" s="18"/>
      <c r="M805" s="3"/>
      <c r="P805" s="3"/>
      <c r="Q805" s="4"/>
      <c r="R805" s="19"/>
      <c r="S805" s="20"/>
      <c r="U805" s="3" t="str">
        <f t="shared" si="28"/>
        <v/>
      </c>
      <c r="V805" s="4" t="str">
        <f t="shared" si="29"/>
        <v/>
      </c>
      <c r="W805" s="21" t="e" cm="1">
        <f t="array" ref="W805">_xlfn.IFS(
  A805="BELL", "WHITE",
  A805="GAMP", "ORANGE",
  A805="GAMM", "GREEN",
  A805="BWF", "YELLOW",
  OR(A805="TNBE", A805="TNBL", A805="TNBD", A805="TNWC", A805="TNBW", A805="THBS"), "PINK",
  A805="CRWD", "BLUE",
  A805="PASS", "WHITE"
)</f>
        <v>#N/A</v>
      </c>
    </row>
    <row r="806" spans="1:23" x14ac:dyDescent="0.25">
      <c r="A806" s="7"/>
      <c r="B806" s="7"/>
      <c r="D806" s="1"/>
      <c r="H806" s="7"/>
      <c r="I806" s="3"/>
      <c r="J806" s="17"/>
      <c r="K806" s="17"/>
      <c r="L806" s="18"/>
      <c r="M806" s="18"/>
      <c r="P806" s="3"/>
      <c r="Q806" s="4"/>
      <c r="R806" s="19"/>
      <c r="S806" s="20"/>
      <c r="U806" s="3" t="str">
        <f t="shared" si="28"/>
        <v/>
      </c>
      <c r="V806" s="4" t="str">
        <f t="shared" si="29"/>
        <v/>
      </c>
      <c r="W806" s="21" t="e" cm="1">
        <f t="array" ref="W806">_xlfn.IFS(
  A806="BELL", "WHITE",
  A806="GAMP", "ORANGE",
  A806="GAMM", "GREEN",
  A806="BWF", "YELLOW",
  OR(A806="TNBE", A806="TNBL", A806="TNBD", A806="TNWC", A806="TNBW", A806="THBS"), "PINK",
  A806="CRWD", "BLUE",
  A806="PASS", "WHITE"
)</f>
        <v>#N/A</v>
      </c>
    </row>
    <row r="807" spans="1:23" x14ac:dyDescent="0.25">
      <c r="A807" s="7"/>
      <c r="B807" s="7"/>
      <c r="D807" s="1"/>
      <c r="I807" s="3"/>
      <c r="J807" s="17"/>
      <c r="K807" s="17"/>
      <c r="L807" s="18"/>
      <c r="M807" s="3"/>
      <c r="P807" s="3"/>
      <c r="Q807" s="4"/>
      <c r="R807" s="19"/>
      <c r="S807" s="20"/>
      <c r="U807" s="3" t="str">
        <f t="shared" si="28"/>
        <v/>
      </c>
      <c r="V807" s="4" t="str">
        <f t="shared" si="29"/>
        <v/>
      </c>
      <c r="W807" s="21" t="e" cm="1">
        <f t="array" ref="W807">_xlfn.IFS(
  A807="BELL", "WHITE",
  A807="GAMP", "ORANGE",
  A807="GAMM", "GREEN",
  A807="BWF", "YELLOW",
  OR(A807="TNBE", A807="TNBL", A807="TNBD", A807="TNWC", A807="TNBW", A807="THBS"), "PINK",
  A807="CRWD", "BLUE",
  A807="PASS", "WHITE"
)</f>
        <v>#N/A</v>
      </c>
    </row>
    <row r="808" spans="1:23" x14ac:dyDescent="0.25">
      <c r="A808" s="7"/>
      <c r="B808" s="7"/>
      <c r="D808" s="1"/>
      <c r="H808" s="7"/>
      <c r="I808" s="3"/>
      <c r="J808" s="17"/>
      <c r="K808" s="17"/>
      <c r="L808" s="18"/>
      <c r="M808" s="18"/>
      <c r="P808" s="3"/>
      <c r="Q808" s="4"/>
      <c r="R808" s="19"/>
      <c r="S808" s="20"/>
      <c r="U808" s="3" t="str">
        <f t="shared" si="28"/>
        <v/>
      </c>
      <c r="V808" s="4" t="str">
        <f t="shared" si="29"/>
        <v/>
      </c>
      <c r="W808" s="21" t="e" cm="1">
        <f t="array" ref="W808">_xlfn.IFS(
  A808="BELL", "WHITE",
  A808="GAMP", "ORANGE",
  A808="GAMM", "GREEN",
  A808="BWF", "YELLOW",
  OR(A808="TNBE", A808="TNBL", A808="TNBD", A808="TNWC", A808="TNBW", A808="THBS"), "PINK",
  A808="CRWD", "BLUE",
  A808="PASS", "WHITE"
)</f>
        <v>#N/A</v>
      </c>
    </row>
    <row r="809" spans="1:23" x14ac:dyDescent="0.25">
      <c r="A809" s="7"/>
      <c r="B809" s="7"/>
      <c r="D809" s="1"/>
      <c r="E809" s="29"/>
      <c r="I809" s="3"/>
      <c r="J809" s="17"/>
      <c r="K809" s="17"/>
      <c r="L809" s="18"/>
      <c r="M809" s="3"/>
      <c r="P809" s="3"/>
      <c r="Q809" s="4"/>
      <c r="R809" s="19"/>
      <c r="S809" s="20"/>
      <c r="U809" s="3" t="str">
        <f t="shared" si="28"/>
        <v/>
      </c>
      <c r="V809" s="4" t="str">
        <f t="shared" si="29"/>
        <v/>
      </c>
      <c r="W809" s="21" t="e" cm="1">
        <f t="array" ref="W809">_xlfn.IFS(
  A809="BELL", "WHITE",
  A809="GAMP", "ORANGE",
  A809="GAMM", "GREEN",
  A809="BWF", "YELLOW",
  OR(A809="TNBE", A809="TNBL", A809="TNBD", A809="TNWC", A809="TNBW", A809="THBS"), "PINK",
  A809="CRWD", "BLUE",
  A809="PASS", "WHITE"
)</f>
        <v>#N/A</v>
      </c>
    </row>
    <row r="810" spans="1:23" x14ac:dyDescent="0.25">
      <c r="A810" s="7"/>
      <c r="B810" s="7"/>
      <c r="D810" s="1"/>
      <c r="E810" s="29"/>
      <c r="I810" s="3"/>
      <c r="J810" s="17"/>
      <c r="K810" s="17"/>
      <c r="L810" s="18"/>
      <c r="M810" s="3"/>
      <c r="P810" s="3"/>
      <c r="Q810" s="4"/>
      <c r="R810" s="19"/>
      <c r="S810" s="20"/>
      <c r="U810" s="3" t="str">
        <f t="shared" si="28"/>
        <v/>
      </c>
      <c r="V810" s="4" t="str">
        <f t="shared" si="29"/>
        <v/>
      </c>
      <c r="W810" s="21" t="e" cm="1">
        <f t="array" ref="W810">_xlfn.IFS(
  A810="BELL", "WHITE",
  A810="GAMP", "ORANGE",
  A810="GAMM", "GREEN",
  A810="BWF", "YELLOW",
  OR(A810="TNBE", A810="TNBL", A810="TNBD", A810="TNWC", A810="TNBW", A810="THBS"), "PINK",
  A810="CRWD", "BLUE",
  A810="PASS", "WHITE"
)</f>
        <v>#N/A</v>
      </c>
    </row>
    <row r="811" spans="1:23" x14ac:dyDescent="0.25">
      <c r="A811" s="7"/>
      <c r="B811" s="7"/>
      <c r="D811" s="1"/>
      <c r="I811" s="3"/>
      <c r="J811" s="17"/>
      <c r="K811" s="17"/>
      <c r="L811" s="18"/>
      <c r="M811" s="3"/>
      <c r="P811" s="3"/>
      <c r="Q811" s="4"/>
      <c r="R811" s="19"/>
      <c r="S811" s="20"/>
      <c r="U811" s="3" t="str">
        <f t="shared" si="28"/>
        <v/>
      </c>
      <c r="V811" s="4" t="str">
        <f t="shared" si="29"/>
        <v/>
      </c>
      <c r="W811" s="21" t="e" cm="1">
        <f t="array" ref="W811">_xlfn.IFS(
  A811="BELL", "WHITE",
  A811="GAMP", "ORANGE",
  A811="GAMM", "GREEN",
  A811="BWF", "YELLOW",
  OR(A811="TNBE", A811="TNBL", A811="TNBD", A811="TNWC", A811="TNBW", A811="THBS"), "PINK",
  A811="CRWD", "BLUE",
  A811="PASS", "WHITE"
)</f>
        <v>#N/A</v>
      </c>
    </row>
    <row r="812" spans="1:23" x14ac:dyDescent="0.25">
      <c r="A812" s="7"/>
      <c r="B812" s="7"/>
      <c r="D812" s="1"/>
      <c r="I812" s="3"/>
      <c r="J812" s="17"/>
      <c r="K812" s="17"/>
      <c r="L812" s="18"/>
      <c r="M812" s="3"/>
      <c r="P812" s="3"/>
      <c r="Q812" s="4"/>
      <c r="R812" s="19"/>
      <c r="S812" s="20"/>
      <c r="U812" s="3" t="str">
        <f t="shared" si="28"/>
        <v/>
      </c>
      <c r="V812" s="4" t="str">
        <f t="shared" si="29"/>
        <v/>
      </c>
      <c r="W812" s="21" t="e" cm="1">
        <f t="array" ref="W812">_xlfn.IFS(
  A812="BELL", "WHITE",
  A812="GAMP", "ORANGE",
  A812="GAMM", "GREEN",
  A812="BWF", "YELLOW",
  OR(A812="TNBE", A812="TNBL", A812="TNBD", A812="TNWC", A812="TNBW", A812="THBS"), "PINK",
  A812="CRWD", "BLUE",
  A812="PASS", "WHITE"
)</f>
        <v>#N/A</v>
      </c>
    </row>
    <row r="813" spans="1:23" x14ac:dyDescent="0.25">
      <c r="A813" s="7"/>
      <c r="B813" s="7"/>
      <c r="D813" s="1"/>
      <c r="I813" s="3"/>
      <c r="J813" s="17"/>
      <c r="K813" s="17"/>
      <c r="L813" s="18"/>
      <c r="M813" s="3"/>
      <c r="P813" s="3"/>
      <c r="Q813" s="4"/>
      <c r="R813" s="19"/>
      <c r="S813" s="20"/>
      <c r="U813" s="3" t="str">
        <f t="shared" si="28"/>
        <v/>
      </c>
      <c r="V813" s="4" t="str">
        <f t="shared" si="29"/>
        <v/>
      </c>
      <c r="W813" s="21" t="e" cm="1">
        <f t="array" ref="W813">_xlfn.IFS(
  A813="BELL", "WHITE",
  A813="GAMP", "ORANGE",
  A813="GAMM", "GREEN",
  A813="BWF", "YELLOW",
  OR(A813="TNBE", A813="TNBL", A813="TNBD", A813="TNWC", A813="TNBW", A813="THBS"), "PINK",
  A813="CRWD", "BLUE",
  A813="PASS", "WHITE"
)</f>
        <v>#N/A</v>
      </c>
    </row>
    <row r="814" spans="1:23" x14ac:dyDescent="0.25">
      <c r="A814" s="7"/>
      <c r="B814" s="7"/>
      <c r="D814" s="1"/>
      <c r="I814" s="3"/>
      <c r="J814" s="17"/>
      <c r="K814" s="17"/>
      <c r="L814" s="18"/>
      <c r="M814" s="3"/>
      <c r="P814" s="3"/>
      <c r="Q814" s="4"/>
      <c r="R814" s="19"/>
      <c r="S814" s="20"/>
      <c r="U814" s="3" t="str">
        <f t="shared" si="28"/>
        <v/>
      </c>
      <c r="V814" s="4" t="str">
        <f t="shared" si="29"/>
        <v/>
      </c>
      <c r="W814" s="21" t="e" cm="1">
        <f t="array" ref="W814">_xlfn.IFS(
  A814="BELL", "WHITE",
  A814="GAMP", "ORANGE",
  A814="GAMM", "GREEN",
  A814="BWF", "YELLOW",
  OR(A814="TNBE", A814="TNBL", A814="TNBD", A814="TNWC", A814="TNBW", A814="THBS"), "PINK",
  A814="CRWD", "BLUE",
  A814="PASS", "WHITE"
)</f>
        <v>#N/A</v>
      </c>
    </row>
    <row r="815" spans="1:23" x14ac:dyDescent="0.25">
      <c r="A815" s="7"/>
      <c r="B815" s="7"/>
      <c r="D815" s="1"/>
      <c r="I815" s="3"/>
      <c r="J815" s="17"/>
      <c r="K815" s="17"/>
      <c r="L815" s="18"/>
      <c r="M815" s="3"/>
      <c r="P815" s="3"/>
      <c r="Q815" s="4"/>
      <c r="R815" s="19"/>
      <c r="S815" s="20"/>
      <c r="U815" s="3" t="str">
        <f t="shared" si="28"/>
        <v/>
      </c>
      <c r="V815" s="4" t="str">
        <f t="shared" si="29"/>
        <v/>
      </c>
      <c r="W815" s="21" t="e" cm="1">
        <f t="array" ref="W815">_xlfn.IFS(
  A815="BELL", "WHITE",
  A815="GAMP", "ORANGE",
  A815="GAMM", "GREEN",
  A815="BWF", "YELLOW",
  OR(A815="TNBE", A815="TNBL", A815="TNBD", A815="TNWC", A815="TNBW", A815="THBS"), "PINK",
  A815="CRWD", "BLUE",
  A815="PASS", "WHITE"
)</f>
        <v>#N/A</v>
      </c>
    </row>
    <row r="816" spans="1:23" x14ac:dyDescent="0.25">
      <c r="A816" s="7"/>
      <c r="B816" s="7"/>
      <c r="D816" s="1"/>
      <c r="H816" s="7"/>
      <c r="I816" s="3"/>
      <c r="J816" s="17"/>
      <c r="K816" s="17"/>
      <c r="L816" s="18"/>
      <c r="M816" s="18"/>
      <c r="P816" s="3"/>
      <c r="Q816" s="4"/>
      <c r="R816" s="19"/>
      <c r="S816" s="20"/>
      <c r="U816" s="3" t="str">
        <f t="shared" si="28"/>
        <v/>
      </c>
      <c r="V816" s="4" t="str">
        <f t="shared" si="29"/>
        <v/>
      </c>
      <c r="W816" s="21" t="e" cm="1">
        <f t="array" ref="W816">_xlfn.IFS(
  A816="BELL", "WHITE",
  A816="GAMP", "ORANGE",
  A816="GAMM", "GREEN",
  A816="BWF", "YELLOW",
  OR(A816="TNBE", A816="TNBL", A816="TNBD", A816="TNWC", A816="TNBW", A816="THBS"), "PINK",
  A816="CRWD", "BLUE",
  A816="PASS", "WHITE"
)</f>
        <v>#N/A</v>
      </c>
    </row>
    <row r="817" spans="1:23" x14ac:dyDescent="0.25">
      <c r="A817" s="7"/>
      <c r="B817" s="7"/>
      <c r="D817" s="1"/>
      <c r="I817" s="3"/>
      <c r="J817" s="17"/>
      <c r="K817" s="17"/>
      <c r="L817" s="18"/>
      <c r="M817" s="3"/>
      <c r="P817" s="3"/>
      <c r="Q817" s="4"/>
      <c r="R817" s="19"/>
      <c r="S817" s="20"/>
      <c r="U817" s="3" t="str">
        <f t="shared" si="28"/>
        <v/>
      </c>
      <c r="V817" s="4" t="str">
        <f t="shared" si="29"/>
        <v/>
      </c>
      <c r="W817" s="21" t="e" cm="1">
        <f t="array" ref="W817">_xlfn.IFS(
  A817="BELL", "WHITE",
  A817="GAMP", "ORANGE",
  A817="GAMM", "GREEN",
  A817="BWF", "YELLOW",
  OR(A817="TNBE", A817="TNBL", A817="TNBD", A817="TNWC", A817="TNBW", A817="THBS"), "PINK",
  A817="CRWD", "BLUE",
  A817="PASS", "WHITE"
)</f>
        <v>#N/A</v>
      </c>
    </row>
    <row r="818" spans="1:23" x14ac:dyDescent="0.25">
      <c r="A818" s="7"/>
      <c r="B818" s="7"/>
      <c r="D818" s="1"/>
      <c r="I818" s="3"/>
      <c r="J818" s="17"/>
      <c r="K818" s="17"/>
      <c r="L818" s="18"/>
      <c r="M818" s="3"/>
      <c r="P818" s="3"/>
      <c r="Q818" s="4"/>
      <c r="R818" s="19"/>
      <c r="S818" s="20"/>
      <c r="U818" s="3" t="str">
        <f t="shared" si="28"/>
        <v/>
      </c>
      <c r="V818" s="4" t="str">
        <f t="shared" si="29"/>
        <v/>
      </c>
      <c r="W818" s="21" t="e" cm="1">
        <f t="array" ref="W818">_xlfn.IFS(
  A818="BELL", "WHITE",
  A818="GAMP", "ORANGE",
  A818="GAMM", "GREEN",
  A818="BWF", "YELLOW",
  OR(A818="TNBE", A818="TNBL", A818="TNBD", A818="TNWC", A818="TNBW", A818="THBS"), "PINK",
  A818="CRWD", "BLUE",
  A818="PASS", "WHITE"
)</f>
        <v>#N/A</v>
      </c>
    </row>
    <row r="819" spans="1:23" x14ac:dyDescent="0.25">
      <c r="A819" s="7"/>
      <c r="B819" s="7"/>
      <c r="D819" s="1"/>
      <c r="I819" s="3"/>
      <c r="J819" s="17"/>
      <c r="K819" s="17"/>
      <c r="L819" s="18"/>
      <c r="M819" s="3"/>
      <c r="P819" s="3"/>
      <c r="Q819" s="4"/>
      <c r="R819" s="19"/>
      <c r="S819" s="20"/>
      <c r="U819" s="3" t="str">
        <f t="shared" si="28"/>
        <v/>
      </c>
      <c r="V819" s="4" t="str">
        <f t="shared" si="29"/>
        <v/>
      </c>
      <c r="W819" s="21" t="e" cm="1">
        <f t="array" ref="W819">_xlfn.IFS(
  A819="BELL", "WHITE",
  A819="GAMP", "ORANGE",
  A819="GAMM", "GREEN",
  A819="BWF", "YELLOW",
  OR(A819="TNBE", A819="TNBL", A819="TNBD", A819="TNWC", A819="TNBW", A819="THBS"), "PINK",
  A819="CRWD", "BLUE",
  A819="PASS", "WHITE"
)</f>
        <v>#N/A</v>
      </c>
    </row>
    <row r="820" spans="1:23" x14ac:dyDescent="0.25">
      <c r="A820" s="7"/>
      <c r="B820" s="7"/>
      <c r="D820" s="1"/>
      <c r="I820" s="3"/>
      <c r="J820" s="17"/>
      <c r="K820" s="17"/>
      <c r="L820" s="18"/>
      <c r="M820" s="3"/>
      <c r="P820" s="3"/>
      <c r="Q820" s="4"/>
      <c r="R820" s="19"/>
      <c r="S820" s="20"/>
      <c r="U820" s="3" t="str">
        <f t="shared" si="28"/>
        <v/>
      </c>
      <c r="V820" s="4" t="str">
        <f t="shared" si="29"/>
        <v/>
      </c>
      <c r="W820" s="21" t="e" cm="1">
        <f t="array" ref="W820">_xlfn.IFS(
  A820="BELL", "WHITE",
  A820="GAMP", "ORANGE",
  A820="GAMM", "GREEN",
  A820="BWF", "YELLOW",
  OR(A820="TNBE", A820="TNBL", A820="TNBD", A820="TNWC", A820="TNBW", A820="THBS"), "PINK",
  A820="CRWD", "BLUE",
  A820="PASS", "WHITE"
)</f>
        <v>#N/A</v>
      </c>
    </row>
    <row r="821" spans="1:23" x14ac:dyDescent="0.25">
      <c r="A821" s="7"/>
      <c r="B821" s="7"/>
      <c r="D821" s="1"/>
      <c r="E821" s="29"/>
      <c r="I821" s="3"/>
      <c r="J821" s="17"/>
      <c r="K821" s="17"/>
      <c r="L821" s="18"/>
      <c r="M821" s="3"/>
      <c r="P821" s="3"/>
      <c r="Q821" s="4"/>
      <c r="R821" s="19"/>
      <c r="S821" s="20"/>
      <c r="U821" s="3" t="str">
        <f t="shared" si="28"/>
        <v/>
      </c>
      <c r="V821" s="4" t="str">
        <f t="shared" si="29"/>
        <v/>
      </c>
      <c r="W821" s="21" t="e" cm="1">
        <f t="array" ref="W821">_xlfn.IFS(
  A821="BELL", "WHITE",
  A821="GAMP", "ORANGE",
  A821="GAMM", "GREEN",
  A821="BWF", "YELLOW",
  OR(A821="TNBE", A821="TNBL", A821="TNBD", A821="TNWC", A821="TNBW", A821="THBS"), "PINK",
  A821="CRWD", "BLUE",
  A821="PASS", "WHITE"
)</f>
        <v>#N/A</v>
      </c>
    </row>
    <row r="822" spans="1:23" x14ac:dyDescent="0.25">
      <c r="A822" s="7"/>
      <c r="B822" s="7"/>
      <c r="D822" s="1"/>
      <c r="E822" s="29"/>
      <c r="I822" s="3"/>
      <c r="J822" s="17"/>
      <c r="K822" s="17"/>
      <c r="L822" s="18"/>
      <c r="M822" s="3"/>
      <c r="P822" s="3"/>
      <c r="Q822" s="4"/>
      <c r="R822" s="19"/>
      <c r="S822" s="20"/>
      <c r="U822" s="3" t="str">
        <f t="shared" si="28"/>
        <v/>
      </c>
      <c r="V822" s="4" t="str">
        <f t="shared" si="29"/>
        <v/>
      </c>
      <c r="W822" s="21" t="e" cm="1">
        <f t="array" ref="W822">_xlfn.IFS(
  A822="BELL", "WHITE",
  A822="GAMP", "ORANGE",
  A822="GAMM", "GREEN",
  A822="BWF", "YELLOW",
  OR(A822="TNBE", A822="TNBL", A822="TNBD", A822="TNWC", A822="TNBW", A822="THBS"), "PINK",
  A822="CRWD", "BLUE",
  A822="PASS", "WHITE"
)</f>
        <v>#N/A</v>
      </c>
    </row>
    <row r="823" spans="1:23" x14ac:dyDescent="0.25">
      <c r="A823" s="7"/>
      <c r="B823" s="7"/>
      <c r="D823" s="1"/>
      <c r="I823" s="3"/>
      <c r="J823" s="17"/>
      <c r="K823" s="17"/>
      <c r="L823" s="18"/>
      <c r="M823" s="3"/>
      <c r="P823" s="3"/>
      <c r="Q823" s="4"/>
      <c r="R823" s="19"/>
      <c r="S823" s="20"/>
      <c r="U823" s="3" t="str">
        <f t="shared" si="28"/>
        <v/>
      </c>
      <c r="V823" s="4" t="str">
        <f t="shared" si="29"/>
        <v/>
      </c>
      <c r="W823" s="21" t="e" cm="1">
        <f t="array" ref="W823">_xlfn.IFS(
  A823="BELL", "WHITE",
  A823="GAMP", "ORANGE",
  A823="GAMM", "GREEN",
  A823="BWF", "YELLOW",
  OR(A823="TNBE", A823="TNBL", A823="TNBD", A823="TNWC", A823="TNBW", A823="THBS"), "PINK",
  A823="CRWD", "BLUE",
  A823="PASS", "WHITE"
)</f>
        <v>#N/A</v>
      </c>
    </row>
    <row r="824" spans="1:23" x14ac:dyDescent="0.25">
      <c r="A824" s="7"/>
      <c r="B824" s="7"/>
      <c r="D824" s="1"/>
      <c r="I824" s="3"/>
      <c r="J824" s="17"/>
      <c r="K824" s="17"/>
      <c r="L824" s="18"/>
      <c r="M824" s="3"/>
      <c r="P824" s="3"/>
      <c r="Q824" s="4"/>
      <c r="R824" s="19"/>
      <c r="S824" s="20"/>
      <c r="U824" s="3" t="str">
        <f t="shared" si="28"/>
        <v/>
      </c>
      <c r="V824" s="4" t="str">
        <f t="shared" si="29"/>
        <v/>
      </c>
      <c r="W824" s="21" t="e" cm="1">
        <f t="array" ref="W824">_xlfn.IFS(
  A824="BELL", "WHITE",
  A824="GAMP", "ORANGE",
  A824="GAMM", "GREEN",
  A824="BWF", "YELLOW",
  OR(A824="TNBE", A824="TNBL", A824="TNBD", A824="TNWC", A824="TNBW", A824="THBS"), "PINK",
  A824="CRWD", "BLUE",
  A824="PASS", "WHITE"
)</f>
        <v>#N/A</v>
      </c>
    </row>
    <row r="825" spans="1:23" x14ac:dyDescent="0.25">
      <c r="A825" s="7"/>
      <c r="B825" s="7"/>
      <c r="D825" s="1"/>
      <c r="I825" s="3"/>
      <c r="J825" s="17"/>
      <c r="K825" s="17"/>
      <c r="L825" s="18"/>
      <c r="M825" s="3"/>
      <c r="P825" s="3"/>
      <c r="Q825" s="4"/>
      <c r="R825" s="19"/>
      <c r="S825" s="20"/>
      <c r="U825" s="3" t="str">
        <f t="shared" si="28"/>
        <v/>
      </c>
      <c r="V825" s="4" t="str">
        <f t="shared" si="29"/>
        <v/>
      </c>
      <c r="W825" s="21" t="e" cm="1">
        <f t="array" ref="W825">_xlfn.IFS(
  A825="BELL", "WHITE",
  A825="GAMP", "ORANGE",
  A825="GAMM", "GREEN",
  A825="BWF", "YELLOW",
  OR(A825="TNBE", A825="TNBL", A825="TNBD", A825="TNWC", A825="TNBW", A825="THBS"), "PINK",
  A825="CRWD", "BLUE",
  A825="PASS", "WHITE"
)</f>
        <v>#N/A</v>
      </c>
    </row>
    <row r="826" spans="1:23" x14ac:dyDescent="0.25">
      <c r="A826" s="7"/>
      <c r="B826" s="7"/>
      <c r="D826" s="1"/>
      <c r="I826" s="3"/>
      <c r="J826" s="17"/>
      <c r="K826" s="17"/>
      <c r="L826" s="18"/>
      <c r="M826" s="3"/>
      <c r="P826" s="3"/>
      <c r="Q826" s="4"/>
      <c r="R826" s="19"/>
      <c r="S826" s="20"/>
      <c r="U826" s="3" t="str">
        <f t="shared" si="28"/>
        <v/>
      </c>
      <c r="V826" s="4" t="str">
        <f t="shared" si="29"/>
        <v/>
      </c>
      <c r="W826" s="21" t="e" cm="1">
        <f t="array" ref="W826">_xlfn.IFS(
  A826="BELL", "WHITE",
  A826="GAMP", "ORANGE",
  A826="GAMM", "GREEN",
  A826="BWF", "YELLOW",
  OR(A826="TNBE", A826="TNBL", A826="TNBD", A826="TNWC", A826="TNBW", A826="THBS"), "PINK",
  A826="CRWD", "BLUE",
  A826="PASS", "WHITE"
)</f>
        <v>#N/A</v>
      </c>
    </row>
    <row r="827" spans="1:23" x14ac:dyDescent="0.25">
      <c r="A827" s="7"/>
      <c r="B827" s="7"/>
      <c r="D827" s="1"/>
      <c r="I827" s="3"/>
      <c r="J827" s="17"/>
      <c r="K827" s="17"/>
      <c r="L827" s="18"/>
      <c r="M827" s="3"/>
      <c r="P827" s="3"/>
      <c r="Q827" s="4"/>
      <c r="R827" s="19"/>
      <c r="S827" s="20"/>
      <c r="U827" s="3" t="str">
        <f t="shared" si="28"/>
        <v/>
      </c>
      <c r="V827" s="4" t="str">
        <f t="shared" si="29"/>
        <v/>
      </c>
      <c r="W827" s="21" t="e" cm="1">
        <f t="array" ref="W827">_xlfn.IFS(
  A827="BELL", "WHITE",
  A827="GAMP", "ORANGE",
  A827="GAMM", "GREEN",
  A827="BWF", "YELLOW",
  OR(A827="TNBE", A827="TNBL", A827="TNBD", A827="TNWC", A827="TNBW", A827="THBS"), "PINK",
  A827="CRWD", "BLUE",
  A827="PASS", "WHITE"
)</f>
        <v>#N/A</v>
      </c>
    </row>
    <row r="828" spans="1:23" x14ac:dyDescent="0.25">
      <c r="A828" s="7"/>
      <c r="B828" s="7"/>
      <c r="D828" s="1"/>
      <c r="I828" s="3"/>
      <c r="J828" s="17"/>
      <c r="K828" s="17"/>
      <c r="L828" s="18"/>
      <c r="M828" s="3"/>
      <c r="P828" s="3"/>
      <c r="Q828" s="4"/>
      <c r="R828" s="19"/>
      <c r="S828" s="20"/>
      <c r="U828" s="3" t="str">
        <f t="shared" si="28"/>
        <v/>
      </c>
      <c r="V828" s="4" t="str">
        <f t="shared" si="29"/>
        <v/>
      </c>
      <c r="W828" s="21" t="e" cm="1">
        <f t="array" ref="W828">_xlfn.IFS(
  A828="BELL", "WHITE",
  A828="GAMP", "ORANGE",
  A828="GAMM", "GREEN",
  A828="BWF", "YELLOW",
  OR(A828="TNBE", A828="TNBL", A828="TNBD", A828="TNWC", A828="TNBW", A828="THBS"), "PINK",
  A828="CRWD", "BLUE",
  A828="PASS", "WHITE"
)</f>
        <v>#N/A</v>
      </c>
    </row>
    <row r="829" spans="1:23" x14ac:dyDescent="0.25">
      <c r="A829" s="7"/>
      <c r="B829" s="7"/>
      <c r="D829" s="1"/>
      <c r="I829" s="3"/>
      <c r="J829" s="17"/>
      <c r="K829" s="17"/>
      <c r="L829" s="18"/>
      <c r="M829" s="3"/>
      <c r="P829" s="3"/>
      <c r="Q829" s="4"/>
      <c r="R829" s="19"/>
      <c r="S829" s="20"/>
      <c r="U829" s="3" t="str">
        <f t="shared" si="28"/>
        <v/>
      </c>
      <c r="V829" s="4" t="str">
        <f t="shared" si="29"/>
        <v/>
      </c>
      <c r="W829" s="21" t="e" cm="1">
        <f t="array" ref="W829">_xlfn.IFS(
  A829="BELL", "WHITE",
  A829="GAMP", "ORANGE",
  A829="GAMM", "GREEN",
  A829="BWF", "YELLOW",
  OR(A829="TNBE", A829="TNBL", A829="TNBD", A829="TNWC", A829="TNBW", A829="THBS"), "PINK",
  A829="CRWD", "BLUE",
  A829="PASS", "WHITE"
)</f>
        <v>#N/A</v>
      </c>
    </row>
    <row r="830" spans="1:23" x14ac:dyDescent="0.25">
      <c r="A830" s="7"/>
      <c r="B830" s="7"/>
      <c r="D830" s="1"/>
      <c r="H830" s="7"/>
      <c r="I830" s="3"/>
      <c r="J830" s="17"/>
      <c r="K830" s="17"/>
      <c r="L830" s="18"/>
      <c r="M830" s="18"/>
      <c r="P830" s="3"/>
      <c r="Q830" s="4"/>
      <c r="R830" s="19"/>
      <c r="S830" s="20"/>
      <c r="U830" s="3" t="str">
        <f t="shared" si="28"/>
        <v/>
      </c>
      <c r="V830" s="4" t="str">
        <f t="shared" si="29"/>
        <v/>
      </c>
      <c r="W830" s="21" t="e" cm="1">
        <f t="array" ref="W830">_xlfn.IFS(
  A830="BELL", "WHITE",
  A830="GAMP", "ORANGE",
  A830="GAMM", "GREEN",
  A830="BWF", "YELLOW",
  OR(A830="TNBE", A830="TNBL", A830="TNBD", A830="TNWC", A830="TNBW", A830="THBS"), "PINK",
  A830="CRWD", "BLUE",
  A830="PASS", "WHITE"
)</f>
        <v>#N/A</v>
      </c>
    </row>
    <row r="831" spans="1:23" x14ac:dyDescent="0.25">
      <c r="A831" s="7"/>
      <c r="B831" s="7"/>
      <c r="D831" s="1"/>
      <c r="I831" s="3"/>
      <c r="J831" s="17"/>
      <c r="K831" s="17"/>
      <c r="L831" s="18"/>
      <c r="M831" s="3"/>
      <c r="P831" s="3"/>
      <c r="Q831" s="4"/>
      <c r="R831" s="19"/>
      <c r="S831" s="20"/>
      <c r="U831" s="3" t="str">
        <f t="shared" si="28"/>
        <v/>
      </c>
      <c r="V831" s="4" t="str">
        <f t="shared" si="29"/>
        <v/>
      </c>
      <c r="W831" s="21" t="e" cm="1">
        <f t="array" ref="W831">_xlfn.IFS(
  A831="BELL", "WHITE",
  A831="GAMP", "ORANGE",
  A831="GAMM", "GREEN",
  A831="BWF", "YELLOW",
  OR(A831="TNBE", A831="TNBL", A831="TNBD", A831="TNWC", A831="TNBW", A831="THBS"), "PINK",
  A831="CRWD", "BLUE",
  A831="PASS", "WHITE"
)</f>
        <v>#N/A</v>
      </c>
    </row>
    <row r="832" spans="1:23" x14ac:dyDescent="0.25">
      <c r="A832" s="7"/>
      <c r="B832" s="7"/>
      <c r="D832" s="1"/>
      <c r="H832" s="7"/>
      <c r="I832" s="3"/>
      <c r="J832" s="17"/>
      <c r="K832" s="17"/>
      <c r="L832" s="18"/>
      <c r="M832" s="18"/>
      <c r="P832" s="3"/>
      <c r="Q832" s="4"/>
      <c r="R832" s="19"/>
      <c r="S832" s="20"/>
      <c r="U832" s="3" t="str">
        <f t="shared" si="28"/>
        <v/>
      </c>
      <c r="V832" s="4" t="str">
        <f t="shared" si="29"/>
        <v/>
      </c>
      <c r="W832" s="21" t="e" cm="1">
        <f t="array" ref="W832">_xlfn.IFS(
  A832="BELL", "WHITE",
  A832="GAMP", "ORANGE",
  A832="GAMM", "GREEN",
  A832="BWF", "YELLOW",
  OR(A832="TNBE", A832="TNBL", A832="TNBD", A832="TNWC", A832="TNBW", A832="THBS"), "PINK",
  A832="CRWD", "BLUE",
  A832="PASS", "WHITE"
)</f>
        <v>#N/A</v>
      </c>
    </row>
    <row r="833" spans="1:23" x14ac:dyDescent="0.25">
      <c r="A833" s="7"/>
      <c r="B833" s="7"/>
      <c r="D833" s="1"/>
      <c r="I833" s="3"/>
      <c r="J833" s="17"/>
      <c r="K833" s="17"/>
      <c r="L833" s="18"/>
      <c r="M833" s="3"/>
      <c r="P833" s="3"/>
      <c r="Q833" s="4"/>
      <c r="R833" s="19"/>
      <c r="S833" s="20"/>
      <c r="U833" s="3" t="str">
        <f t="shared" si="28"/>
        <v/>
      </c>
      <c r="V833" s="4" t="str">
        <f t="shared" si="29"/>
        <v/>
      </c>
      <c r="W833" s="21" t="e" cm="1">
        <f t="array" ref="W833">_xlfn.IFS(
  A833="BELL", "WHITE",
  A833="GAMP", "ORANGE",
  A833="GAMM", "GREEN",
  A833="BWF", "YELLOW",
  OR(A833="TNBE", A833="TNBL", A833="TNBD", A833="TNWC", A833="TNBW", A833="THBS"), "PINK",
  A833="CRWD", "BLUE",
  A833="PASS", "WHITE"
)</f>
        <v>#N/A</v>
      </c>
    </row>
    <row r="834" spans="1:23" x14ac:dyDescent="0.25">
      <c r="A834" s="7"/>
      <c r="B834" s="7"/>
      <c r="D834" s="1"/>
      <c r="H834" s="7"/>
      <c r="I834" s="3"/>
      <c r="J834" s="17"/>
      <c r="K834" s="17"/>
      <c r="L834" s="18"/>
      <c r="M834" s="18"/>
      <c r="P834" s="3"/>
      <c r="Q834" s="4"/>
      <c r="R834" s="19"/>
      <c r="S834" s="20"/>
      <c r="U834" s="3" t="str">
        <f t="shared" si="28"/>
        <v/>
      </c>
      <c r="V834" s="4" t="str">
        <f t="shared" si="29"/>
        <v/>
      </c>
      <c r="W834" s="21" t="e" cm="1">
        <f t="array" ref="W834">_xlfn.IFS(
  A834="BELL", "WHITE",
  A834="GAMP", "ORANGE",
  A834="GAMM", "GREEN",
  A834="BWF", "YELLOW",
  OR(A834="TNBE", A834="TNBL", A834="TNBD", A834="TNWC", A834="TNBW", A834="THBS"), "PINK",
  A834="CRWD", "BLUE",
  A834="PASS", "WHITE"
)</f>
        <v>#N/A</v>
      </c>
    </row>
    <row r="835" spans="1:23" x14ac:dyDescent="0.25">
      <c r="A835" s="7"/>
      <c r="B835" s="7"/>
      <c r="D835" s="1"/>
      <c r="E835" s="29"/>
      <c r="I835" s="3"/>
      <c r="J835" s="17"/>
      <c r="K835" s="17"/>
      <c r="L835" s="18"/>
      <c r="M835" s="3"/>
      <c r="P835" s="3"/>
      <c r="Q835" s="4"/>
      <c r="R835" s="19"/>
      <c r="S835" s="20"/>
      <c r="U835" s="3" t="str">
        <f t="shared" si="28"/>
        <v/>
      </c>
      <c r="V835" s="4" t="str">
        <f t="shared" si="29"/>
        <v/>
      </c>
      <c r="W835" s="21" t="e" cm="1">
        <f t="array" ref="W835">_xlfn.IFS(
  A835="BELL", "WHITE",
  A835="GAMP", "ORANGE",
  A835="GAMM", "GREEN",
  A835="BWF", "YELLOW",
  OR(A835="TNBE", A835="TNBL", A835="TNBD", A835="TNWC", A835="TNBW", A835="THBS"), "PINK",
  A835="CRWD", "BLUE",
  A835="PASS", "WHITE"
)</f>
        <v>#N/A</v>
      </c>
    </row>
    <row r="836" spans="1:23" x14ac:dyDescent="0.25">
      <c r="A836" s="7"/>
      <c r="B836" s="7"/>
      <c r="D836" s="1"/>
      <c r="E836" s="29"/>
      <c r="I836" s="3"/>
      <c r="J836" s="17"/>
      <c r="K836" s="17"/>
      <c r="L836" s="18"/>
      <c r="M836" s="3"/>
      <c r="P836" s="3"/>
      <c r="Q836" s="4"/>
      <c r="R836" s="19"/>
      <c r="S836" s="20"/>
      <c r="U836" s="3" t="str">
        <f t="shared" ref="U836:U899" si="30">IF(T836="","",IF(T836&gt;I836,H836,T836/G836))</f>
        <v/>
      </c>
      <c r="V836" s="4" t="str">
        <f t="shared" ref="V836:V899" si="31">IF(T836&gt;I836,T836-I836,"")</f>
        <v/>
      </c>
      <c r="W836" s="21" t="e" cm="1">
        <f t="array" ref="W836">_xlfn.IFS(
  A836="BELL", "WHITE",
  A836="GAMP", "ORANGE",
  A836="GAMM", "GREEN",
  A836="BWF", "YELLOW",
  OR(A836="TNBE", A836="TNBL", A836="TNBD", A836="TNWC", A836="TNBW", A836="THBS"), "PINK",
  A836="CRWD", "BLUE",
  A836="PASS", "WHITE"
)</f>
        <v>#N/A</v>
      </c>
    </row>
    <row r="837" spans="1:23" x14ac:dyDescent="0.25">
      <c r="A837" s="7"/>
      <c r="B837" s="7"/>
      <c r="D837" s="1"/>
      <c r="E837" s="29"/>
      <c r="I837" s="3"/>
      <c r="J837" s="17"/>
      <c r="K837" s="17"/>
      <c r="L837" s="18"/>
      <c r="M837" s="3"/>
      <c r="P837" s="3"/>
      <c r="Q837" s="4"/>
      <c r="R837" s="19"/>
      <c r="S837" s="20"/>
      <c r="U837" s="3" t="str">
        <f t="shared" si="30"/>
        <v/>
      </c>
      <c r="V837" s="4" t="str">
        <f t="shared" si="31"/>
        <v/>
      </c>
      <c r="W837" s="21" t="e" cm="1">
        <f t="array" ref="W837">_xlfn.IFS(
  A837="BELL", "WHITE",
  A837="GAMP", "ORANGE",
  A837="GAMM", "GREEN",
  A837="BWF", "YELLOW",
  OR(A837="TNBE", A837="TNBL", A837="TNBD", A837="TNWC", A837="TNBW", A837="THBS"), "PINK",
  A837="CRWD", "BLUE",
  A837="PASS", "WHITE"
)</f>
        <v>#N/A</v>
      </c>
    </row>
    <row r="838" spans="1:23" x14ac:dyDescent="0.25">
      <c r="A838" s="7"/>
      <c r="B838" s="7"/>
      <c r="D838" s="1"/>
      <c r="E838" s="29"/>
      <c r="I838" s="3"/>
      <c r="J838" s="17"/>
      <c r="K838" s="17"/>
      <c r="L838" s="18"/>
      <c r="M838" s="3"/>
      <c r="P838" s="3"/>
      <c r="Q838" s="4"/>
      <c r="R838" s="19"/>
      <c r="S838" s="20"/>
      <c r="U838" s="3" t="str">
        <f t="shared" si="30"/>
        <v/>
      </c>
      <c r="V838" s="4" t="str">
        <f t="shared" si="31"/>
        <v/>
      </c>
      <c r="W838" s="21" t="e" cm="1">
        <f t="array" ref="W838">_xlfn.IFS(
  A838="BELL", "WHITE",
  A838="GAMP", "ORANGE",
  A838="GAMM", "GREEN",
  A838="BWF", "YELLOW",
  OR(A838="TNBE", A838="TNBL", A838="TNBD", A838="TNWC", A838="TNBW", A838="THBS"), "PINK",
  A838="CRWD", "BLUE",
  A838="PASS", "WHITE"
)</f>
        <v>#N/A</v>
      </c>
    </row>
    <row r="839" spans="1:23" x14ac:dyDescent="0.25">
      <c r="A839" s="7"/>
      <c r="B839" s="7"/>
      <c r="D839" s="1"/>
      <c r="E839" s="29"/>
      <c r="I839" s="3"/>
      <c r="J839" s="17"/>
      <c r="K839" s="17"/>
      <c r="L839" s="18"/>
      <c r="M839" s="3"/>
      <c r="P839" s="3"/>
      <c r="Q839" s="4"/>
      <c r="R839" s="19"/>
      <c r="S839" s="20"/>
      <c r="U839" s="3" t="str">
        <f t="shared" si="30"/>
        <v/>
      </c>
      <c r="V839" s="4" t="str">
        <f t="shared" si="31"/>
        <v/>
      </c>
      <c r="W839" s="21" t="e" cm="1">
        <f t="array" ref="W839">_xlfn.IFS(
  A839="BELL", "WHITE",
  A839="GAMP", "ORANGE",
  A839="GAMM", "GREEN",
  A839="BWF", "YELLOW",
  OR(A839="TNBE", A839="TNBL", A839="TNBD", A839="TNWC", A839="TNBW", A839="THBS"), "PINK",
  A839="CRWD", "BLUE",
  A839="PASS", "WHITE"
)</f>
        <v>#N/A</v>
      </c>
    </row>
    <row r="840" spans="1:23" x14ac:dyDescent="0.25">
      <c r="A840" s="7"/>
      <c r="B840" s="7"/>
      <c r="D840" s="1"/>
      <c r="E840" s="29"/>
      <c r="I840" s="3"/>
      <c r="J840" s="17"/>
      <c r="K840" s="17"/>
      <c r="L840" s="18"/>
      <c r="M840" s="3"/>
      <c r="P840" s="3"/>
      <c r="Q840" s="4"/>
      <c r="R840" s="19"/>
      <c r="S840" s="20"/>
      <c r="U840" s="3" t="str">
        <f t="shared" si="30"/>
        <v/>
      </c>
      <c r="V840" s="4" t="str">
        <f t="shared" si="31"/>
        <v/>
      </c>
      <c r="W840" s="21" t="e" cm="1">
        <f t="array" ref="W840">_xlfn.IFS(
  A840="BELL", "WHITE",
  A840="GAMP", "ORANGE",
  A840="GAMM", "GREEN",
  A840="BWF", "YELLOW",
  OR(A840="TNBE", A840="TNBL", A840="TNBD", A840="TNWC", A840="TNBW", A840="THBS"), "PINK",
  A840="CRWD", "BLUE",
  A840="PASS", "WHITE"
)</f>
        <v>#N/A</v>
      </c>
    </row>
    <row r="841" spans="1:23" x14ac:dyDescent="0.25">
      <c r="A841" s="7"/>
      <c r="B841" s="7"/>
      <c r="D841" s="1"/>
      <c r="E841" s="29"/>
      <c r="I841" s="3"/>
      <c r="J841" s="17"/>
      <c r="K841" s="17"/>
      <c r="L841" s="18"/>
      <c r="M841" s="3"/>
      <c r="P841" s="3"/>
      <c r="Q841" s="4"/>
      <c r="R841" s="19"/>
      <c r="S841" s="20"/>
      <c r="U841" s="3" t="str">
        <f t="shared" si="30"/>
        <v/>
      </c>
      <c r="V841" s="4" t="str">
        <f t="shared" si="31"/>
        <v/>
      </c>
      <c r="W841" s="21" t="e" cm="1">
        <f t="array" ref="W841">_xlfn.IFS(
  A841="BELL", "WHITE",
  A841="GAMP", "ORANGE",
  A841="GAMM", "GREEN",
  A841="BWF", "YELLOW",
  OR(A841="TNBE", A841="TNBL", A841="TNBD", A841="TNWC", A841="TNBW", A841="THBS"), "PINK",
  A841="CRWD", "BLUE",
  A841="PASS", "WHITE"
)</f>
        <v>#N/A</v>
      </c>
    </row>
    <row r="842" spans="1:23" x14ac:dyDescent="0.25">
      <c r="A842" s="7"/>
      <c r="B842" s="7"/>
      <c r="D842" s="1"/>
      <c r="E842" s="29"/>
      <c r="I842" s="3"/>
      <c r="J842" s="17"/>
      <c r="K842" s="17"/>
      <c r="L842" s="18"/>
      <c r="M842" s="3"/>
      <c r="P842" s="3"/>
      <c r="Q842" s="4"/>
      <c r="R842" s="19"/>
      <c r="S842" s="20"/>
      <c r="U842" s="3" t="str">
        <f t="shared" si="30"/>
        <v/>
      </c>
      <c r="V842" s="4" t="str">
        <f t="shared" si="31"/>
        <v/>
      </c>
      <c r="W842" s="21" t="e" cm="1">
        <f t="array" ref="W842">_xlfn.IFS(
  A842="BELL", "WHITE",
  A842="GAMP", "ORANGE",
  A842="GAMM", "GREEN",
  A842="BWF", "YELLOW",
  OR(A842="TNBE", A842="TNBL", A842="TNBD", A842="TNWC", A842="TNBW", A842="THBS"), "PINK",
  A842="CRWD", "BLUE",
  A842="PASS", "WHITE"
)</f>
        <v>#N/A</v>
      </c>
    </row>
    <row r="843" spans="1:23" x14ac:dyDescent="0.25">
      <c r="A843" s="7"/>
      <c r="B843" s="7"/>
      <c r="D843" s="1"/>
      <c r="E843" s="29"/>
      <c r="I843" s="3"/>
      <c r="J843" s="17"/>
      <c r="K843" s="17"/>
      <c r="L843" s="18"/>
      <c r="M843" s="3"/>
      <c r="P843" s="3"/>
      <c r="Q843" s="4"/>
      <c r="R843" s="19"/>
      <c r="S843" s="20"/>
      <c r="U843" s="3" t="str">
        <f t="shared" si="30"/>
        <v/>
      </c>
      <c r="V843" s="4" t="str">
        <f t="shared" si="31"/>
        <v/>
      </c>
      <c r="W843" s="21" t="e" cm="1">
        <f t="array" ref="W843">_xlfn.IFS(
  A843="BELL", "WHITE",
  A843="GAMP", "ORANGE",
  A843="GAMM", "GREEN",
  A843="BWF", "YELLOW",
  OR(A843="TNBE", A843="TNBL", A843="TNBD", A843="TNWC", A843="TNBW", A843="THBS"), "PINK",
  A843="CRWD", "BLUE",
  A843="PASS", "WHITE"
)</f>
        <v>#N/A</v>
      </c>
    </row>
    <row r="844" spans="1:23" x14ac:dyDescent="0.25">
      <c r="A844" s="7"/>
      <c r="B844" s="7"/>
      <c r="D844" s="1"/>
      <c r="E844" s="29"/>
      <c r="I844" s="3"/>
      <c r="J844" s="17"/>
      <c r="K844" s="17"/>
      <c r="L844" s="18"/>
      <c r="M844" s="3"/>
      <c r="P844" s="3"/>
      <c r="Q844" s="4"/>
      <c r="R844" s="19"/>
      <c r="S844" s="20"/>
      <c r="U844" s="3" t="str">
        <f t="shared" si="30"/>
        <v/>
      </c>
      <c r="V844" s="4" t="str">
        <f t="shared" si="31"/>
        <v/>
      </c>
      <c r="W844" s="21" t="e" cm="1">
        <f t="array" ref="W844">_xlfn.IFS(
  A844="BELL", "WHITE",
  A844="GAMP", "ORANGE",
  A844="GAMM", "GREEN",
  A844="BWF", "YELLOW",
  OR(A844="TNBE", A844="TNBL", A844="TNBD", A844="TNWC", A844="TNBW", A844="THBS"), "PINK",
  A844="CRWD", "BLUE",
  A844="PASS", "WHITE"
)</f>
        <v>#N/A</v>
      </c>
    </row>
    <row r="845" spans="1:23" x14ac:dyDescent="0.25">
      <c r="A845" s="7"/>
      <c r="B845" s="7"/>
      <c r="D845" s="1"/>
      <c r="I845" s="3"/>
      <c r="J845" s="17"/>
      <c r="K845" s="17"/>
      <c r="L845" s="18"/>
      <c r="M845" s="3"/>
      <c r="P845" s="3"/>
      <c r="Q845" s="4"/>
      <c r="R845" s="19"/>
      <c r="S845" s="20"/>
      <c r="U845" s="3" t="str">
        <f t="shared" si="30"/>
        <v/>
      </c>
      <c r="V845" s="4" t="str">
        <f t="shared" si="31"/>
        <v/>
      </c>
      <c r="W845" s="21" t="e" cm="1">
        <f t="array" ref="W845">_xlfn.IFS(
  A845="BELL", "WHITE",
  A845="GAMP", "ORANGE",
  A845="GAMM", "GREEN",
  A845="BWF", "YELLOW",
  OR(A845="TNBE", A845="TNBL", A845="TNBD", A845="TNWC", A845="TNBW", A845="THBS"), "PINK",
  A845="CRWD", "BLUE",
  A845="PASS", "WHITE"
)</f>
        <v>#N/A</v>
      </c>
    </row>
    <row r="846" spans="1:23" x14ac:dyDescent="0.25">
      <c r="A846" s="7"/>
      <c r="B846" s="7"/>
      <c r="D846" s="1"/>
      <c r="H846" s="7"/>
      <c r="I846" s="3"/>
      <c r="J846" s="17"/>
      <c r="K846" s="17"/>
      <c r="L846" s="18"/>
      <c r="M846" s="18"/>
      <c r="P846" s="3"/>
      <c r="Q846" s="4"/>
      <c r="R846" s="19"/>
      <c r="S846" s="20"/>
      <c r="U846" s="3" t="str">
        <f t="shared" si="30"/>
        <v/>
      </c>
      <c r="V846" s="4" t="str">
        <f t="shared" si="31"/>
        <v/>
      </c>
      <c r="W846" s="21" t="e" cm="1">
        <f t="array" ref="W846">_xlfn.IFS(
  A846="BELL", "WHITE",
  A846="GAMP", "ORANGE",
  A846="GAMM", "GREEN",
  A846="BWF", "YELLOW",
  OR(A846="TNBE", A846="TNBL", A846="TNBD", A846="TNWC", A846="TNBW", A846="THBS"), "PINK",
  A846="CRWD", "BLUE",
  A846="PASS", "WHITE"
)</f>
        <v>#N/A</v>
      </c>
    </row>
    <row r="847" spans="1:23" x14ac:dyDescent="0.25">
      <c r="A847" s="7"/>
      <c r="B847" s="7"/>
      <c r="D847" s="1"/>
      <c r="I847" s="3"/>
      <c r="J847" s="17"/>
      <c r="K847" s="17"/>
      <c r="L847" s="18"/>
      <c r="M847" s="3"/>
      <c r="P847" s="3"/>
      <c r="Q847" s="4"/>
      <c r="R847" s="19"/>
      <c r="S847" s="20"/>
      <c r="U847" s="3" t="str">
        <f t="shared" si="30"/>
        <v/>
      </c>
      <c r="V847" s="4" t="str">
        <f t="shared" si="31"/>
        <v/>
      </c>
      <c r="W847" s="21" t="e" cm="1">
        <f t="array" ref="W847">_xlfn.IFS(
  A847="BELL", "WHITE",
  A847="GAMP", "ORANGE",
  A847="GAMM", "GREEN",
  A847="BWF", "YELLOW",
  OR(A847="TNBE", A847="TNBL", A847="TNBD", A847="TNWC", A847="TNBW", A847="THBS"), "PINK",
  A847="CRWD", "BLUE",
  A847="PASS", "WHITE"
)</f>
        <v>#N/A</v>
      </c>
    </row>
    <row r="848" spans="1:23" x14ac:dyDescent="0.25">
      <c r="A848" s="7"/>
      <c r="B848" s="7"/>
      <c r="D848" s="1"/>
      <c r="I848" s="3"/>
      <c r="J848" s="17"/>
      <c r="K848" s="17"/>
      <c r="L848" s="18"/>
      <c r="M848" s="3"/>
      <c r="P848" s="3"/>
      <c r="Q848" s="4"/>
      <c r="R848" s="19"/>
      <c r="S848" s="20"/>
      <c r="U848" s="3" t="str">
        <f t="shared" si="30"/>
        <v/>
      </c>
      <c r="V848" s="4" t="str">
        <f t="shared" si="31"/>
        <v/>
      </c>
      <c r="W848" s="21" t="e" cm="1">
        <f t="array" ref="W848">_xlfn.IFS(
  A848="BELL", "WHITE",
  A848="GAMP", "ORANGE",
  A848="GAMM", "GREEN",
  A848="BWF", "YELLOW",
  OR(A848="TNBE", A848="TNBL", A848="TNBD", A848="TNWC", A848="TNBW", A848="THBS"), "PINK",
  A848="CRWD", "BLUE",
  A848="PASS", "WHITE"
)</f>
        <v>#N/A</v>
      </c>
    </row>
    <row r="849" spans="1:23" x14ac:dyDescent="0.25">
      <c r="A849" s="7"/>
      <c r="B849" s="25"/>
      <c r="D849" s="1"/>
      <c r="I849" s="3"/>
      <c r="J849" s="17"/>
      <c r="K849" s="17"/>
      <c r="L849" s="18"/>
      <c r="M849" s="3"/>
      <c r="P849" s="3"/>
      <c r="Q849" s="4"/>
      <c r="R849" s="19"/>
      <c r="S849" s="20"/>
      <c r="U849" s="3" t="str">
        <f t="shared" si="30"/>
        <v/>
      </c>
      <c r="V849" s="4" t="str">
        <f t="shared" si="31"/>
        <v/>
      </c>
      <c r="W849" s="21" t="e" cm="1">
        <f t="array" ref="W849">_xlfn.IFS(
  A849="BELL", "WHITE",
  A849="GAMP", "ORANGE",
  A849="GAMM", "GREEN",
  A849="BWF", "YELLOW",
  OR(A849="TNBE", A849="TNBL", A849="TNBD", A849="TNWC", A849="TNBW", A849="THBS"), "PINK",
  A849="CRWD", "BLUE",
  A849="PASS", "WHITE"
)</f>
        <v>#N/A</v>
      </c>
    </row>
    <row r="850" spans="1:23" x14ac:dyDescent="0.25">
      <c r="A850" s="7"/>
      <c r="B850" s="7"/>
      <c r="D850" s="1"/>
      <c r="I850" s="3"/>
      <c r="J850" s="17"/>
      <c r="K850" s="17"/>
      <c r="L850" s="18"/>
      <c r="M850" s="3"/>
      <c r="P850" s="3"/>
      <c r="Q850" s="4"/>
      <c r="R850" s="19"/>
      <c r="S850" s="20"/>
      <c r="U850" s="3" t="str">
        <f t="shared" si="30"/>
        <v/>
      </c>
      <c r="V850" s="4" t="str">
        <f t="shared" si="31"/>
        <v/>
      </c>
      <c r="W850" s="21" t="e" cm="1">
        <f t="array" ref="W850">_xlfn.IFS(
  A850="BELL", "WHITE",
  A850="GAMP", "ORANGE",
  A850="GAMM", "GREEN",
  A850="BWF", "YELLOW",
  OR(A850="TNBE", A850="TNBL", A850="TNBD", A850="TNWC", A850="TNBW", A850="THBS"), "PINK",
  A850="CRWD", "BLUE",
  A850="PASS", "WHITE"
)</f>
        <v>#N/A</v>
      </c>
    </row>
    <row r="851" spans="1:23" x14ac:dyDescent="0.25">
      <c r="A851" s="7"/>
      <c r="B851" s="7"/>
      <c r="D851" s="1"/>
      <c r="H851" s="7"/>
      <c r="I851" s="3"/>
      <c r="J851" s="17"/>
      <c r="K851" s="17"/>
      <c r="L851" s="18"/>
      <c r="M851" s="18"/>
      <c r="P851" s="3"/>
      <c r="Q851" s="4"/>
      <c r="R851" s="19"/>
      <c r="S851" s="20"/>
      <c r="U851" s="3" t="str">
        <f t="shared" si="30"/>
        <v/>
      </c>
      <c r="V851" s="4" t="str">
        <f t="shared" si="31"/>
        <v/>
      </c>
      <c r="W851" s="21" t="e" cm="1">
        <f t="array" ref="W851">_xlfn.IFS(
  A851="BELL", "WHITE",
  A851="GAMP", "ORANGE",
  A851="GAMM", "GREEN",
  A851="BWF", "YELLOW",
  OR(A851="TNBE", A851="TNBL", A851="TNBD", A851="TNWC", A851="TNBW", A851="THBS"), "PINK",
  A851="CRWD", "BLUE",
  A851="PASS", "WHITE"
)</f>
        <v>#N/A</v>
      </c>
    </row>
    <row r="852" spans="1:23" x14ac:dyDescent="0.25">
      <c r="A852" s="7"/>
      <c r="B852" s="7"/>
      <c r="D852" s="1"/>
      <c r="I852" s="3"/>
      <c r="J852" s="17"/>
      <c r="K852" s="17"/>
      <c r="L852" s="18"/>
      <c r="M852" s="3"/>
      <c r="P852" s="3"/>
      <c r="Q852" s="4"/>
      <c r="R852" s="19"/>
      <c r="S852" s="20"/>
      <c r="U852" s="3" t="str">
        <f t="shared" si="30"/>
        <v/>
      </c>
      <c r="V852" s="4" t="str">
        <f t="shared" si="31"/>
        <v/>
      </c>
      <c r="W852" s="21" t="e" cm="1">
        <f t="array" ref="W852">_xlfn.IFS(
  A852="BELL", "WHITE",
  A852="GAMP", "ORANGE",
  A852="GAMM", "GREEN",
  A852="BWF", "YELLOW",
  OR(A852="TNBE", A852="TNBL", A852="TNBD", A852="TNWC", A852="TNBW", A852="THBS"), "PINK",
  A852="CRWD", "BLUE",
  A852="PASS", "WHITE"
)</f>
        <v>#N/A</v>
      </c>
    </row>
    <row r="853" spans="1:23" x14ac:dyDescent="0.25">
      <c r="A853" s="7"/>
      <c r="B853" s="7"/>
      <c r="D853" s="1"/>
      <c r="H853" s="7"/>
      <c r="I853" s="3"/>
      <c r="J853" s="17"/>
      <c r="K853" s="17"/>
      <c r="L853" s="18"/>
      <c r="M853" s="18"/>
      <c r="P853" s="3"/>
      <c r="Q853" s="4"/>
      <c r="R853" s="19"/>
      <c r="S853" s="20"/>
      <c r="U853" s="3" t="str">
        <f t="shared" si="30"/>
        <v/>
      </c>
      <c r="V853" s="4" t="str">
        <f t="shared" si="31"/>
        <v/>
      </c>
      <c r="W853" s="21" t="e" cm="1">
        <f t="array" ref="W853">_xlfn.IFS(
  A853="BELL", "WHITE",
  A853="GAMP", "ORANGE",
  A853="GAMM", "GREEN",
  A853="BWF", "YELLOW",
  OR(A853="TNBE", A853="TNBL", A853="TNBD", A853="TNWC", A853="TNBW", A853="THBS"), "PINK",
  A853="CRWD", "BLUE",
  A853="PASS", "WHITE"
)</f>
        <v>#N/A</v>
      </c>
    </row>
    <row r="854" spans="1:23" x14ac:dyDescent="0.25">
      <c r="A854" s="7"/>
      <c r="B854" s="7"/>
      <c r="D854" s="1"/>
      <c r="I854" s="3"/>
      <c r="J854" s="17"/>
      <c r="K854" s="17"/>
      <c r="L854" s="18"/>
      <c r="M854" s="3"/>
      <c r="P854" s="3"/>
      <c r="Q854" s="4"/>
      <c r="R854" s="19"/>
      <c r="S854" s="20"/>
      <c r="U854" s="3" t="str">
        <f t="shared" si="30"/>
        <v/>
      </c>
      <c r="V854" s="4" t="str">
        <f t="shared" si="31"/>
        <v/>
      </c>
      <c r="W854" s="21" t="e" cm="1">
        <f t="array" ref="W854">_xlfn.IFS(
  A854="BELL", "WHITE",
  A854="GAMP", "ORANGE",
  A854="GAMM", "GREEN",
  A854="BWF", "YELLOW",
  OR(A854="TNBE", A854="TNBL", A854="TNBD", A854="TNWC", A854="TNBW", A854="THBS"), "PINK",
  A854="CRWD", "BLUE",
  A854="PASS", "WHITE"
)</f>
        <v>#N/A</v>
      </c>
    </row>
    <row r="855" spans="1:23" x14ac:dyDescent="0.25">
      <c r="A855" s="7"/>
      <c r="B855" s="7"/>
      <c r="D855" s="1"/>
      <c r="H855" s="7"/>
      <c r="I855" s="3"/>
      <c r="J855" s="17"/>
      <c r="K855" s="17"/>
      <c r="L855" s="18"/>
      <c r="M855" s="18"/>
      <c r="P855" s="3"/>
      <c r="Q855" s="4"/>
      <c r="R855" s="19"/>
      <c r="S855" s="20"/>
      <c r="U855" s="3" t="str">
        <f t="shared" si="30"/>
        <v/>
      </c>
      <c r="V855" s="4" t="str">
        <f t="shared" si="31"/>
        <v/>
      </c>
      <c r="W855" s="21" t="e" cm="1">
        <f t="array" ref="W855">_xlfn.IFS(
  A855="BELL", "WHITE",
  A855="GAMP", "ORANGE",
  A855="GAMM", "GREEN",
  A855="BWF", "YELLOW",
  OR(A855="TNBE", A855="TNBL", A855="TNBD", A855="TNWC", A855="TNBW", A855="THBS"), "PINK",
  A855="CRWD", "BLUE",
  A855="PASS", "WHITE"
)</f>
        <v>#N/A</v>
      </c>
    </row>
    <row r="856" spans="1:23" x14ac:dyDescent="0.25">
      <c r="A856" s="7"/>
      <c r="B856" s="7"/>
      <c r="D856" s="1"/>
      <c r="I856" s="3"/>
      <c r="J856" s="17"/>
      <c r="K856" s="17"/>
      <c r="L856" s="18"/>
      <c r="M856" s="3"/>
      <c r="P856" s="3"/>
      <c r="Q856" s="4"/>
      <c r="R856" s="19"/>
      <c r="S856" s="20"/>
      <c r="U856" s="3" t="str">
        <f t="shared" si="30"/>
        <v/>
      </c>
      <c r="V856" s="4" t="str">
        <f t="shared" si="31"/>
        <v/>
      </c>
      <c r="W856" s="21" t="e" cm="1">
        <f t="array" ref="W856">_xlfn.IFS(
  A856="BELL", "WHITE",
  A856="GAMP", "ORANGE",
  A856="GAMM", "GREEN",
  A856="BWF", "YELLOW",
  OR(A856="TNBE", A856="TNBL", A856="TNBD", A856="TNWC", A856="TNBW", A856="THBS"), "PINK",
  A856="CRWD", "BLUE",
  A856="PASS", "WHITE"
)</f>
        <v>#N/A</v>
      </c>
    </row>
    <row r="857" spans="1:23" x14ac:dyDescent="0.25">
      <c r="A857" s="7"/>
      <c r="B857" s="7"/>
      <c r="D857" s="1"/>
      <c r="H857" s="7"/>
      <c r="I857" s="3"/>
      <c r="J857" s="17"/>
      <c r="K857" s="17"/>
      <c r="L857" s="18"/>
      <c r="M857" s="18"/>
      <c r="P857" s="3"/>
      <c r="Q857" s="4"/>
      <c r="R857" s="19"/>
      <c r="S857" s="20"/>
      <c r="U857" s="3" t="str">
        <f t="shared" si="30"/>
        <v/>
      </c>
      <c r="V857" s="4" t="str">
        <f t="shared" si="31"/>
        <v/>
      </c>
      <c r="W857" s="21" t="e" cm="1">
        <f t="array" ref="W857">_xlfn.IFS(
  A857="BELL", "WHITE",
  A857="GAMP", "ORANGE",
  A857="GAMM", "GREEN",
  A857="BWF", "YELLOW",
  OR(A857="TNBE", A857="TNBL", A857="TNBD", A857="TNWC", A857="TNBW", A857="THBS"), "PINK",
  A857="CRWD", "BLUE",
  A857="PASS", "WHITE"
)</f>
        <v>#N/A</v>
      </c>
    </row>
    <row r="858" spans="1:23" x14ac:dyDescent="0.25">
      <c r="A858" s="7"/>
      <c r="B858" s="7"/>
      <c r="D858" s="1"/>
      <c r="I858" s="3"/>
      <c r="J858" s="17"/>
      <c r="K858" s="17"/>
      <c r="L858" s="18"/>
      <c r="M858" s="3"/>
      <c r="P858" s="3"/>
      <c r="Q858" s="4"/>
      <c r="R858" s="19"/>
      <c r="S858" s="20"/>
      <c r="U858" s="3" t="str">
        <f t="shared" si="30"/>
        <v/>
      </c>
      <c r="V858" s="4" t="str">
        <f t="shared" si="31"/>
        <v/>
      </c>
      <c r="W858" s="21" t="e" cm="1">
        <f t="array" ref="W858">_xlfn.IFS(
  A858="BELL", "WHITE",
  A858="GAMP", "ORANGE",
  A858="GAMM", "GREEN",
  A858="BWF", "YELLOW",
  OR(A858="TNBE", A858="TNBL", A858="TNBD", A858="TNWC", A858="TNBW", A858="THBS"), "PINK",
  A858="CRWD", "BLUE",
  A858="PASS", "WHITE"
)</f>
        <v>#N/A</v>
      </c>
    </row>
    <row r="859" spans="1:23" x14ac:dyDescent="0.25">
      <c r="A859" s="7"/>
      <c r="B859" s="7"/>
      <c r="D859" s="1"/>
      <c r="I859" s="3"/>
      <c r="J859" s="17"/>
      <c r="K859" s="17"/>
      <c r="L859" s="18"/>
      <c r="M859" s="3"/>
      <c r="P859" s="3"/>
      <c r="Q859" s="4"/>
      <c r="R859" s="19"/>
      <c r="S859" s="20"/>
      <c r="U859" s="3" t="str">
        <f t="shared" si="30"/>
        <v/>
      </c>
      <c r="V859" s="4" t="str">
        <f t="shared" si="31"/>
        <v/>
      </c>
      <c r="W859" s="21" t="e" cm="1">
        <f t="array" ref="W859">_xlfn.IFS(
  A859="BELL", "WHITE",
  A859="GAMP", "ORANGE",
  A859="GAMM", "GREEN",
  A859="BWF", "YELLOW",
  OR(A859="TNBE", A859="TNBL", A859="TNBD", A859="TNWC", A859="TNBW", A859="THBS"), "PINK",
  A859="CRWD", "BLUE",
  A859="PASS", "WHITE"
)</f>
        <v>#N/A</v>
      </c>
    </row>
    <row r="860" spans="1:23" x14ac:dyDescent="0.25">
      <c r="A860" s="7"/>
      <c r="B860" s="7"/>
      <c r="D860" s="1"/>
      <c r="H860" s="7"/>
      <c r="I860" s="3"/>
      <c r="J860" s="17"/>
      <c r="K860" s="17"/>
      <c r="L860" s="18"/>
      <c r="M860" s="18"/>
      <c r="P860" s="3"/>
      <c r="Q860" s="4"/>
      <c r="R860" s="19"/>
      <c r="S860" s="20"/>
      <c r="U860" s="3" t="str">
        <f t="shared" si="30"/>
        <v/>
      </c>
      <c r="V860" s="4" t="str">
        <f t="shared" si="31"/>
        <v/>
      </c>
      <c r="W860" s="21" t="e" cm="1">
        <f t="array" ref="W860">_xlfn.IFS(
  A860="BELL", "WHITE",
  A860="GAMP", "ORANGE",
  A860="GAMM", "GREEN",
  A860="BWF", "YELLOW",
  OR(A860="TNBE", A860="TNBL", A860="TNBD", A860="TNWC", A860="TNBW", A860="THBS"), "PINK",
  A860="CRWD", "BLUE",
  A860="PASS", "WHITE"
)</f>
        <v>#N/A</v>
      </c>
    </row>
    <row r="861" spans="1:23" x14ac:dyDescent="0.25">
      <c r="A861" s="7"/>
      <c r="B861" s="25"/>
      <c r="D861" s="1"/>
      <c r="I861" s="3"/>
      <c r="J861" s="17"/>
      <c r="K861" s="17"/>
      <c r="L861" s="18"/>
      <c r="M861" s="3"/>
      <c r="P861" s="3"/>
      <c r="Q861" s="4"/>
      <c r="R861" s="19"/>
      <c r="S861" s="20"/>
      <c r="U861" s="3" t="str">
        <f t="shared" si="30"/>
        <v/>
      </c>
      <c r="V861" s="4" t="str">
        <f t="shared" si="31"/>
        <v/>
      </c>
      <c r="W861" s="21" t="e" cm="1">
        <f t="array" ref="W861">_xlfn.IFS(
  A861="BELL", "WHITE",
  A861="GAMP", "ORANGE",
  A861="GAMM", "GREEN",
  A861="BWF", "YELLOW",
  OR(A861="TNBE", A861="TNBL", A861="TNBD", A861="TNWC", A861="TNBW", A861="THBS"), "PINK",
  A861="CRWD", "BLUE",
  A861="PASS", "WHITE"
)</f>
        <v>#N/A</v>
      </c>
    </row>
    <row r="862" spans="1:23" x14ac:dyDescent="0.25">
      <c r="A862" s="7"/>
      <c r="B862" s="7"/>
      <c r="D862" s="1"/>
      <c r="I862" s="3"/>
      <c r="J862" s="17"/>
      <c r="K862" s="17"/>
      <c r="L862" s="18"/>
      <c r="M862" s="3"/>
      <c r="P862" s="3"/>
      <c r="Q862" s="4"/>
      <c r="R862" s="19"/>
      <c r="S862" s="20"/>
      <c r="U862" s="3" t="str">
        <f t="shared" si="30"/>
        <v/>
      </c>
      <c r="V862" s="4" t="str">
        <f t="shared" si="31"/>
        <v/>
      </c>
      <c r="W862" s="21" t="e" cm="1">
        <f t="array" ref="W862">_xlfn.IFS(
  A862="BELL", "WHITE",
  A862="GAMP", "ORANGE",
  A862="GAMM", "GREEN",
  A862="BWF", "YELLOW",
  OR(A862="TNBE", A862="TNBL", A862="TNBD", A862="TNWC", A862="TNBW", A862="THBS"), "PINK",
  A862="CRWD", "BLUE",
  A862="PASS", "WHITE"
)</f>
        <v>#N/A</v>
      </c>
    </row>
    <row r="863" spans="1:23" x14ac:dyDescent="0.25">
      <c r="A863" s="7"/>
      <c r="B863" s="7"/>
      <c r="D863" s="1"/>
      <c r="H863" s="7"/>
      <c r="I863" s="3"/>
      <c r="J863" s="17"/>
      <c r="K863" s="17"/>
      <c r="L863" s="18"/>
      <c r="M863" s="18"/>
      <c r="P863" s="3"/>
      <c r="Q863" s="4"/>
      <c r="R863" s="19"/>
      <c r="S863" s="20"/>
      <c r="U863" s="3" t="str">
        <f t="shared" si="30"/>
        <v/>
      </c>
      <c r="V863" s="4" t="str">
        <f t="shared" si="31"/>
        <v/>
      </c>
      <c r="W863" s="21" t="e" cm="1">
        <f t="array" ref="W863">_xlfn.IFS(
  A863="BELL", "WHITE",
  A863="GAMP", "ORANGE",
  A863="GAMM", "GREEN",
  A863="BWF", "YELLOW",
  OR(A863="TNBE", A863="TNBL", A863="TNBD", A863="TNWC", A863="TNBW", A863="THBS"), "PINK",
  A863="CRWD", "BLUE",
  A863="PASS", "WHITE"
)</f>
        <v>#N/A</v>
      </c>
    </row>
    <row r="864" spans="1:23" x14ac:dyDescent="0.25">
      <c r="A864" s="7"/>
      <c r="B864" s="7"/>
      <c r="D864" s="1"/>
      <c r="I864" s="3"/>
      <c r="J864" s="17"/>
      <c r="K864" s="17"/>
      <c r="L864" s="18"/>
      <c r="M864" s="3"/>
      <c r="P864" s="3"/>
      <c r="Q864" s="4"/>
      <c r="R864" s="19"/>
      <c r="S864" s="20"/>
      <c r="U864" s="3" t="str">
        <f t="shared" si="30"/>
        <v/>
      </c>
      <c r="V864" s="4" t="str">
        <f t="shared" si="31"/>
        <v/>
      </c>
      <c r="W864" s="21" t="e" cm="1">
        <f t="array" ref="W864">_xlfn.IFS(
  A864="BELL", "WHITE",
  A864="GAMP", "ORANGE",
  A864="GAMM", "GREEN",
  A864="BWF", "YELLOW",
  OR(A864="TNBE", A864="TNBL", A864="TNBD", A864="TNWC", A864="TNBW", A864="THBS"), "PINK",
  A864="CRWD", "BLUE",
  A864="PASS", "WHITE"
)</f>
        <v>#N/A</v>
      </c>
    </row>
    <row r="865" spans="1:23" x14ac:dyDescent="0.25">
      <c r="A865" s="7"/>
      <c r="B865" s="7"/>
      <c r="D865" s="1"/>
      <c r="I865" s="3"/>
      <c r="J865" s="17"/>
      <c r="K865" s="17"/>
      <c r="L865" s="18"/>
      <c r="M865" s="3"/>
      <c r="P865" s="3"/>
      <c r="Q865" s="4"/>
      <c r="R865" s="19"/>
      <c r="S865" s="20"/>
      <c r="U865" s="3" t="str">
        <f t="shared" si="30"/>
        <v/>
      </c>
      <c r="V865" s="4" t="str">
        <f t="shared" si="31"/>
        <v/>
      </c>
      <c r="W865" s="21" t="e" cm="1">
        <f t="array" ref="W865">_xlfn.IFS(
  A865="BELL", "WHITE",
  A865="GAMP", "ORANGE",
  A865="GAMM", "GREEN",
  A865="BWF", "YELLOW",
  OR(A865="TNBE", A865="TNBL", A865="TNBD", A865="TNWC", A865="TNBW", A865="THBS"), "PINK",
  A865="CRWD", "BLUE",
  A865="PASS", "WHITE"
)</f>
        <v>#N/A</v>
      </c>
    </row>
    <row r="866" spans="1:23" x14ac:dyDescent="0.25">
      <c r="A866" s="7"/>
      <c r="B866" s="7"/>
      <c r="D866" s="1"/>
      <c r="I866" s="3"/>
      <c r="J866" s="17"/>
      <c r="K866" s="17"/>
      <c r="L866" s="18"/>
      <c r="M866" s="3"/>
      <c r="P866" s="3"/>
      <c r="Q866" s="4"/>
      <c r="R866" s="19"/>
      <c r="S866" s="20"/>
      <c r="U866" s="3" t="str">
        <f t="shared" si="30"/>
        <v/>
      </c>
      <c r="V866" s="4" t="str">
        <f t="shared" si="31"/>
        <v/>
      </c>
      <c r="W866" s="21" t="e" cm="1">
        <f t="array" ref="W866">_xlfn.IFS(
  A866="BELL", "WHITE",
  A866="GAMP", "ORANGE",
  A866="GAMM", "GREEN",
  A866="BWF", "YELLOW",
  OR(A866="TNBE", A866="TNBL", A866="TNBD", A866="TNWC", A866="TNBW", A866="THBS"), "PINK",
  A866="CRWD", "BLUE",
  A866="PASS", "WHITE"
)</f>
        <v>#N/A</v>
      </c>
    </row>
    <row r="867" spans="1:23" x14ac:dyDescent="0.25">
      <c r="A867" s="7"/>
      <c r="B867" s="7"/>
      <c r="D867" s="1"/>
      <c r="I867" s="3"/>
      <c r="J867" s="17"/>
      <c r="K867" s="17"/>
      <c r="L867" s="18"/>
      <c r="M867" s="3"/>
      <c r="P867" s="3"/>
      <c r="Q867" s="4"/>
      <c r="R867" s="19"/>
      <c r="S867" s="20"/>
      <c r="U867" s="3" t="str">
        <f t="shared" si="30"/>
        <v/>
      </c>
      <c r="V867" s="4" t="str">
        <f t="shared" si="31"/>
        <v/>
      </c>
      <c r="W867" s="21" t="e" cm="1">
        <f t="array" ref="W867">_xlfn.IFS(
  A867="BELL", "WHITE",
  A867="GAMP", "ORANGE",
  A867="GAMM", "GREEN",
  A867="BWF", "YELLOW",
  OR(A867="TNBE", A867="TNBL", A867="TNBD", A867="TNWC", A867="TNBW", A867="THBS"), "PINK",
  A867="CRWD", "BLUE",
  A867="PASS", "WHITE"
)</f>
        <v>#N/A</v>
      </c>
    </row>
    <row r="868" spans="1:23" x14ac:dyDescent="0.25">
      <c r="A868" s="7"/>
      <c r="B868" s="7"/>
      <c r="D868" s="1"/>
      <c r="I868" s="3"/>
      <c r="J868" s="17"/>
      <c r="K868" s="17"/>
      <c r="L868" s="18"/>
      <c r="M868" s="3"/>
      <c r="P868" s="3"/>
      <c r="Q868" s="4"/>
      <c r="R868" s="19"/>
      <c r="S868" s="20"/>
      <c r="U868" s="3" t="str">
        <f t="shared" si="30"/>
        <v/>
      </c>
      <c r="V868" s="4" t="str">
        <f t="shared" si="31"/>
        <v/>
      </c>
      <c r="W868" s="21" t="e" cm="1">
        <f t="array" ref="W868">_xlfn.IFS(
  A868="BELL", "WHITE",
  A868="GAMP", "ORANGE",
  A868="GAMM", "GREEN",
  A868="BWF", "YELLOW",
  OR(A868="TNBE", A868="TNBL", A868="TNBD", A868="TNWC", A868="TNBW", A868="THBS"), "PINK",
  A868="CRWD", "BLUE",
  A868="PASS", "WHITE"
)</f>
        <v>#N/A</v>
      </c>
    </row>
    <row r="869" spans="1:23" x14ac:dyDescent="0.25">
      <c r="A869" s="7"/>
      <c r="B869" s="7"/>
      <c r="D869" s="1"/>
      <c r="I869" s="3"/>
      <c r="J869" s="17"/>
      <c r="K869" s="17"/>
      <c r="L869" s="18"/>
      <c r="M869" s="3"/>
      <c r="P869" s="3"/>
      <c r="Q869" s="4"/>
      <c r="R869" s="19"/>
      <c r="S869" s="20"/>
      <c r="U869" s="3" t="str">
        <f t="shared" si="30"/>
        <v/>
      </c>
      <c r="V869" s="4" t="str">
        <f t="shared" si="31"/>
        <v/>
      </c>
      <c r="W869" s="21" t="e" cm="1">
        <f t="array" ref="W869">_xlfn.IFS(
  A869="BELL", "WHITE",
  A869="GAMP", "ORANGE",
  A869="GAMM", "GREEN",
  A869="BWF", "YELLOW",
  OR(A869="TNBE", A869="TNBL", A869="TNBD", A869="TNWC", A869="TNBW", A869="THBS"), "PINK",
  A869="CRWD", "BLUE",
  A869="PASS", "WHITE"
)</f>
        <v>#N/A</v>
      </c>
    </row>
    <row r="870" spans="1:23" x14ac:dyDescent="0.25">
      <c r="A870" s="7"/>
      <c r="B870" s="7"/>
      <c r="D870" s="1"/>
      <c r="I870" s="3"/>
      <c r="J870" s="17"/>
      <c r="K870" s="17"/>
      <c r="L870" s="18"/>
      <c r="M870" s="3"/>
      <c r="P870" s="3"/>
      <c r="Q870" s="4"/>
      <c r="R870" s="19"/>
      <c r="S870" s="20"/>
      <c r="U870" s="3" t="str">
        <f t="shared" si="30"/>
        <v/>
      </c>
      <c r="V870" s="4" t="str">
        <f t="shared" si="31"/>
        <v/>
      </c>
      <c r="W870" s="21" t="e" cm="1">
        <f t="array" ref="W870">_xlfn.IFS(
  A870="BELL", "WHITE",
  A870="GAMP", "ORANGE",
  A870="GAMM", "GREEN",
  A870="BWF", "YELLOW",
  OR(A870="TNBE", A870="TNBL", A870="TNBD", A870="TNWC", A870="TNBW", A870="THBS"), "PINK",
  A870="CRWD", "BLUE",
  A870="PASS", "WHITE"
)</f>
        <v>#N/A</v>
      </c>
    </row>
    <row r="871" spans="1:23" x14ac:dyDescent="0.25">
      <c r="A871" s="7"/>
      <c r="B871" s="7"/>
      <c r="D871" s="1"/>
      <c r="H871" s="7"/>
      <c r="I871" s="3"/>
      <c r="J871" s="17"/>
      <c r="K871" s="17"/>
      <c r="L871" s="18"/>
      <c r="M871" s="18"/>
      <c r="P871" s="3"/>
      <c r="Q871" s="4"/>
      <c r="R871" s="19"/>
      <c r="S871" s="20"/>
      <c r="U871" s="3" t="str">
        <f t="shared" si="30"/>
        <v/>
      </c>
      <c r="V871" s="4" t="str">
        <f t="shared" si="31"/>
        <v/>
      </c>
      <c r="W871" s="21" t="e" cm="1">
        <f t="array" ref="W871">_xlfn.IFS(
  A871="BELL", "WHITE",
  A871="GAMP", "ORANGE",
  A871="GAMM", "GREEN",
  A871="BWF", "YELLOW",
  OR(A871="TNBE", A871="TNBL", A871="TNBD", A871="TNWC", A871="TNBW", A871="THBS"), "PINK",
  A871="CRWD", "BLUE",
  A871="PASS", "WHITE"
)</f>
        <v>#N/A</v>
      </c>
    </row>
    <row r="872" spans="1:23" x14ac:dyDescent="0.25">
      <c r="A872" s="7"/>
      <c r="B872" s="7"/>
      <c r="D872" s="1"/>
      <c r="I872" s="3"/>
      <c r="J872" s="17"/>
      <c r="K872" s="17"/>
      <c r="L872" s="18"/>
      <c r="M872" s="3"/>
      <c r="P872" s="3"/>
      <c r="Q872" s="4"/>
      <c r="R872" s="19"/>
      <c r="S872" s="20"/>
      <c r="U872" s="3" t="str">
        <f t="shared" si="30"/>
        <v/>
      </c>
      <c r="V872" s="4" t="str">
        <f t="shared" si="31"/>
        <v/>
      </c>
      <c r="W872" s="21" t="e" cm="1">
        <f t="array" ref="W872">_xlfn.IFS(
  A872="BELL", "WHITE",
  A872="GAMP", "ORANGE",
  A872="GAMM", "GREEN",
  A872="BWF", "YELLOW",
  OR(A872="TNBE", A872="TNBL", A872="TNBD", A872="TNWC", A872="TNBW", A872="THBS"), "PINK",
  A872="CRWD", "BLUE",
  A872="PASS", "WHITE"
)</f>
        <v>#N/A</v>
      </c>
    </row>
    <row r="873" spans="1:23" x14ac:dyDescent="0.25">
      <c r="A873" s="7"/>
      <c r="B873" s="7"/>
      <c r="D873" s="1"/>
      <c r="I873" s="3"/>
      <c r="J873" s="17"/>
      <c r="K873" s="17"/>
      <c r="L873" s="18"/>
      <c r="M873" s="3"/>
      <c r="P873" s="3"/>
      <c r="Q873" s="4"/>
      <c r="R873" s="19"/>
      <c r="S873" s="20"/>
      <c r="U873" s="3" t="str">
        <f t="shared" si="30"/>
        <v/>
      </c>
      <c r="V873" s="4" t="str">
        <f t="shared" si="31"/>
        <v/>
      </c>
      <c r="W873" s="21" t="e" cm="1">
        <f t="array" ref="W873">_xlfn.IFS(
  A873="BELL", "WHITE",
  A873="GAMP", "ORANGE",
  A873="GAMM", "GREEN",
  A873="BWF", "YELLOW",
  OR(A873="TNBE", A873="TNBL", A873="TNBD", A873="TNWC", A873="TNBW", A873="THBS"), "PINK",
  A873="CRWD", "BLUE",
  A873="PASS", "WHITE"
)</f>
        <v>#N/A</v>
      </c>
    </row>
    <row r="874" spans="1:23" x14ac:dyDescent="0.25">
      <c r="A874" s="7"/>
      <c r="B874" s="7"/>
      <c r="D874" s="1"/>
      <c r="I874" s="3"/>
      <c r="J874" s="17"/>
      <c r="K874" s="17"/>
      <c r="L874" s="18"/>
      <c r="M874" s="3"/>
      <c r="P874" s="3"/>
      <c r="Q874" s="4"/>
      <c r="R874" s="19"/>
      <c r="S874" s="20"/>
      <c r="U874" s="3" t="str">
        <f t="shared" si="30"/>
        <v/>
      </c>
      <c r="V874" s="4" t="str">
        <f t="shared" si="31"/>
        <v/>
      </c>
      <c r="W874" s="21" t="e" cm="1">
        <f t="array" ref="W874">_xlfn.IFS(
  A874="BELL", "WHITE",
  A874="GAMP", "ORANGE",
  A874="GAMM", "GREEN",
  A874="BWF", "YELLOW",
  OR(A874="TNBE", A874="TNBL", A874="TNBD", A874="TNWC", A874="TNBW", A874="THBS"), "PINK",
  A874="CRWD", "BLUE",
  A874="PASS", "WHITE"
)</f>
        <v>#N/A</v>
      </c>
    </row>
    <row r="875" spans="1:23" x14ac:dyDescent="0.25">
      <c r="A875" s="7"/>
      <c r="B875" s="7"/>
      <c r="D875" s="1"/>
      <c r="I875" s="3"/>
      <c r="J875" s="17"/>
      <c r="K875" s="17"/>
      <c r="L875" s="18"/>
      <c r="M875" s="3"/>
      <c r="P875" s="3"/>
      <c r="Q875" s="4"/>
      <c r="R875" s="19"/>
      <c r="S875" s="20"/>
      <c r="U875" s="3" t="str">
        <f t="shared" si="30"/>
        <v/>
      </c>
      <c r="V875" s="4" t="str">
        <f t="shared" si="31"/>
        <v/>
      </c>
      <c r="W875" s="21" t="e" cm="1">
        <f t="array" ref="W875">_xlfn.IFS(
  A875="BELL", "WHITE",
  A875="GAMP", "ORANGE",
  A875="GAMM", "GREEN",
  A875="BWF", "YELLOW",
  OR(A875="TNBE", A875="TNBL", A875="TNBD", A875="TNWC", A875="TNBW", A875="THBS"), "PINK",
  A875="CRWD", "BLUE",
  A875="PASS", "WHITE"
)</f>
        <v>#N/A</v>
      </c>
    </row>
    <row r="876" spans="1:23" x14ac:dyDescent="0.25">
      <c r="A876" s="7"/>
      <c r="B876" s="7"/>
      <c r="D876" s="1"/>
      <c r="E876" s="29"/>
      <c r="I876" s="3"/>
      <c r="J876" s="17"/>
      <c r="K876" s="17"/>
      <c r="L876" s="18"/>
      <c r="M876" s="3"/>
      <c r="P876" s="3"/>
      <c r="Q876" s="4"/>
      <c r="R876" s="19"/>
      <c r="S876" s="20"/>
      <c r="U876" s="3" t="str">
        <f t="shared" si="30"/>
        <v/>
      </c>
      <c r="V876" s="4" t="str">
        <f t="shared" si="31"/>
        <v/>
      </c>
      <c r="W876" s="21" t="e" cm="1">
        <f t="array" ref="W876">_xlfn.IFS(
  A876="BELL", "WHITE",
  A876="GAMP", "ORANGE",
  A876="GAMM", "GREEN",
  A876="BWF", "YELLOW",
  OR(A876="TNBE", A876="TNBL", A876="TNBD", A876="TNWC", A876="TNBW", A876="THBS"), "PINK",
  A876="CRWD", "BLUE",
  A876="PASS", "WHITE"
)</f>
        <v>#N/A</v>
      </c>
    </row>
    <row r="877" spans="1:23" x14ac:dyDescent="0.25">
      <c r="A877" s="7"/>
      <c r="B877" s="7"/>
      <c r="D877" s="1"/>
      <c r="E877" s="29"/>
      <c r="I877" s="3"/>
      <c r="J877" s="17"/>
      <c r="K877" s="17"/>
      <c r="L877" s="18"/>
      <c r="M877" s="3"/>
      <c r="P877" s="3"/>
      <c r="Q877" s="4"/>
      <c r="R877" s="19"/>
      <c r="S877" s="20"/>
      <c r="U877" s="3" t="str">
        <f t="shared" si="30"/>
        <v/>
      </c>
      <c r="V877" s="4" t="str">
        <f t="shared" si="31"/>
        <v/>
      </c>
      <c r="W877" s="21" t="e" cm="1">
        <f t="array" ref="W877">_xlfn.IFS(
  A877="BELL", "WHITE",
  A877="GAMP", "ORANGE",
  A877="GAMM", "GREEN",
  A877="BWF", "YELLOW",
  OR(A877="TNBE", A877="TNBL", A877="TNBD", A877="TNWC", A877="TNBW", A877="THBS"), "PINK",
  A877="CRWD", "BLUE",
  A877="PASS", "WHITE"
)</f>
        <v>#N/A</v>
      </c>
    </row>
    <row r="878" spans="1:23" x14ac:dyDescent="0.25">
      <c r="A878" s="7"/>
      <c r="B878" s="7"/>
      <c r="D878" s="1"/>
      <c r="I878" s="3"/>
      <c r="J878" s="17"/>
      <c r="K878" s="17"/>
      <c r="L878" s="18"/>
      <c r="M878" s="3"/>
      <c r="P878" s="3"/>
      <c r="Q878" s="4"/>
      <c r="R878" s="19"/>
      <c r="S878" s="20"/>
      <c r="U878" s="3" t="str">
        <f t="shared" si="30"/>
        <v/>
      </c>
      <c r="V878" s="4" t="str">
        <f t="shared" si="31"/>
        <v/>
      </c>
      <c r="W878" s="21" t="e" cm="1">
        <f t="array" ref="W878">_xlfn.IFS(
  A878="BELL", "WHITE",
  A878="GAMP", "ORANGE",
  A878="GAMM", "GREEN",
  A878="BWF", "YELLOW",
  OR(A878="TNBE", A878="TNBL", A878="TNBD", A878="TNWC", A878="TNBW", A878="THBS"), "PINK",
  A878="CRWD", "BLUE",
  A878="PASS", "WHITE"
)</f>
        <v>#N/A</v>
      </c>
    </row>
    <row r="879" spans="1:23" x14ac:dyDescent="0.25">
      <c r="A879" s="7"/>
      <c r="B879" s="7"/>
      <c r="D879" s="1"/>
      <c r="H879" s="7"/>
      <c r="I879" s="3"/>
      <c r="J879" s="17"/>
      <c r="K879" s="17"/>
      <c r="L879" s="18"/>
      <c r="M879" s="18"/>
      <c r="P879" s="3"/>
      <c r="Q879" s="4"/>
      <c r="R879" s="19"/>
      <c r="S879" s="20"/>
      <c r="U879" s="3" t="str">
        <f t="shared" si="30"/>
        <v/>
      </c>
      <c r="V879" s="4" t="str">
        <f t="shared" si="31"/>
        <v/>
      </c>
      <c r="W879" s="21" t="e" cm="1">
        <f t="array" ref="W879">_xlfn.IFS(
  A879="BELL", "WHITE",
  A879="GAMP", "ORANGE",
  A879="GAMM", "GREEN",
  A879="BWF", "YELLOW",
  OR(A879="TNBE", A879="TNBL", A879="TNBD", A879="TNWC", A879="TNBW", A879="THBS"), "PINK",
  A879="CRWD", "BLUE",
  A879="PASS", "WHITE"
)</f>
        <v>#N/A</v>
      </c>
    </row>
    <row r="880" spans="1:23" x14ac:dyDescent="0.25">
      <c r="A880" s="7"/>
      <c r="B880" s="7"/>
      <c r="D880" s="1"/>
      <c r="I880" s="3"/>
      <c r="J880" s="17"/>
      <c r="K880" s="17"/>
      <c r="L880" s="18"/>
      <c r="M880" s="3"/>
      <c r="P880" s="3"/>
      <c r="Q880" s="4"/>
      <c r="R880" s="19"/>
      <c r="S880" s="20"/>
      <c r="U880" s="3" t="str">
        <f t="shared" si="30"/>
        <v/>
      </c>
      <c r="V880" s="4" t="str">
        <f t="shared" si="31"/>
        <v/>
      </c>
      <c r="W880" s="21" t="e" cm="1">
        <f t="array" ref="W880">_xlfn.IFS(
  A880="BELL", "WHITE",
  A880="GAMP", "ORANGE",
  A880="GAMM", "GREEN",
  A880="BWF", "YELLOW",
  OR(A880="TNBE", A880="TNBL", A880="TNBD", A880="TNWC", A880="TNBW", A880="THBS"), "PINK",
  A880="CRWD", "BLUE",
  A880="PASS", "WHITE"
)</f>
        <v>#N/A</v>
      </c>
    </row>
    <row r="881" spans="1:23" x14ac:dyDescent="0.25">
      <c r="A881" s="7"/>
      <c r="B881" s="7"/>
      <c r="D881" s="1"/>
      <c r="H881" s="7"/>
      <c r="I881" s="3"/>
      <c r="J881" s="17"/>
      <c r="K881" s="17"/>
      <c r="L881" s="18"/>
      <c r="M881" s="18"/>
      <c r="P881" s="3"/>
      <c r="Q881" s="4"/>
      <c r="R881" s="19"/>
      <c r="S881" s="20"/>
      <c r="U881" s="3" t="str">
        <f t="shared" si="30"/>
        <v/>
      </c>
      <c r="V881" s="4" t="str">
        <f t="shared" si="31"/>
        <v/>
      </c>
      <c r="W881" s="21" t="e" cm="1">
        <f t="array" ref="W881">_xlfn.IFS(
  A881="BELL", "WHITE",
  A881="GAMP", "ORANGE",
  A881="GAMM", "GREEN",
  A881="BWF", "YELLOW",
  OR(A881="TNBE", A881="TNBL", A881="TNBD", A881="TNWC", A881="TNBW", A881="THBS"), "PINK",
  A881="CRWD", "BLUE",
  A881="PASS", "WHITE"
)</f>
        <v>#N/A</v>
      </c>
    </row>
    <row r="882" spans="1:23" x14ac:dyDescent="0.25">
      <c r="A882" s="7"/>
      <c r="B882" s="7"/>
      <c r="D882" s="1"/>
      <c r="I882" s="3"/>
      <c r="J882" s="17"/>
      <c r="K882" s="17"/>
      <c r="L882" s="18"/>
      <c r="M882" s="3"/>
      <c r="P882" s="3"/>
      <c r="Q882" s="4"/>
      <c r="R882" s="19"/>
      <c r="S882" s="20"/>
      <c r="U882" s="3" t="str">
        <f t="shared" si="30"/>
        <v/>
      </c>
      <c r="V882" s="4" t="str">
        <f t="shared" si="31"/>
        <v/>
      </c>
      <c r="W882" s="21" t="e" cm="1">
        <f t="array" ref="W882">_xlfn.IFS(
  A882="BELL", "WHITE",
  A882="GAMP", "ORANGE",
  A882="GAMM", "GREEN",
  A882="BWF", "YELLOW",
  OR(A882="TNBE", A882="TNBL", A882="TNBD", A882="TNWC", A882="TNBW", A882="THBS"), "PINK",
  A882="CRWD", "BLUE",
  A882="PASS", "WHITE"
)</f>
        <v>#N/A</v>
      </c>
    </row>
    <row r="883" spans="1:23" x14ac:dyDescent="0.25">
      <c r="A883" s="7"/>
      <c r="B883" s="7"/>
      <c r="D883" s="1"/>
      <c r="H883" s="7"/>
      <c r="I883" s="3"/>
      <c r="J883" s="17"/>
      <c r="K883" s="17"/>
      <c r="L883" s="18"/>
      <c r="M883" s="18"/>
      <c r="P883" s="3"/>
      <c r="Q883" s="4"/>
      <c r="R883" s="19"/>
      <c r="S883" s="20"/>
      <c r="U883" s="3" t="str">
        <f t="shared" si="30"/>
        <v/>
      </c>
      <c r="V883" s="4" t="str">
        <f t="shared" si="31"/>
        <v/>
      </c>
      <c r="W883" s="21" t="e" cm="1">
        <f t="array" ref="W883">_xlfn.IFS(
  A883="BELL", "WHITE",
  A883="GAMP", "ORANGE",
  A883="GAMM", "GREEN",
  A883="BWF", "YELLOW",
  OR(A883="TNBE", A883="TNBL", A883="TNBD", A883="TNWC", A883="TNBW", A883="THBS"), "PINK",
  A883="CRWD", "BLUE",
  A883="PASS", "WHITE"
)</f>
        <v>#N/A</v>
      </c>
    </row>
    <row r="884" spans="1:23" x14ac:dyDescent="0.25">
      <c r="A884" s="7"/>
      <c r="B884" s="7"/>
      <c r="D884" s="1"/>
      <c r="I884" s="3"/>
      <c r="J884" s="17"/>
      <c r="K884" s="17"/>
      <c r="L884" s="18"/>
      <c r="M884" s="3"/>
      <c r="P884" s="3"/>
      <c r="Q884" s="4"/>
      <c r="R884" s="19"/>
      <c r="S884" s="20"/>
      <c r="U884" s="3" t="str">
        <f t="shared" si="30"/>
        <v/>
      </c>
      <c r="V884" s="4" t="str">
        <f t="shared" si="31"/>
        <v/>
      </c>
      <c r="W884" s="21" t="e" cm="1">
        <f t="array" ref="W884">_xlfn.IFS(
  A884="BELL", "WHITE",
  A884="GAMP", "ORANGE",
  A884="GAMM", "GREEN",
  A884="BWF", "YELLOW",
  OR(A884="TNBE", A884="TNBL", A884="TNBD", A884="TNWC", A884="TNBW", A884="THBS"), "PINK",
  A884="CRWD", "BLUE",
  A884="PASS", "WHITE"
)</f>
        <v>#N/A</v>
      </c>
    </row>
    <row r="885" spans="1:23" x14ac:dyDescent="0.25">
      <c r="A885" s="7"/>
      <c r="B885" s="7"/>
      <c r="D885" s="1"/>
      <c r="I885" s="3"/>
      <c r="J885" s="17"/>
      <c r="K885" s="17"/>
      <c r="L885" s="18"/>
      <c r="M885" s="3"/>
      <c r="P885" s="3"/>
      <c r="Q885" s="4"/>
      <c r="R885" s="19"/>
      <c r="S885" s="20"/>
      <c r="U885" s="3" t="str">
        <f t="shared" si="30"/>
        <v/>
      </c>
      <c r="V885" s="4" t="str">
        <f t="shared" si="31"/>
        <v/>
      </c>
      <c r="W885" s="21" t="e" cm="1">
        <f t="array" ref="W885">_xlfn.IFS(
  A885="BELL", "WHITE",
  A885="GAMP", "ORANGE",
  A885="GAMM", "GREEN",
  A885="BWF", "YELLOW",
  OR(A885="TNBE", A885="TNBL", A885="TNBD", A885="TNWC", A885="TNBW", A885="THBS"), "PINK",
  A885="CRWD", "BLUE",
  A885="PASS", "WHITE"
)</f>
        <v>#N/A</v>
      </c>
    </row>
    <row r="886" spans="1:23" x14ac:dyDescent="0.25">
      <c r="A886" s="7"/>
      <c r="B886" s="7"/>
      <c r="D886" s="1"/>
      <c r="I886" s="3"/>
      <c r="J886" s="17"/>
      <c r="K886" s="17"/>
      <c r="L886" s="18"/>
      <c r="M886" s="3"/>
      <c r="P886" s="3"/>
      <c r="Q886" s="4"/>
      <c r="R886" s="19"/>
      <c r="S886" s="20"/>
      <c r="U886" s="3" t="str">
        <f t="shared" si="30"/>
        <v/>
      </c>
      <c r="V886" s="4" t="str">
        <f t="shared" si="31"/>
        <v/>
      </c>
      <c r="W886" s="21" t="e" cm="1">
        <f t="array" ref="W886">_xlfn.IFS(
  A886="BELL", "WHITE",
  A886="GAMP", "ORANGE",
  A886="GAMM", "GREEN",
  A886="BWF", "YELLOW",
  OR(A886="TNBE", A886="TNBL", A886="TNBD", A886="TNWC", A886="TNBW", A886="THBS"), "PINK",
  A886="CRWD", "BLUE",
  A886="PASS", "WHITE"
)</f>
        <v>#N/A</v>
      </c>
    </row>
    <row r="887" spans="1:23" x14ac:dyDescent="0.25">
      <c r="A887" s="7"/>
      <c r="B887" s="35"/>
      <c r="D887" s="1"/>
      <c r="H887" s="7"/>
      <c r="I887" s="3"/>
      <c r="J887" s="17"/>
      <c r="K887" s="17"/>
      <c r="L887" s="18"/>
      <c r="M887" s="18"/>
      <c r="P887" s="3"/>
      <c r="Q887" s="4"/>
      <c r="R887" s="19"/>
      <c r="S887" s="20"/>
      <c r="U887" s="3" t="str">
        <f t="shared" si="30"/>
        <v/>
      </c>
      <c r="V887" s="4" t="str">
        <f t="shared" si="31"/>
        <v/>
      </c>
      <c r="W887" s="21" t="e" cm="1">
        <f t="array" ref="W887">_xlfn.IFS(
  A887="BELL", "WHITE",
  A887="GAMP", "ORANGE",
  A887="GAMM", "GREEN",
  A887="BWF", "YELLOW",
  OR(A887="TNBE", A887="TNBL", A887="TNBD", A887="TNWC", A887="TNBW", A887="THBS"), "PINK",
  A887="CRWD", "BLUE",
  A887="PASS", "WHITE"
)</f>
        <v>#N/A</v>
      </c>
    </row>
    <row r="888" spans="1:23" x14ac:dyDescent="0.25">
      <c r="A888" s="7"/>
      <c r="B888" s="35"/>
      <c r="D888" s="1"/>
      <c r="H888" s="7"/>
      <c r="I888" s="3"/>
      <c r="J888" s="17"/>
      <c r="K888" s="17"/>
      <c r="L888" s="18"/>
      <c r="M888" s="18"/>
      <c r="P888" s="3"/>
      <c r="Q888" s="4"/>
      <c r="R888" s="19"/>
      <c r="S888" s="20"/>
      <c r="U888" s="3" t="str">
        <f t="shared" si="30"/>
        <v/>
      </c>
      <c r="V888" s="4" t="str">
        <f t="shared" si="31"/>
        <v/>
      </c>
      <c r="W888" s="21" t="e" cm="1">
        <f t="array" ref="W888">_xlfn.IFS(
  A888="BELL", "WHITE",
  A888="GAMP", "ORANGE",
  A888="GAMM", "GREEN",
  A888="BWF", "YELLOW",
  OR(A888="TNBE", A888="TNBL", A888="TNBD", A888="TNWC", A888="TNBW", A888="THBS"), "PINK",
  A888="CRWD", "BLUE",
  A888="PASS", "WHITE"
)</f>
        <v>#N/A</v>
      </c>
    </row>
    <row r="889" spans="1:23" x14ac:dyDescent="0.25">
      <c r="A889" s="7"/>
      <c r="B889" s="35"/>
      <c r="D889" s="1"/>
      <c r="H889" s="7"/>
      <c r="I889" s="3"/>
      <c r="J889" s="17"/>
      <c r="K889" s="17"/>
      <c r="L889" s="18"/>
      <c r="M889" s="18"/>
      <c r="P889" s="3"/>
      <c r="Q889" s="4"/>
      <c r="R889" s="19"/>
      <c r="S889" s="20"/>
      <c r="U889" s="3" t="str">
        <f t="shared" si="30"/>
        <v/>
      </c>
      <c r="V889" s="4" t="str">
        <f t="shared" si="31"/>
        <v/>
      </c>
      <c r="W889" s="21" t="e" cm="1">
        <f t="array" ref="W889">_xlfn.IFS(
  A889="BELL", "WHITE",
  A889="GAMP", "ORANGE",
  A889="GAMM", "GREEN",
  A889="BWF", "YELLOW",
  OR(A889="TNBE", A889="TNBL", A889="TNBD", A889="TNWC", A889="TNBW", A889="THBS"), "PINK",
  A889="CRWD", "BLUE",
  A889="PASS", "WHITE"
)</f>
        <v>#N/A</v>
      </c>
    </row>
    <row r="890" spans="1:23" x14ac:dyDescent="0.25">
      <c r="A890" s="7"/>
      <c r="B890" s="7"/>
      <c r="D890" s="1"/>
      <c r="I890" s="3"/>
      <c r="J890" s="17"/>
      <c r="K890" s="17"/>
      <c r="L890" s="18"/>
      <c r="M890" s="3"/>
      <c r="P890" s="3"/>
      <c r="Q890" s="4"/>
      <c r="R890" s="19"/>
      <c r="S890" s="20"/>
      <c r="U890" s="3" t="str">
        <f t="shared" si="30"/>
        <v/>
      </c>
      <c r="V890" s="4" t="str">
        <f t="shared" si="31"/>
        <v/>
      </c>
      <c r="W890" s="21" t="e" cm="1">
        <f t="array" ref="W890">_xlfn.IFS(
  A890="BELL", "WHITE",
  A890="GAMP", "ORANGE",
  A890="GAMM", "GREEN",
  A890="BWF", "YELLOW",
  OR(A890="TNBE", A890="TNBL", A890="TNBD", A890="TNWC", A890="TNBW", A890="THBS"), "PINK",
  A890="CRWD", "BLUE",
  A890="PASS", "WHITE"
)</f>
        <v>#N/A</v>
      </c>
    </row>
    <row r="891" spans="1:23" x14ac:dyDescent="0.25">
      <c r="A891" s="7"/>
      <c r="B891" s="7"/>
      <c r="D891" s="1"/>
      <c r="H891" s="7"/>
      <c r="I891" s="3"/>
      <c r="J891" s="17"/>
      <c r="K891" s="17"/>
      <c r="L891" s="18"/>
      <c r="M891" s="18"/>
      <c r="P891" s="3"/>
      <c r="Q891" s="4"/>
      <c r="R891" s="19"/>
      <c r="S891" s="20"/>
      <c r="U891" s="3" t="str">
        <f t="shared" si="30"/>
        <v/>
      </c>
      <c r="V891" s="4" t="str">
        <f t="shared" si="31"/>
        <v/>
      </c>
      <c r="W891" s="21" t="e" cm="1">
        <f t="array" ref="W891">_xlfn.IFS(
  A891="BELL", "WHITE",
  A891="GAMP", "ORANGE",
  A891="GAMM", "GREEN",
  A891="BWF", "YELLOW",
  OR(A891="TNBE", A891="TNBL", A891="TNBD", A891="TNWC", A891="TNBW", A891="THBS"), "PINK",
  A891="CRWD", "BLUE",
  A891="PASS", "WHITE"
)</f>
        <v>#N/A</v>
      </c>
    </row>
    <row r="892" spans="1:23" x14ac:dyDescent="0.25">
      <c r="A892" s="7"/>
      <c r="B892" s="36"/>
      <c r="D892" s="37"/>
      <c r="E892" s="37"/>
      <c r="I892" s="3"/>
      <c r="J892" s="17"/>
      <c r="K892" s="17"/>
      <c r="L892" s="18"/>
      <c r="M892" s="3"/>
      <c r="P892" s="3"/>
      <c r="Q892" s="4"/>
      <c r="R892" s="19"/>
      <c r="S892" s="20"/>
      <c r="U892" s="3" t="str">
        <f t="shared" si="30"/>
        <v/>
      </c>
      <c r="V892" s="4" t="str">
        <f t="shared" si="31"/>
        <v/>
      </c>
      <c r="W892" s="21" t="e" cm="1">
        <f t="array" ref="W892">_xlfn.IFS(
  A892="BELL", "WHITE",
  A892="GAMP", "ORANGE",
  A892="GAMM", "GREEN",
  A892="BWF", "YELLOW",
  OR(A892="TNBE", A892="TNBL", A892="TNBD", A892="TNWC", A892="TNBW", A892="THBS"), "PINK",
  A892="CRWD", "BLUE",
  A892="PASS", "WHITE"
)</f>
        <v>#N/A</v>
      </c>
    </row>
    <row r="893" spans="1:23" x14ac:dyDescent="0.25">
      <c r="A893" s="7"/>
      <c r="B893" s="7"/>
      <c r="D893" s="1"/>
      <c r="I893" s="3"/>
      <c r="J893" s="17"/>
      <c r="K893" s="17"/>
      <c r="L893" s="18"/>
      <c r="M893" s="3"/>
      <c r="P893" s="3"/>
      <c r="Q893" s="4"/>
      <c r="R893" s="19"/>
      <c r="S893" s="20"/>
      <c r="U893" s="3" t="str">
        <f t="shared" si="30"/>
        <v/>
      </c>
      <c r="V893" s="4" t="str">
        <f t="shared" si="31"/>
        <v/>
      </c>
      <c r="W893" s="21" t="e" cm="1">
        <f t="array" ref="W893">_xlfn.IFS(
  A893="BELL", "WHITE",
  A893="GAMP", "ORANGE",
  A893="GAMM", "GREEN",
  A893="BWF", "YELLOW",
  OR(A893="TNBE", A893="TNBL", A893="TNBD", A893="TNWC", A893="TNBW", A893="THBS"), "PINK",
  A893="CRWD", "BLUE",
  A893="PASS", "WHITE"
)</f>
        <v>#N/A</v>
      </c>
    </row>
    <row r="894" spans="1:23" x14ac:dyDescent="0.25">
      <c r="A894" s="7"/>
      <c r="B894" s="7"/>
      <c r="D894" s="1"/>
      <c r="I894" s="3"/>
      <c r="J894" s="17"/>
      <c r="K894" s="17"/>
      <c r="L894" s="18"/>
      <c r="M894" s="3"/>
      <c r="P894" s="3"/>
      <c r="Q894" s="4"/>
      <c r="R894" s="19"/>
      <c r="S894" s="20"/>
      <c r="U894" s="3" t="str">
        <f t="shared" si="30"/>
        <v/>
      </c>
      <c r="V894" s="4" t="str">
        <f t="shared" si="31"/>
        <v/>
      </c>
      <c r="W894" s="21" t="e" cm="1">
        <f t="array" ref="W894">_xlfn.IFS(
  A894="BELL", "WHITE",
  A894="GAMP", "ORANGE",
  A894="GAMM", "GREEN",
  A894="BWF", "YELLOW",
  OR(A894="TNBE", A894="TNBL", A894="TNBD", A894="TNWC", A894="TNBW", A894="THBS"), "PINK",
  A894="CRWD", "BLUE",
  A894="PASS", "WHITE"
)</f>
        <v>#N/A</v>
      </c>
    </row>
    <row r="895" spans="1:23" x14ac:dyDescent="0.25">
      <c r="A895" s="7"/>
      <c r="B895" s="7"/>
      <c r="D895" s="1"/>
      <c r="I895" s="3"/>
      <c r="J895" s="17"/>
      <c r="K895" s="17"/>
      <c r="L895" s="18"/>
      <c r="M895" s="3"/>
      <c r="P895" s="3"/>
      <c r="Q895" s="4"/>
      <c r="R895" s="19"/>
      <c r="S895" s="20"/>
      <c r="U895" s="3" t="str">
        <f t="shared" si="30"/>
        <v/>
      </c>
      <c r="V895" s="4" t="str">
        <f t="shared" si="31"/>
        <v/>
      </c>
      <c r="W895" s="21" t="e" cm="1">
        <f t="array" ref="W895">_xlfn.IFS(
  A895="BELL", "WHITE",
  A895="GAMP", "ORANGE",
  A895="GAMM", "GREEN",
  A895="BWF", "YELLOW",
  OR(A895="TNBE", A895="TNBL", A895="TNBD", A895="TNWC", A895="TNBW", A895="THBS"), "PINK",
  A895="CRWD", "BLUE",
  A895="PASS", "WHITE"
)</f>
        <v>#N/A</v>
      </c>
    </row>
    <row r="896" spans="1:23" x14ac:dyDescent="0.25">
      <c r="A896" s="7"/>
      <c r="B896" s="7"/>
      <c r="D896" s="1"/>
      <c r="I896" s="3"/>
      <c r="J896" s="17"/>
      <c r="K896" s="17"/>
      <c r="L896" s="18"/>
      <c r="M896" s="3"/>
      <c r="P896" s="3"/>
      <c r="Q896" s="4"/>
      <c r="R896" s="19"/>
      <c r="S896" s="20"/>
      <c r="U896" s="3" t="str">
        <f t="shared" si="30"/>
        <v/>
      </c>
      <c r="V896" s="4" t="str">
        <f t="shared" si="31"/>
        <v/>
      </c>
      <c r="W896" s="21" t="e" cm="1">
        <f t="array" ref="W896">_xlfn.IFS(
  A896="BELL", "WHITE",
  A896="GAMP", "ORANGE",
  A896="GAMM", "GREEN",
  A896="BWF", "YELLOW",
  OR(A896="TNBE", A896="TNBL", A896="TNBD", A896="TNWC", A896="TNBW", A896="THBS"), "PINK",
  A896="CRWD", "BLUE",
  A896="PASS", "WHITE"
)</f>
        <v>#N/A</v>
      </c>
    </row>
    <row r="897" spans="1:23" x14ac:dyDescent="0.25">
      <c r="A897" s="7"/>
      <c r="B897" s="7"/>
      <c r="D897" s="1"/>
      <c r="H897" s="7"/>
      <c r="I897" s="3"/>
      <c r="J897" s="17"/>
      <c r="K897" s="17"/>
      <c r="L897" s="18"/>
      <c r="M897" s="18"/>
      <c r="P897" s="3"/>
      <c r="Q897" s="4"/>
      <c r="R897" s="19"/>
      <c r="S897" s="20"/>
      <c r="U897" s="3" t="str">
        <f t="shared" si="30"/>
        <v/>
      </c>
      <c r="V897" s="4" t="str">
        <f t="shared" si="31"/>
        <v/>
      </c>
      <c r="W897" s="21" t="e" cm="1">
        <f t="array" ref="W897">_xlfn.IFS(
  A897="BELL", "WHITE",
  A897="GAMP", "ORANGE",
  A897="GAMM", "GREEN",
  A897="BWF", "YELLOW",
  OR(A897="TNBE", A897="TNBL", A897="TNBD", A897="TNWC", A897="TNBW", A897="THBS"), "PINK",
  A897="CRWD", "BLUE",
  A897="PASS", "WHITE"
)</f>
        <v>#N/A</v>
      </c>
    </row>
    <row r="898" spans="1:23" x14ac:dyDescent="0.25">
      <c r="A898" s="7"/>
      <c r="B898" s="7"/>
      <c r="D898" s="1"/>
      <c r="I898" s="3"/>
      <c r="J898" s="17"/>
      <c r="K898" s="17"/>
      <c r="L898" s="18"/>
      <c r="M898" s="3"/>
      <c r="P898" s="3"/>
      <c r="Q898" s="4"/>
      <c r="R898" s="19"/>
      <c r="S898" s="20"/>
      <c r="U898" s="3" t="str">
        <f t="shared" si="30"/>
        <v/>
      </c>
      <c r="V898" s="4" t="str">
        <f t="shared" si="31"/>
        <v/>
      </c>
      <c r="W898" s="21" t="e" cm="1">
        <f t="array" ref="W898">_xlfn.IFS(
  A898="BELL", "WHITE",
  A898="GAMP", "ORANGE",
  A898="GAMM", "GREEN",
  A898="BWF", "YELLOW",
  OR(A898="TNBE", A898="TNBL", A898="TNBD", A898="TNWC", A898="TNBW", A898="THBS"), "PINK",
  A898="CRWD", "BLUE",
  A898="PASS", "WHITE"
)</f>
        <v>#N/A</v>
      </c>
    </row>
    <row r="899" spans="1:23" x14ac:dyDescent="0.25">
      <c r="A899" s="7"/>
      <c r="B899" s="7"/>
      <c r="D899" s="1"/>
      <c r="H899" s="7"/>
      <c r="I899" s="3"/>
      <c r="J899" s="17"/>
      <c r="K899" s="17"/>
      <c r="L899" s="18"/>
      <c r="M899" s="18"/>
      <c r="P899" s="3"/>
      <c r="Q899" s="4"/>
      <c r="R899" s="19"/>
      <c r="S899" s="20"/>
      <c r="U899" s="3" t="str">
        <f t="shared" si="30"/>
        <v/>
      </c>
      <c r="V899" s="4" t="str">
        <f t="shared" si="31"/>
        <v/>
      </c>
      <c r="W899" s="21" t="e" cm="1">
        <f t="array" ref="W899">_xlfn.IFS(
  A899="BELL", "WHITE",
  A899="GAMP", "ORANGE",
  A899="GAMM", "GREEN",
  A899="BWF", "YELLOW",
  OR(A899="TNBE", A899="TNBL", A899="TNBD", A899="TNWC", A899="TNBW", A899="THBS"), "PINK",
  A899="CRWD", "BLUE",
  A899="PASS", "WHITE"
)</f>
        <v>#N/A</v>
      </c>
    </row>
    <row r="900" spans="1:23" x14ac:dyDescent="0.25">
      <c r="A900" s="7"/>
      <c r="B900" s="7"/>
      <c r="D900" s="1"/>
      <c r="I900" s="3"/>
      <c r="J900" s="17"/>
      <c r="K900" s="17"/>
      <c r="L900" s="18"/>
      <c r="M900" s="3"/>
      <c r="P900" s="3"/>
      <c r="Q900" s="4"/>
      <c r="R900" s="19"/>
      <c r="S900" s="20"/>
      <c r="U900" s="3" t="str">
        <f t="shared" ref="U900:U963" si="32">IF(T900="","",IF(T900&gt;I900,H900,T900/G900))</f>
        <v/>
      </c>
      <c r="V900" s="4" t="str">
        <f t="shared" ref="V900:V963" si="33">IF(T900&gt;I900,T900-I900,"")</f>
        <v/>
      </c>
      <c r="W900" s="21" t="e" cm="1">
        <f t="array" ref="W900">_xlfn.IFS(
  A900="BELL", "WHITE",
  A900="GAMP", "ORANGE",
  A900="GAMM", "GREEN",
  A900="BWF", "YELLOW",
  OR(A900="TNBE", A900="TNBL", A900="TNBD", A900="TNWC", A900="TNBW", A900="THBS"), "PINK",
  A900="CRWD", "BLUE",
  A900="PASS", "WHITE"
)</f>
        <v>#N/A</v>
      </c>
    </row>
    <row r="901" spans="1:23" x14ac:dyDescent="0.25">
      <c r="A901" s="7"/>
      <c r="B901" s="7"/>
      <c r="D901" s="1"/>
      <c r="I901" s="3"/>
      <c r="J901" s="17"/>
      <c r="K901" s="17"/>
      <c r="L901" s="18"/>
      <c r="M901" s="3"/>
      <c r="P901" s="3"/>
      <c r="Q901" s="4"/>
      <c r="R901" s="19"/>
      <c r="S901" s="20"/>
      <c r="U901" s="3" t="str">
        <f t="shared" si="32"/>
        <v/>
      </c>
      <c r="V901" s="4" t="str">
        <f t="shared" si="33"/>
        <v/>
      </c>
      <c r="W901" s="21" t="e" cm="1">
        <f t="array" ref="W901">_xlfn.IFS(
  A901="BELL", "WHITE",
  A901="GAMP", "ORANGE",
  A901="GAMM", "GREEN",
  A901="BWF", "YELLOW",
  OR(A901="TNBE", A901="TNBL", A901="TNBD", A901="TNWC", A901="TNBW", A901="THBS"), "PINK",
  A901="CRWD", "BLUE",
  A901="PASS", "WHITE"
)</f>
        <v>#N/A</v>
      </c>
    </row>
    <row r="902" spans="1:23" x14ac:dyDescent="0.25">
      <c r="A902" s="7"/>
      <c r="B902" s="7"/>
      <c r="D902" s="1"/>
      <c r="I902" s="3"/>
      <c r="J902" s="17"/>
      <c r="K902" s="17"/>
      <c r="L902" s="18"/>
      <c r="M902" s="3"/>
      <c r="P902" s="3"/>
      <c r="Q902" s="4"/>
      <c r="R902" s="19"/>
      <c r="S902" s="20"/>
      <c r="U902" s="3" t="str">
        <f t="shared" si="32"/>
        <v/>
      </c>
      <c r="V902" s="4" t="str">
        <f t="shared" si="33"/>
        <v/>
      </c>
      <c r="W902" s="21" t="e" cm="1">
        <f t="array" ref="W902">_xlfn.IFS(
  A902="BELL", "WHITE",
  A902="GAMP", "ORANGE",
  A902="GAMM", "GREEN",
  A902="BWF", "YELLOW",
  OR(A902="TNBE", A902="TNBL", A902="TNBD", A902="TNWC", A902="TNBW", A902="THBS"), "PINK",
  A902="CRWD", "BLUE",
  A902="PASS", "WHITE"
)</f>
        <v>#N/A</v>
      </c>
    </row>
    <row r="903" spans="1:23" x14ac:dyDescent="0.25">
      <c r="A903" s="7"/>
      <c r="B903" s="7"/>
      <c r="D903" s="1"/>
      <c r="I903" s="3"/>
      <c r="J903" s="17"/>
      <c r="K903" s="17"/>
      <c r="L903" s="18"/>
      <c r="M903" s="3"/>
      <c r="P903" s="3"/>
      <c r="Q903" s="4"/>
      <c r="R903" s="19"/>
      <c r="S903" s="20"/>
      <c r="U903" s="3" t="str">
        <f t="shared" si="32"/>
        <v/>
      </c>
      <c r="V903" s="4" t="str">
        <f t="shared" si="33"/>
        <v/>
      </c>
      <c r="W903" s="21" t="e" cm="1">
        <f t="array" ref="W903">_xlfn.IFS(
  A903="BELL", "WHITE",
  A903="GAMP", "ORANGE",
  A903="GAMM", "GREEN",
  A903="BWF", "YELLOW",
  OR(A903="TNBE", A903="TNBL", A903="TNBD", A903="TNWC", A903="TNBW", A903="THBS"), "PINK",
  A903="CRWD", "BLUE",
  A903="PASS", "WHITE"
)</f>
        <v>#N/A</v>
      </c>
    </row>
    <row r="904" spans="1:23" x14ac:dyDescent="0.25">
      <c r="A904" s="7"/>
      <c r="B904" s="7"/>
      <c r="D904" s="1"/>
      <c r="I904" s="3"/>
      <c r="J904" s="17"/>
      <c r="K904" s="17"/>
      <c r="L904" s="18"/>
      <c r="M904" s="3"/>
      <c r="P904" s="3"/>
      <c r="Q904" s="4"/>
      <c r="R904" s="19"/>
      <c r="S904" s="20"/>
      <c r="U904" s="3" t="str">
        <f t="shared" si="32"/>
        <v/>
      </c>
      <c r="V904" s="4" t="str">
        <f t="shared" si="33"/>
        <v/>
      </c>
      <c r="W904" s="21" t="e" cm="1">
        <f t="array" ref="W904">_xlfn.IFS(
  A904="BELL", "WHITE",
  A904="GAMP", "ORANGE",
  A904="GAMM", "GREEN",
  A904="BWF", "YELLOW",
  OR(A904="TNBE", A904="TNBL", A904="TNBD", A904="TNWC", A904="TNBW", A904="THBS"), "PINK",
  A904="CRWD", "BLUE",
  A904="PASS", "WHITE"
)</f>
        <v>#N/A</v>
      </c>
    </row>
    <row r="905" spans="1:23" x14ac:dyDescent="0.25">
      <c r="A905" s="7"/>
      <c r="B905" s="7"/>
      <c r="D905" s="1"/>
      <c r="H905" s="7"/>
      <c r="I905" s="3"/>
      <c r="J905" s="17"/>
      <c r="K905" s="17"/>
      <c r="L905" s="18"/>
      <c r="M905" s="18"/>
      <c r="P905" s="3"/>
      <c r="Q905" s="4"/>
      <c r="R905" s="19"/>
      <c r="S905" s="20"/>
      <c r="U905" s="3" t="str">
        <f t="shared" si="32"/>
        <v/>
      </c>
      <c r="V905" s="4" t="str">
        <f t="shared" si="33"/>
        <v/>
      </c>
      <c r="W905" s="21" t="e" cm="1">
        <f t="array" ref="W905">_xlfn.IFS(
  A905="BELL", "WHITE",
  A905="GAMP", "ORANGE",
  A905="GAMM", "GREEN",
  A905="BWF", "YELLOW",
  OR(A905="TNBE", A905="TNBL", A905="TNBD", A905="TNWC", A905="TNBW", A905="THBS"), "PINK",
  A905="CRWD", "BLUE",
  A905="PASS", "WHITE"
)</f>
        <v>#N/A</v>
      </c>
    </row>
    <row r="906" spans="1:23" x14ac:dyDescent="0.25">
      <c r="A906" s="7"/>
      <c r="B906" s="7"/>
      <c r="D906" s="1"/>
      <c r="I906" s="3"/>
      <c r="J906" s="17"/>
      <c r="K906" s="17"/>
      <c r="L906" s="18"/>
      <c r="M906" s="3"/>
      <c r="P906" s="3"/>
      <c r="Q906" s="4"/>
      <c r="R906" s="19"/>
      <c r="S906" s="20"/>
      <c r="U906" s="3" t="str">
        <f t="shared" si="32"/>
        <v/>
      </c>
      <c r="V906" s="4" t="str">
        <f t="shared" si="33"/>
        <v/>
      </c>
      <c r="W906" s="21" t="e" cm="1">
        <f t="array" ref="W906">_xlfn.IFS(
  A906="BELL", "WHITE",
  A906="GAMP", "ORANGE",
  A906="GAMM", "GREEN",
  A906="BWF", "YELLOW",
  OR(A906="TNBE", A906="TNBL", A906="TNBD", A906="TNWC", A906="TNBW", A906="THBS"), "PINK",
  A906="CRWD", "BLUE",
  A906="PASS", "WHITE"
)</f>
        <v>#N/A</v>
      </c>
    </row>
    <row r="907" spans="1:23" x14ac:dyDescent="0.25">
      <c r="A907" s="7"/>
      <c r="B907" s="7"/>
      <c r="D907" s="1"/>
      <c r="H907" s="7"/>
      <c r="I907" s="3"/>
      <c r="J907" s="17"/>
      <c r="K907" s="17"/>
      <c r="L907" s="18"/>
      <c r="M907" s="18"/>
      <c r="P907" s="3"/>
      <c r="Q907" s="4"/>
      <c r="R907" s="19"/>
      <c r="S907" s="20"/>
      <c r="U907" s="3" t="str">
        <f t="shared" si="32"/>
        <v/>
      </c>
      <c r="V907" s="4" t="str">
        <f t="shared" si="33"/>
        <v/>
      </c>
      <c r="W907" s="21" t="e" cm="1">
        <f t="array" ref="W907">_xlfn.IFS(
  A907="BELL", "WHITE",
  A907="GAMP", "ORANGE",
  A907="GAMM", "GREEN",
  A907="BWF", "YELLOW",
  OR(A907="TNBE", A907="TNBL", A907="TNBD", A907="TNWC", A907="TNBW", A907="THBS"), "PINK",
  A907="CRWD", "BLUE",
  A907="PASS", "WHITE"
)</f>
        <v>#N/A</v>
      </c>
    </row>
    <row r="908" spans="1:23" x14ac:dyDescent="0.25">
      <c r="A908" s="7"/>
      <c r="B908" s="7"/>
      <c r="D908" s="1"/>
      <c r="E908" s="29"/>
      <c r="I908" s="3"/>
      <c r="J908" s="17"/>
      <c r="K908" s="17"/>
      <c r="L908" s="18"/>
      <c r="M908" s="3"/>
      <c r="P908" s="3"/>
      <c r="Q908" s="4"/>
      <c r="R908" s="19"/>
      <c r="S908" s="20"/>
      <c r="U908" s="3" t="str">
        <f t="shared" si="32"/>
        <v/>
      </c>
      <c r="V908" s="4" t="str">
        <f t="shared" si="33"/>
        <v/>
      </c>
      <c r="W908" s="21" t="e" cm="1">
        <f t="array" ref="W908">_xlfn.IFS(
  A908="BELL", "WHITE",
  A908="GAMP", "ORANGE",
  A908="GAMM", "GREEN",
  A908="BWF", "YELLOW",
  OR(A908="TNBE", A908="TNBL", A908="TNBD", A908="TNWC", A908="TNBW", A908="THBS"), "PINK",
  A908="CRWD", "BLUE",
  A908="PASS", "WHITE"
)</f>
        <v>#N/A</v>
      </c>
    </row>
    <row r="909" spans="1:23" x14ac:dyDescent="0.25">
      <c r="A909" s="7"/>
      <c r="B909" s="7"/>
      <c r="D909" s="1"/>
      <c r="I909" s="3"/>
      <c r="J909" s="17"/>
      <c r="K909" s="17"/>
      <c r="L909" s="18"/>
      <c r="M909" s="3"/>
      <c r="P909" s="3"/>
      <c r="Q909" s="4"/>
      <c r="R909" s="19"/>
      <c r="S909" s="20"/>
      <c r="U909" s="3" t="str">
        <f t="shared" si="32"/>
        <v/>
      </c>
      <c r="V909" s="4" t="str">
        <f t="shared" si="33"/>
        <v/>
      </c>
      <c r="W909" s="21" t="e" cm="1">
        <f t="array" ref="W909">_xlfn.IFS(
  A909="BELL", "WHITE",
  A909="GAMP", "ORANGE",
  A909="GAMM", "GREEN",
  A909="BWF", "YELLOW",
  OR(A909="TNBE", A909="TNBL", A909="TNBD", A909="TNWC", A909="TNBW", A909="THBS"), "PINK",
  A909="CRWD", "BLUE",
  A909="PASS", "WHITE"
)</f>
        <v>#N/A</v>
      </c>
    </row>
    <row r="910" spans="1:23" x14ac:dyDescent="0.25">
      <c r="A910" s="7"/>
      <c r="B910" s="7"/>
      <c r="D910" s="1"/>
      <c r="H910" s="7"/>
      <c r="I910" s="3"/>
      <c r="J910" s="17"/>
      <c r="K910" s="17"/>
      <c r="L910" s="18"/>
      <c r="M910" s="18"/>
      <c r="P910" s="3"/>
      <c r="Q910" s="4"/>
      <c r="R910" s="19"/>
      <c r="S910" s="20"/>
      <c r="U910" s="3" t="str">
        <f t="shared" si="32"/>
        <v/>
      </c>
      <c r="V910" s="4" t="str">
        <f t="shared" si="33"/>
        <v/>
      </c>
      <c r="W910" s="21" t="e" cm="1">
        <f t="array" ref="W910">_xlfn.IFS(
  A910="BELL", "WHITE",
  A910="GAMP", "ORANGE",
  A910="GAMM", "GREEN",
  A910="BWF", "YELLOW",
  OR(A910="TNBE", A910="TNBL", A910="TNBD", A910="TNWC", A910="TNBW", A910="THBS"), "PINK",
  A910="CRWD", "BLUE",
  A910="PASS", "WHITE"
)</f>
        <v>#N/A</v>
      </c>
    </row>
    <row r="911" spans="1:23" x14ac:dyDescent="0.25">
      <c r="A911" s="7"/>
      <c r="B911" s="7"/>
      <c r="D911" s="1"/>
      <c r="E911" s="25"/>
      <c r="I911" s="3"/>
      <c r="J911" s="17"/>
      <c r="K911" s="17"/>
      <c r="L911" s="18"/>
      <c r="M911" s="3"/>
      <c r="P911" s="3"/>
      <c r="Q911" s="4"/>
      <c r="R911" s="19"/>
      <c r="S911" s="20"/>
      <c r="U911" s="3" t="str">
        <f t="shared" si="32"/>
        <v/>
      </c>
      <c r="V911" s="4" t="str">
        <f t="shared" si="33"/>
        <v/>
      </c>
      <c r="W911" s="21" t="e" cm="1">
        <f t="array" ref="W911">_xlfn.IFS(
  A911="BELL", "WHITE",
  A911="GAMP", "ORANGE",
  A911="GAMM", "GREEN",
  A911="BWF", "YELLOW",
  OR(A911="TNBE", A911="TNBL", A911="TNBD", A911="TNWC", A911="TNBW", A911="THBS"), "PINK",
  A911="CRWD", "BLUE",
  A911="PASS", "WHITE"
)</f>
        <v>#N/A</v>
      </c>
    </row>
    <row r="912" spans="1:23" x14ac:dyDescent="0.25">
      <c r="A912" s="7"/>
      <c r="B912" s="7"/>
      <c r="D912" s="1"/>
      <c r="E912" s="25"/>
      <c r="H912" s="7"/>
      <c r="I912" s="3"/>
      <c r="J912" s="17"/>
      <c r="K912" s="17"/>
      <c r="L912" s="18"/>
      <c r="M912" s="18"/>
      <c r="P912" s="3"/>
      <c r="Q912" s="4"/>
      <c r="R912" s="19"/>
      <c r="S912" s="20"/>
      <c r="U912" s="3" t="str">
        <f t="shared" si="32"/>
        <v/>
      </c>
      <c r="V912" s="4" t="str">
        <f t="shared" si="33"/>
        <v/>
      </c>
      <c r="W912" s="21" t="e" cm="1">
        <f t="array" ref="W912">_xlfn.IFS(
  A912="BELL", "WHITE",
  A912="GAMP", "ORANGE",
  A912="GAMM", "GREEN",
  A912="BWF", "YELLOW",
  OR(A912="TNBE", A912="TNBL", A912="TNBD", A912="TNWC", A912="TNBW", A912="THBS"), "PINK",
  A912="CRWD", "BLUE",
  A912="PASS", "WHITE"
)</f>
        <v>#N/A</v>
      </c>
    </row>
    <row r="913" spans="1:23" x14ac:dyDescent="0.25">
      <c r="A913" s="7"/>
      <c r="B913" s="7"/>
      <c r="D913" s="1"/>
      <c r="E913" s="25"/>
      <c r="I913" s="3"/>
      <c r="J913" s="17"/>
      <c r="K913" s="17"/>
      <c r="L913" s="18"/>
      <c r="M913" s="3"/>
      <c r="P913" s="3"/>
      <c r="Q913" s="4"/>
      <c r="R913" s="19"/>
      <c r="S913" s="20"/>
      <c r="U913" s="3" t="str">
        <f t="shared" si="32"/>
        <v/>
      </c>
      <c r="V913" s="4" t="str">
        <f t="shared" si="33"/>
        <v/>
      </c>
      <c r="W913" s="21" t="e" cm="1">
        <f t="array" ref="W913">_xlfn.IFS(
  A913="BELL", "WHITE",
  A913="GAMP", "ORANGE",
  A913="GAMM", "GREEN",
  A913="BWF", "YELLOW",
  OR(A913="TNBE", A913="TNBL", A913="TNBD", A913="TNWC", A913="TNBW", A913="THBS"), "PINK",
  A913="CRWD", "BLUE",
  A913="PASS", "WHITE"
)</f>
        <v>#N/A</v>
      </c>
    </row>
    <row r="914" spans="1:23" x14ac:dyDescent="0.25">
      <c r="A914" s="7"/>
      <c r="B914" s="7"/>
      <c r="D914" s="1"/>
      <c r="E914" s="25"/>
      <c r="H914" s="7"/>
      <c r="I914" s="3"/>
      <c r="J914" s="17"/>
      <c r="K914" s="17"/>
      <c r="L914" s="18"/>
      <c r="M914" s="18"/>
      <c r="P914" s="3"/>
      <c r="Q914" s="4"/>
      <c r="R914" s="19"/>
      <c r="S914" s="20"/>
      <c r="U914" s="3" t="str">
        <f t="shared" si="32"/>
        <v/>
      </c>
      <c r="V914" s="4" t="str">
        <f t="shared" si="33"/>
        <v/>
      </c>
      <c r="W914" s="21" t="e" cm="1">
        <f t="array" ref="W914">_xlfn.IFS(
  A914="BELL", "WHITE",
  A914="GAMP", "ORANGE",
  A914="GAMM", "GREEN",
  A914="BWF", "YELLOW",
  OR(A914="TNBE", A914="TNBL", A914="TNBD", A914="TNWC", A914="TNBW", A914="THBS"), "PINK",
  A914="CRWD", "BLUE",
  A914="PASS", "WHITE"
)</f>
        <v>#N/A</v>
      </c>
    </row>
    <row r="915" spans="1:23" x14ac:dyDescent="0.25">
      <c r="A915" s="7"/>
      <c r="B915" s="7"/>
      <c r="D915" s="1"/>
      <c r="E915" s="25"/>
      <c r="I915" s="3"/>
      <c r="J915" s="17"/>
      <c r="K915" s="17"/>
      <c r="L915" s="18"/>
      <c r="M915" s="3"/>
      <c r="P915" s="3"/>
      <c r="Q915" s="4"/>
      <c r="R915" s="19"/>
      <c r="S915" s="20"/>
      <c r="U915" s="3" t="str">
        <f t="shared" si="32"/>
        <v/>
      </c>
      <c r="V915" s="4" t="str">
        <f t="shared" si="33"/>
        <v/>
      </c>
      <c r="W915" s="21" t="e" cm="1">
        <f t="array" ref="W915">_xlfn.IFS(
  A915="BELL", "WHITE",
  A915="GAMP", "ORANGE",
  A915="GAMM", "GREEN",
  A915="BWF", "YELLOW",
  OR(A915="TNBE", A915="TNBL", A915="TNBD", A915="TNWC", A915="TNBW", A915="THBS"), "PINK",
  A915="CRWD", "BLUE",
  A915="PASS", "WHITE"
)</f>
        <v>#N/A</v>
      </c>
    </row>
    <row r="916" spans="1:23" x14ac:dyDescent="0.25">
      <c r="A916" s="7"/>
      <c r="B916" s="7"/>
      <c r="D916" s="1"/>
      <c r="E916" s="25"/>
      <c r="H916" s="7"/>
      <c r="I916" s="3"/>
      <c r="J916" s="17"/>
      <c r="K916" s="17"/>
      <c r="L916" s="18"/>
      <c r="M916" s="18"/>
      <c r="P916" s="3"/>
      <c r="Q916" s="4"/>
      <c r="R916" s="19"/>
      <c r="S916" s="20"/>
      <c r="U916" s="3" t="str">
        <f t="shared" si="32"/>
        <v/>
      </c>
      <c r="V916" s="4" t="str">
        <f t="shared" si="33"/>
        <v/>
      </c>
      <c r="W916" s="21" t="e" cm="1">
        <f t="array" ref="W916">_xlfn.IFS(
  A916="BELL", "WHITE",
  A916="GAMP", "ORANGE",
  A916="GAMM", "GREEN",
  A916="BWF", "YELLOW",
  OR(A916="TNBE", A916="TNBL", A916="TNBD", A916="TNWC", A916="TNBW", A916="THBS"), "PINK",
  A916="CRWD", "BLUE",
  A916="PASS", "WHITE"
)</f>
        <v>#N/A</v>
      </c>
    </row>
    <row r="917" spans="1:23" x14ac:dyDescent="0.25">
      <c r="A917" s="7"/>
      <c r="B917" s="7"/>
      <c r="D917" s="1"/>
      <c r="I917" s="3"/>
      <c r="J917" s="17"/>
      <c r="K917" s="17"/>
      <c r="L917" s="18"/>
      <c r="M917" s="3"/>
      <c r="P917" s="3"/>
      <c r="Q917" s="4"/>
      <c r="R917" s="19"/>
      <c r="S917" s="20"/>
      <c r="U917" s="3" t="str">
        <f t="shared" si="32"/>
        <v/>
      </c>
      <c r="V917" s="4" t="str">
        <f t="shared" si="33"/>
        <v/>
      </c>
      <c r="W917" s="21" t="e" cm="1">
        <f t="array" ref="W917">_xlfn.IFS(
  A917="BELL", "WHITE",
  A917="GAMP", "ORANGE",
  A917="GAMM", "GREEN",
  A917="BWF", "YELLOW",
  OR(A917="TNBE", A917="TNBL", A917="TNBD", A917="TNWC", A917="TNBW", A917="THBS"), "PINK",
  A917="CRWD", "BLUE",
  A917="PASS", "WHITE"
)</f>
        <v>#N/A</v>
      </c>
    </row>
    <row r="918" spans="1:23" x14ac:dyDescent="0.25">
      <c r="A918" s="7"/>
      <c r="B918" s="7"/>
      <c r="D918" s="1"/>
      <c r="I918" s="3"/>
      <c r="J918" s="17"/>
      <c r="K918" s="17"/>
      <c r="L918" s="18"/>
      <c r="M918" s="3"/>
      <c r="P918" s="3"/>
      <c r="Q918" s="4"/>
      <c r="R918" s="19"/>
      <c r="S918" s="20"/>
      <c r="U918" s="3" t="str">
        <f t="shared" si="32"/>
        <v/>
      </c>
      <c r="V918" s="4" t="str">
        <f t="shared" si="33"/>
        <v/>
      </c>
      <c r="W918" s="21" t="e" cm="1">
        <f t="array" ref="W918">_xlfn.IFS(
  A918="BELL", "WHITE",
  A918="GAMP", "ORANGE",
  A918="GAMM", "GREEN",
  A918="BWF", "YELLOW",
  OR(A918="TNBE", A918="TNBL", A918="TNBD", A918="TNWC", A918="TNBW", A918="THBS"), "PINK",
  A918="CRWD", "BLUE",
  A918="PASS", "WHITE"
)</f>
        <v>#N/A</v>
      </c>
    </row>
    <row r="919" spans="1:23" x14ac:dyDescent="0.25">
      <c r="A919" s="7"/>
      <c r="B919" s="7"/>
      <c r="D919" s="1"/>
      <c r="E919" s="29"/>
      <c r="I919" s="3"/>
      <c r="J919" s="17"/>
      <c r="K919" s="17"/>
      <c r="L919" s="18"/>
      <c r="M919" s="3"/>
      <c r="P919" s="3"/>
      <c r="Q919" s="4"/>
      <c r="R919" s="19"/>
      <c r="S919" s="20"/>
      <c r="U919" s="3" t="str">
        <f t="shared" si="32"/>
        <v/>
      </c>
      <c r="V919" s="4" t="str">
        <f t="shared" si="33"/>
        <v/>
      </c>
      <c r="W919" s="21" t="e" cm="1">
        <f t="array" ref="W919">_xlfn.IFS(
  A919="BELL", "WHITE",
  A919="GAMP", "ORANGE",
  A919="GAMM", "GREEN",
  A919="BWF", "YELLOW",
  OR(A919="TNBE", A919="TNBL", A919="TNBD", A919="TNWC", A919="TNBW", A919="THBS"), "PINK",
  A919="CRWD", "BLUE",
  A919="PASS", "WHITE"
)</f>
        <v>#N/A</v>
      </c>
    </row>
    <row r="920" spans="1:23" x14ac:dyDescent="0.25">
      <c r="A920" s="7"/>
      <c r="B920" s="7"/>
      <c r="D920" s="1"/>
      <c r="H920" s="7"/>
      <c r="I920" s="3"/>
      <c r="J920" s="17"/>
      <c r="K920" s="17"/>
      <c r="L920" s="18"/>
      <c r="M920" s="18"/>
      <c r="P920" s="3"/>
      <c r="Q920" s="4"/>
      <c r="R920" s="19"/>
      <c r="S920" s="20"/>
      <c r="U920" s="3" t="str">
        <f t="shared" si="32"/>
        <v/>
      </c>
      <c r="V920" s="4" t="str">
        <f t="shared" si="33"/>
        <v/>
      </c>
      <c r="W920" s="21" t="e" cm="1">
        <f t="array" ref="W920">_xlfn.IFS(
  A920="BELL", "WHITE",
  A920="GAMP", "ORANGE",
  A920="GAMM", "GREEN",
  A920="BWF", "YELLOW",
  OR(A920="TNBE", A920="TNBL", A920="TNBD", A920="TNWC", A920="TNBW", A920="THBS"), "PINK",
  A920="CRWD", "BLUE",
  A920="PASS", "WHITE"
)</f>
        <v>#N/A</v>
      </c>
    </row>
    <row r="921" spans="1:23" x14ac:dyDescent="0.25">
      <c r="A921" s="7"/>
      <c r="B921" s="7"/>
      <c r="D921" s="1"/>
      <c r="H921" s="7"/>
      <c r="I921" s="3"/>
      <c r="J921" s="17"/>
      <c r="K921" s="17"/>
      <c r="L921" s="18"/>
      <c r="M921" s="18"/>
      <c r="P921" s="3"/>
      <c r="Q921" s="4"/>
      <c r="R921" s="19"/>
      <c r="S921" s="20"/>
      <c r="U921" s="3" t="str">
        <f t="shared" si="32"/>
        <v/>
      </c>
      <c r="V921" s="4" t="str">
        <f t="shared" si="33"/>
        <v/>
      </c>
      <c r="W921" s="21" t="e" cm="1">
        <f t="array" ref="W921">_xlfn.IFS(
  A921="BELL", "WHITE",
  A921="GAMP", "ORANGE",
  A921="GAMM", "GREEN",
  A921="BWF", "YELLOW",
  OR(A921="TNBE", A921="TNBL", A921="TNBD", A921="TNWC", A921="TNBW", A921="THBS"), "PINK",
  A921="CRWD", "BLUE",
  A921="PASS", "WHITE"
)</f>
        <v>#N/A</v>
      </c>
    </row>
    <row r="922" spans="1:23" x14ac:dyDescent="0.25">
      <c r="A922" s="7"/>
      <c r="B922" s="7"/>
      <c r="D922" s="1"/>
      <c r="I922" s="3"/>
      <c r="J922" s="17"/>
      <c r="K922" s="17"/>
      <c r="L922" s="18"/>
      <c r="M922" s="3"/>
      <c r="P922" s="3"/>
      <c r="Q922" s="4"/>
      <c r="R922" s="19"/>
      <c r="S922" s="20"/>
      <c r="U922" s="3" t="str">
        <f t="shared" si="32"/>
        <v/>
      </c>
      <c r="V922" s="4" t="str">
        <f t="shared" si="33"/>
        <v/>
      </c>
      <c r="W922" s="21" t="e" cm="1">
        <f t="array" ref="W922">_xlfn.IFS(
  A922="BELL", "WHITE",
  A922="GAMP", "ORANGE",
  A922="GAMM", "GREEN",
  A922="BWF", "YELLOW",
  OR(A922="TNBE", A922="TNBL", A922="TNBD", A922="TNWC", A922="TNBW", A922="THBS"), "PINK",
  A922="CRWD", "BLUE",
  A922="PASS", "WHITE"
)</f>
        <v>#N/A</v>
      </c>
    </row>
    <row r="923" spans="1:23" x14ac:dyDescent="0.25">
      <c r="A923" s="7"/>
      <c r="B923" s="7"/>
      <c r="D923" s="1"/>
      <c r="H923" s="7"/>
      <c r="I923" s="3"/>
      <c r="J923" s="17"/>
      <c r="K923" s="17"/>
      <c r="L923" s="18"/>
      <c r="M923" s="18"/>
      <c r="P923" s="3"/>
      <c r="Q923" s="4"/>
      <c r="R923" s="19"/>
      <c r="S923" s="20"/>
      <c r="U923" s="3" t="str">
        <f t="shared" si="32"/>
        <v/>
      </c>
      <c r="V923" s="4" t="str">
        <f t="shared" si="33"/>
        <v/>
      </c>
      <c r="W923" s="21" t="e" cm="1">
        <f t="array" ref="W923">_xlfn.IFS(
  A923="BELL", "WHITE",
  A923="GAMP", "ORANGE",
  A923="GAMM", "GREEN",
  A923="BWF", "YELLOW",
  OR(A923="TNBE", A923="TNBL", A923="TNBD", A923="TNWC", A923="TNBW", A923="THBS"), "PINK",
  A923="CRWD", "BLUE",
  A923="PASS", "WHITE"
)</f>
        <v>#N/A</v>
      </c>
    </row>
    <row r="924" spans="1:23" x14ac:dyDescent="0.25">
      <c r="A924" s="7"/>
      <c r="B924" s="7"/>
      <c r="D924" s="1"/>
      <c r="H924" s="7"/>
      <c r="I924" s="3"/>
      <c r="J924" s="17"/>
      <c r="K924" s="17"/>
      <c r="L924" s="18"/>
      <c r="M924" s="18"/>
      <c r="P924" s="3"/>
      <c r="Q924" s="4"/>
      <c r="R924" s="19"/>
      <c r="S924" s="20"/>
      <c r="U924" s="3" t="str">
        <f t="shared" si="32"/>
        <v/>
      </c>
      <c r="V924" s="4" t="str">
        <f t="shared" si="33"/>
        <v/>
      </c>
      <c r="W924" s="21" t="e" cm="1">
        <f t="array" ref="W924">_xlfn.IFS(
  A924="BELL", "WHITE",
  A924="GAMP", "ORANGE",
  A924="GAMM", "GREEN",
  A924="BWF", "YELLOW",
  OR(A924="TNBE", A924="TNBL", A924="TNBD", A924="TNWC", A924="TNBW", A924="THBS"), "PINK",
  A924="CRWD", "BLUE",
  A924="PASS", "WHITE"
)</f>
        <v>#N/A</v>
      </c>
    </row>
    <row r="925" spans="1:23" x14ac:dyDescent="0.25">
      <c r="A925" s="7"/>
      <c r="B925" s="7"/>
      <c r="D925" s="1"/>
      <c r="I925" s="3"/>
      <c r="J925" s="17"/>
      <c r="K925" s="17"/>
      <c r="L925" s="18"/>
      <c r="M925" s="3"/>
      <c r="P925" s="3"/>
      <c r="Q925" s="4"/>
      <c r="R925" s="19"/>
      <c r="S925" s="20"/>
      <c r="U925" s="3" t="str">
        <f t="shared" si="32"/>
        <v/>
      </c>
      <c r="V925" s="4" t="str">
        <f t="shared" si="33"/>
        <v/>
      </c>
      <c r="W925" s="21" t="e" cm="1">
        <f t="array" ref="W925">_xlfn.IFS(
  A925="BELL", "WHITE",
  A925="GAMP", "ORANGE",
  A925="GAMM", "GREEN",
  A925="BWF", "YELLOW",
  OR(A925="TNBE", A925="TNBL", A925="TNBD", A925="TNWC", A925="TNBW", A925="THBS"), "PINK",
  A925="CRWD", "BLUE",
  A925="PASS", "WHITE"
)</f>
        <v>#N/A</v>
      </c>
    </row>
    <row r="926" spans="1:23" x14ac:dyDescent="0.25">
      <c r="A926" s="7"/>
      <c r="B926" s="7"/>
      <c r="D926" s="1"/>
      <c r="H926" s="7"/>
      <c r="I926" s="3"/>
      <c r="J926" s="17"/>
      <c r="K926" s="17"/>
      <c r="L926" s="18"/>
      <c r="M926" s="18"/>
      <c r="P926" s="3"/>
      <c r="Q926" s="4"/>
      <c r="R926" s="19"/>
      <c r="S926" s="20"/>
      <c r="U926" s="3" t="str">
        <f t="shared" si="32"/>
        <v/>
      </c>
      <c r="V926" s="4" t="str">
        <f t="shared" si="33"/>
        <v/>
      </c>
      <c r="W926" s="21" t="e" cm="1">
        <f t="array" ref="W926">_xlfn.IFS(
  A926="BELL", "WHITE",
  A926="GAMP", "ORANGE",
  A926="GAMM", "GREEN",
  A926="BWF", "YELLOW",
  OR(A926="TNBE", A926="TNBL", A926="TNBD", A926="TNWC", A926="TNBW", A926="THBS"), "PINK",
  A926="CRWD", "BLUE",
  A926="PASS", "WHITE"
)</f>
        <v>#N/A</v>
      </c>
    </row>
    <row r="927" spans="1:23" x14ac:dyDescent="0.25">
      <c r="A927" s="7"/>
      <c r="B927" s="7"/>
      <c r="D927" s="1"/>
      <c r="H927" s="7"/>
      <c r="I927" s="3"/>
      <c r="J927" s="17"/>
      <c r="K927" s="17"/>
      <c r="L927" s="18"/>
      <c r="M927" s="18"/>
      <c r="P927" s="3"/>
      <c r="Q927" s="4"/>
      <c r="R927" s="19"/>
      <c r="S927" s="20"/>
      <c r="U927" s="3" t="str">
        <f t="shared" si="32"/>
        <v/>
      </c>
      <c r="V927" s="4" t="str">
        <f t="shared" si="33"/>
        <v/>
      </c>
      <c r="W927" s="21" t="e" cm="1">
        <f t="array" ref="W927">_xlfn.IFS(
  A927="BELL", "WHITE",
  A927="GAMP", "ORANGE",
  A927="GAMM", "GREEN",
  A927="BWF", "YELLOW",
  OR(A927="TNBE", A927="TNBL", A927="TNBD", A927="TNWC", A927="TNBW", A927="THBS"), "PINK",
  A927="CRWD", "BLUE",
  A927="PASS", "WHITE"
)</f>
        <v>#N/A</v>
      </c>
    </row>
    <row r="928" spans="1:23" x14ac:dyDescent="0.25">
      <c r="A928" s="7"/>
      <c r="B928" s="7"/>
      <c r="D928" s="1"/>
      <c r="E928" s="38"/>
      <c r="I928" s="3"/>
      <c r="J928" s="17"/>
      <c r="K928" s="17"/>
      <c r="L928" s="18"/>
      <c r="M928" s="3"/>
      <c r="P928" s="3"/>
      <c r="Q928" s="4"/>
      <c r="R928" s="19"/>
      <c r="S928" s="20"/>
      <c r="U928" s="3" t="str">
        <f t="shared" si="32"/>
        <v/>
      </c>
      <c r="V928" s="4" t="str">
        <f t="shared" si="33"/>
        <v/>
      </c>
      <c r="W928" s="21" t="e" cm="1">
        <f t="array" ref="W928">_xlfn.IFS(
  A928="BELL", "WHITE",
  A928="GAMP", "ORANGE",
  A928="GAMM", "GREEN",
  A928="BWF", "YELLOW",
  OR(A928="TNBE", A928="TNBL", A928="TNBD", A928="TNWC", A928="TNBW", A928="THBS"), "PINK",
  A928="CRWD", "BLUE",
  A928="PASS", "WHITE"
)</f>
        <v>#N/A</v>
      </c>
    </row>
    <row r="929" spans="1:23" x14ac:dyDescent="0.25">
      <c r="A929" s="7"/>
      <c r="B929" s="7"/>
      <c r="D929" s="1"/>
      <c r="H929" s="7"/>
      <c r="I929" s="3"/>
      <c r="J929" s="17"/>
      <c r="K929" s="17"/>
      <c r="L929" s="18"/>
      <c r="M929" s="18"/>
      <c r="P929" s="3"/>
      <c r="Q929" s="4"/>
      <c r="R929" s="19"/>
      <c r="S929" s="20"/>
      <c r="U929" s="3" t="str">
        <f t="shared" si="32"/>
        <v/>
      </c>
      <c r="V929" s="4" t="str">
        <f t="shared" si="33"/>
        <v/>
      </c>
      <c r="W929" s="21" t="e" cm="1">
        <f t="array" ref="W929">_xlfn.IFS(
  A929="BELL", "WHITE",
  A929="GAMP", "ORANGE",
  A929="GAMM", "GREEN",
  A929="BWF", "YELLOW",
  OR(A929="TNBE", A929="TNBL", A929="TNBD", A929="TNWC", A929="TNBW", A929="THBS"), "PINK",
  A929="CRWD", "BLUE",
  A929="PASS", "WHITE"
)</f>
        <v>#N/A</v>
      </c>
    </row>
    <row r="930" spans="1:23" x14ac:dyDescent="0.25">
      <c r="A930" s="7"/>
      <c r="B930" s="7"/>
      <c r="D930" s="1"/>
      <c r="H930" s="7"/>
      <c r="I930" s="3"/>
      <c r="J930" s="17"/>
      <c r="K930" s="17"/>
      <c r="L930" s="18"/>
      <c r="M930" s="18"/>
      <c r="P930" s="3"/>
      <c r="Q930" s="4"/>
      <c r="R930" s="19"/>
      <c r="S930" s="20"/>
      <c r="U930" s="3" t="str">
        <f t="shared" si="32"/>
        <v/>
      </c>
      <c r="V930" s="4" t="str">
        <f t="shared" si="33"/>
        <v/>
      </c>
      <c r="W930" s="21" t="e" cm="1">
        <f t="array" ref="W930">_xlfn.IFS(
  A930="BELL", "WHITE",
  A930="GAMP", "ORANGE",
  A930="GAMM", "GREEN",
  A930="BWF", "YELLOW",
  OR(A930="TNBE", A930="TNBL", A930="TNBD", A930="TNWC", A930="TNBW", A930="THBS"), "PINK",
  A930="CRWD", "BLUE",
  A930="PASS", "WHITE"
)</f>
        <v>#N/A</v>
      </c>
    </row>
    <row r="931" spans="1:23" x14ac:dyDescent="0.25">
      <c r="A931" s="7"/>
      <c r="B931" s="7"/>
      <c r="D931" s="1"/>
      <c r="I931" s="3"/>
      <c r="J931" s="17"/>
      <c r="K931" s="17"/>
      <c r="L931" s="18"/>
      <c r="M931" s="3"/>
      <c r="P931" s="3"/>
      <c r="Q931" s="4"/>
      <c r="R931" s="19"/>
      <c r="S931" s="20"/>
      <c r="U931" s="3" t="str">
        <f t="shared" si="32"/>
        <v/>
      </c>
      <c r="V931" s="4" t="str">
        <f t="shared" si="33"/>
        <v/>
      </c>
      <c r="W931" s="21" t="e" cm="1">
        <f t="array" ref="W931">_xlfn.IFS(
  A931="BELL", "WHITE",
  A931="GAMP", "ORANGE",
  A931="GAMM", "GREEN",
  A931="BWF", "YELLOW",
  OR(A931="TNBE", A931="TNBL", A931="TNBD", A931="TNWC", A931="TNBW", A931="THBS"), "PINK",
  A931="CRWD", "BLUE",
  A931="PASS", "WHITE"
)</f>
        <v>#N/A</v>
      </c>
    </row>
    <row r="932" spans="1:23" x14ac:dyDescent="0.25">
      <c r="A932" s="7"/>
      <c r="B932" s="36"/>
      <c r="D932" s="1"/>
      <c r="I932" s="3"/>
      <c r="J932" s="17"/>
      <c r="K932" s="17"/>
      <c r="L932" s="18"/>
      <c r="M932" s="3"/>
      <c r="P932" s="3"/>
      <c r="Q932" s="4"/>
      <c r="R932" s="19"/>
      <c r="S932" s="20"/>
      <c r="U932" s="3" t="str">
        <f t="shared" si="32"/>
        <v/>
      </c>
      <c r="V932" s="4" t="str">
        <f t="shared" si="33"/>
        <v/>
      </c>
      <c r="W932" s="21" t="e" cm="1">
        <f t="array" ref="W932">_xlfn.IFS(
  A932="BELL", "WHITE",
  A932="GAMP", "ORANGE",
  A932="GAMM", "GREEN",
  A932="BWF", "YELLOW",
  OR(A932="TNBE", A932="TNBL", A932="TNBD", A932="TNWC", A932="TNBW", A932="THBS"), "PINK",
  A932="CRWD", "BLUE",
  A932="PASS", "WHITE"
)</f>
        <v>#N/A</v>
      </c>
    </row>
    <row r="933" spans="1:23" x14ac:dyDescent="0.25">
      <c r="A933" s="7"/>
      <c r="B933" s="36"/>
      <c r="D933" s="1"/>
      <c r="H933" s="7"/>
      <c r="I933" s="3"/>
      <c r="J933" s="17"/>
      <c r="K933" s="17"/>
      <c r="L933" s="18"/>
      <c r="M933" s="18"/>
      <c r="P933" s="3"/>
      <c r="Q933" s="4"/>
      <c r="R933" s="19"/>
      <c r="S933" s="20"/>
      <c r="U933" s="3" t="str">
        <f t="shared" si="32"/>
        <v/>
      </c>
      <c r="V933" s="4" t="str">
        <f t="shared" si="33"/>
        <v/>
      </c>
      <c r="W933" s="21" t="e" cm="1">
        <f t="array" ref="W933">_xlfn.IFS(
  A933="BELL", "WHITE",
  A933="GAMP", "ORANGE",
  A933="GAMM", "GREEN",
  A933="BWF", "YELLOW",
  OR(A933="TNBE", A933="TNBL", A933="TNBD", A933="TNWC", A933="TNBW", A933="THBS"), "PINK",
  A933="CRWD", "BLUE",
  A933="PASS", "WHITE"
)</f>
        <v>#N/A</v>
      </c>
    </row>
    <row r="934" spans="1:23" x14ac:dyDescent="0.25">
      <c r="A934" s="7"/>
      <c r="B934" s="36"/>
      <c r="D934" s="1"/>
      <c r="H934" s="7"/>
      <c r="I934" s="3"/>
      <c r="J934" s="17"/>
      <c r="K934" s="17"/>
      <c r="L934" s="18"/>
      <c r="M934" s="18"/>
      <c r="P934" s="3"/>
      <c r="Q934" s="4"/>
      <c r="R934" s="19"/>
      <c r="S934" s="20"/>
      <c r="U934" s="3" t="str">
        <f t="shared" si="32"/>
        <v/>
      </c>
      <c r="V934" s="4" t="str">
        <f t="shared" si="33"/>
        <v/>
      </c>
      <c r="W934" s="21" t="e" cm="1">
        <f t="array" ref="W934">_xlfn.IFS(
  A934="BELL", "WHITE",
  A934="GAMP", "ORANGE",
  A934="GAMM", "GREEN",
  A934="BWF", "YELLOW",
  OR(A934="TNBE", A934="TNBL", A934="TNBD", A934="TNWC", A934="TNBW", A934="THBS"), "PINK",
  A934="CRWD", "BLUE",
  A934="PASS", "WHITE"
)</f>
        <v>#N/A</v>
      </c>
    </row>
    <row r="935" spans="1:23" x14ac:dyDescent="0.25">
      <c r="A935" s="7"/>
      <c r="B935" s="7"/>
      <c r="D935" s="1"/>
      <c r="E935" s="29"/>
      <c r="I935" s="3"/>
      <c r="J935" s="17"/>
      <c r="K935" s="17"/>
      <c r="L935" s="18"/>
      <c r="M935" s="3"/>
      <c r="P935" s="3"/>
      <c r="Q935" s="4"/>
      <c r="R935" s="19"/>
      <c r="S935" s="20"/>
      <c r="U935" s="3" t="str">
        <f t="shared" si="32"/>
        <v/>
      </c>
      <c r="V935" s="4" t="str">
        <f t="shared" si="33"/>
        <v/>
      </c>
      <c r="W935" s="21" t="e" cm="1">
        <f t="array" ref="W935">_xlfn.IFS(
  A935="BELL", "WHITE",
  A935="GAMP", "ORANGE",
  A935="GAMM", "GREEN",
  A935="BWF", "YELLOW",
  OR(A935="TNBE", A935="TNBL", A935="TNBD", A935="TNWC", A935="TNBW", A935="THBS"), "PINK",
  A935="CRWD", "BLUE",
  A935="PASS", "WHITE"
)</f>
        <v>#N/A</v>
      </c>
    </row>
    <row r="936" spans="1:23" x14ac:dyDescent="0.25">
      <c r="A936" s="7"/>
      <c r="B936" s="7"/>
      <c r="D936" s="1"/>
      <c r="E936" s="29"/>
      <c r="I936" s="3"/>
      <c r="J936" s="17"/>
      <c r="K936" s="17"/>
      <c r="L936" s="18"/>
      <c r="M936" s="3"/>
      <c r="P936" s="3"/>
      <c r="Q936" s="4"/>
      <c r="R936" s="19"/>
      <c r="S936" s="20"/>
      <c r="U936" s="3" t="str">
        <f t="shared" si="32"/>
        <v/>
      </c>
      <c r="V936" s="4" t="str">
        <f t="shared" si="33"/>
        <v/>
      </c>
      <c r="W936" s="21" t="e" cm="1">
        <f t="array" ref="W936">_xlfn.IFS(
  A936="BELL", "WHITE",
  A936="GAMP", "ORANGE",
  A936="GAMM", "GREEN",
  A936="BWF", "YELLOW",
  OR(A936="TNBE", A936="TNBL", A936="TNBD", A936="TNWC", A936="TNBW", A936="THBS"), "PINK",
  A936="CRWD", "BLUE",
  A936="PASS", "WHITE"
)</f>
        <v>#N/A</v>
      </c>
    </row>
    <row r="937" spans="1:23" x14ac:dyDescent="0.25">
      <c r="A937" s="7"/>
      <c r="B937" s="7"/>
      <c r="D937" s="1"/>
      <c r="E937" s="29"/>
      <c r="I937" s="3"/>
      <c r="J937" s="17"/>
      <c r="K937" s="17"/>
      <c r="L937" s="18"/>
      <c r="M937" s="3"/>
      <c r="P937" s="3"/>
      <c r="Q937" s="4"/>
      <c r="R937" s="19"/>
      <c r="S937" s="20"/>
      <c r="U937" s="3" t="str">
        <f t="shared" si="32"/>
        <v/>
      </c>
      <c r="V937" s="4" t="str">
        <f t="shared" si="33"/>
        <v/>
      </c>
      <c r="W937" s="21" t="e" cm="1">
        <f t="array" ref="W937">_xlfn.IFS(
  A937="BELL", "WHITE",
  A937="GAMP", "ORANGE",
  A937="GAMM", "GREEN",
  A937="BWF", "YELLOW",
  OR(A937="TNBE", A937="TNBL", A937="TNBD", A937="TNWC", A937="TNBW", A937="THBS"), "PINK",
  A937="CRWD", "BLUE",
  A937="PASS", "WHITE"
)</f>
        <v>#N/A</v>
      </c>
    </row>
    <row r="938" spans="1:23" x14ac:dyDescent="0.25">
      <c r="A938" s="7"/>
      <c r="B938" s="7"/>
      <c r="D938" s="1"/>
      <c r="E938" s="1"/>
      <c r="H938" s="7"/>
      <c r="I938" s="3"/>
      <c r="J938" s="17"/>
      <c r="K938" s="17"/>
      <c r="L938" s="18"/>
      <c r="M938" s="18"/>
      <c r="P938" s="3"/>
      <c r="Q938" s="4"/>
      <c r="R938" s="19"/>
      <c r="S938" s="20"/>
      <c r="U938" s="3" t="str">
        <f t="shared" si="32"/>
        <v/>
      </c>
      <c r="V938" s="4" t="str">
        <f t="shared" si="33"/>
        <v/>
      </c>
      <c r="W938" s="21" t="e" cm="1">
        <f t="array" ref="W938">_xlfn.IFS(
  A938="BELL", "WHITE",
  A938="GAMP", "ORANGE",
  A938="GAMM", "GREEN",
  A938="BWF", "YELLOW",
  OR(A938="TNBE", A938="TNBL", A938="TNBD", A938="TNWC", A938="TNBW", A938="THBS"), "PINK",
  A938="CRWD", "BLUE",
  A938="PASS", "WHITE"
)</f>
        <v>#N/A</v>
      </c>
    </row>
    <row r="939" spans="1:23" x14ac:dyDescent="0.25">
      <c r="A939" s="7"/>
      <c r="B939" s="7"/>
      <c r="D939" s="1"/>
      <c r="E939" s="29"/>
      <c r="I939" s="3"/>
      <c r="J939" s="17"/>
      <c r="K939" s="17"/>
      <c r="L939" s="18"/>
      <c r="M939" s="3"/>
      <c r="P939" s="3"/>
      <c r="Q939" s="4"/>
      <c r="R939" s="19"/>
      <c r="S939" s="20"/>
      <c r="U939" s="3" t="str">
        <f t="shared" si="32"/>
        <v/>
      </c>
      <c r="V939" s="4" t="str">
        <f t="shared" si="33"/>
        <v/>
      </c>
      <c r="W939" s="21" t="e" cm="1">
        <f t="array" ref="W939">_xlfn.IFS(
  A939="BELL", "WHITE",
  A939="GAMP", "ORANGE",
  A939="GAMM", "GREEN",
  A939="BWF", "YELLOW",
  OR(A939="TNBE", A939="TNBL", A939="TNBD", A939="TNWC", A939="TNBW", A939="THBS"), "PINK",
  A939="CRWD", "BLUE",
  A939="PASS", "WHITE"
)</f>
        <v>#N/A</v>
      </c>
    </row>
    <row r="940" spans="1:23" x14ac:dyDescent="0.25">
      <c r="A940" s="7"/>
      <c r="B940" s="7"/>
      <c r="D940" s="1"/>
      <c r="E940" s="29"/>
      <c r="I940" s="3"/>
      <c r="J940" s="17"/>
      <c r="K940" s="17"/>
      <c r="L940" s="18"/>
      <c r="M940" s="3"/>
      <c r="P940" s="3"/>
      <c r="Q940" s="4"/>
      <c r="R940" s="19"/>
      <c r="S940" s="20"/>
      <c r="U940" s="3" t="str">
        <f t="shared" si="32"/>
        <v/>
      </c>
      <c r="V940" s="4" t="str">
        <f t="shared" si="33"/>
        <v/>
      </c>
      <c r="W940" s="21" t="e" cm="1">
        <f t="array" ref="W940">_xlfn.IFS(
  A940="BELL", "WHITE",
  A940="GAMP", "ORANGE",
  A940="GAMM", "GREEN",
  A940="BWF", "YELLOW",
  OR(A940="TNBE", A940="TNBL", A940="TNBD", A940="TNWC", A940="TNBW", A940="THBS"), "PINK",
  A940="CRWD", "BLUE",
  A940="PASS", "WHITE"
)</f>
        <v>#N/A</v>
      </c>
    </row>
    <row r="941" spans="1:23" x14ac:dyDescent="0.25">
      <c r="A941" s="7"/>
      <c r="B941" s="7"/>
      <c r="D941" s="1"/>
      <c r="E941" s="29"/>
      <c r="I941" s="3"/>
      <c r="J941" s="17"/>
      <c r="K941" s="17"/>
      <c r="L941" s="18"/>
      <c r="M941" s="3"/>
      <c r="P941" s="3"/>
      <c r="Q941" s="4"/>
      <c r="R941" s="19"/>
      <c r="S941" s="20"/>
      <c r="U941" s="3" t="str">
        <f t="shared" si="32"/>
        <v/>
      </c>
      <c r="V941" s="4" t="str">
        <f t="shared" si="33"/>
        <v/>
      </c>
      <c r="W941" s="21" t="e" cm="1">
        <f t="array" ref="W941">_xlfn.IFS(
  A941="BELL", "WHITE",
  A941="GAMP", "ORANGE",
  A941="GAMM", "GREEN",
  A941="BWF", "YELLOW",
  OR(A941="TNBE", A941="TNBL", A941="TNBD", A941="TNWC", A941="TNBW", A941="THBS"), "PINK",
  A941="CRWD", "BLUE",
  A941="PASS", "WHITE"
)</f>
        <v>#N/A</v>
      </c>
    </row>
    <row r="942" spans="1:23" x14ac:dyDescent="0.25">
      <c r="A942" s="7"/>
      <c r="B942" s="7"/>
      <c r="D942" s="1"/>
      <c r="E942" s="1"/>
      <c r="H942" s="7"/>
      <c r="I942" s="3"/>
      <c r="J942" s="17"/>
      <c r="K942" s="17"/>
      <c r="L942" s="18"/>
      <c r="M942" s="18"/>
      <c r="P942" s="3"/>
      <c r="Q942" s="4"/>
      <c r="R942" s="19"/>
      <c r="S942" s="20"/>
      <c r="U942" s="3" t="str">
        <f t="shared" si="32"/>
        <v/>
      </c>
      <c r="V942" s="4" t="str">
        <f t="shared" si="33"/>
        <v/>
      </c>
      <c r="W942" s="21" t="e" cm="1">
        <f t="array" ref="W942">_xlfn.IFS(
  A942="BELL", "WHITE",
  A942="GAMP", "ORANGE",
  A942="GAMM", "GREEN",
  A942="BWF", "YELLOW",
  OR(A942="TNBE", A942="TNBL", A942="TNBD", A942="TNWC", A942="TNBW", A942="THBS"), "PINK",
  A942="CRWD", "BLUE",
  A942="PASS", "WHITE"
)</f>
        <v>#N/A</v>
      </c>
    </row>
    <row r="943" spans="1:23" x14ac:dyDescent="0.25">
      <c r="A943" s="7"/>
      <c r="B943" s="7"/>
      <c r="D943" s="1"/>
      <c r="E943" s="1"/>
      <c r="H943" s="7"/>
      <c r="I943" s="3"/>
      <c r="J943" s="17"/>
      <c r="K943" s="17"/>
      <c r="L943" s="18"/>
      <c r="M943" s="18"/>
      <c r="P943" s="3"/>
      <c r="Q943" s="4"/>
      <c r="R943" s="19"/>
      <c r="S943" s="20"/>
      <c r="U943" s="3" t="str">
        <f t="shared" si="32"/>
        <v/>
      </c>
      <c r="V943" s="4" t="str">
        <f t="shared" si="33"/>
        <v/>
      </c>
      <c r="W943" s="21" t="e" cm="1">
        <f t="array" ref="W943">_xlfn.IFS(
  A943="BELL", "WHITE",
  A943="GAMP", "ORANGE",
  A943="GAMM", "GREEN",
  A943="BWF", "YELLOW",
  OR(A943="TNBE", A943="TNBL", A943="TNBD", A943="TNWC", A943="TNBW", A943="THBS"), "PINK",
  A943="CRWD", "BLUE",
  A943="PASS", "WHITE"
)</f>
        <v>#N/A</v>
      </c>
    </row>
    <row r="944" spans="1:23" x14ac:dyDescent="0.25">
      <c r="A944" s="7"/>
      <c r="B944" s="7"/>
      <c r="D944" s="1"/>
      <c r="E944" s="29"/>
      <c r="I944" s="3"/>
      <c r="J944" s="17"/>
      <c r="K944" s="17"/>
      <c r="L944" s="18"/>
      <c r="M944" s="3"/>
      <c r="P944" s="3"/>
      <c r="Q944" s="4"/>
      <c r="R944" s="19"/>
      <c r="S944" s="20"/>
      <c r="U944" s="3" t="str">
        <f t="shared" si="32"/>
        <v/>
      </c>
      <c r="V944" s="4" t="str">
        <f t="shared" si="33"/>
        <v/>
      </c>
      <c r="W944" s="21" t="e" cm="1">
        <f t="array" ref="W944">_xlfn.IFS(
  A944="BELL", "WHITE",
  A944="GAMP", "ORANGE",
  A944="GAMM", "GREEN",
  A944="BWF", "YELLOW",
  OR(A944="TNBE", A944="TNBL", A944="TNBD", A944="TNWC", A944="TNBW", A944="THBS"), "PINK",
  A944="CRWD", "BLUE",
  A944="PASS", "WHITE"
)</f>
        <v>#N/A</v>
      </c>
    </row>
    <row r="945" spans="1:23" x14ac:dyDescent="0.25">
      <c r="A945" s="7"/>
      <c r="B945" s="7"/>
      <c r="D945" s="1"/>
      <c r="E945" s="29"/>
      <c r="I945" s="3"/>
      <c r="J945" s="17"/>
      <c r="K945" s="17"/>
      <c r="L945" s="18"/>
      <c r="M945" s="3"/>
      <c r="P945" s="3"/>
      <c r="Q945" s="4"/>
      <c r="R945" s="19"/>
      <c r="S945" s="20"/>
      <c r="U945" s="3" t="str">
        <f t="shared" si="32"/>
        <v/>
      </c>
      <c r="V945" s="4" t="str">
        <f t="shared" si="33"/>
        <v/>
      </c>
      <c r="W945" s="21" t="e" cm="1">
        <f t="array" ref="W945">_xlfn.IFS(
  A945="BELL", "WHITE",
  A945="GAMP", "ORANGE",
  A945="GAMM", "GREEN",
  A945="BWF", "YELLOW",
  OR(A945="TNBE", A945="TNBL", A945="TNBD", A945="TNWC", A945="TNBW", A945="THBS"), "PINK",
  A945="CRWD", "BLUE",
  A945="PASS", "WHITE"
)</f>
        <v>#N/A</v>
      </c>
    </row>
    <row r="946" spans="1:23" x14ac:dyDescent="0.25">
      <c r="A946" s="7"/>
      <c r="B946" s="7"/>
      <c r="D946" s="1"/>
      <c r="E946" s="29"/>
      <c r="I946" s="3"/>
      <c r="J946" s="17"/>
      <c r="K946" s="17"/>
      <c r="L946" s="18"/>
      <c r="M946" s="3"/>
      <c r="P946" s="3"/>
      <c r="Q946" s="4"/>
      <c r="R946" s="19"/>
      <c r="S946" s="20"/>
      <c r="U946" s="3" t="str">
        <f t="shared" si="32"/>
        <v/>
      </c>
      <c r="V946" s="4" t="str">
        <f t="shared" si="33"/>
        <v/>
      </c>
      <c r="W946" s="21" t="e" cm="1">
        <f t="array" ref="W946">_xlfn.IFS(
  A946="BELL", "WHITE",
  A946="GAMP", "ORANGE",
  A946="GAMM", "GREEN",
  A946="BWF", "YELLOW",
  OR(A946="TNBE", A946="TNBL", A946="TNBD", A946="TNWC", A946="TNBW", A946="THBS"), "PINK",
  A946="CRWD", "BLUE",
  A946="PASS", "WHITE"
)</f>
        <v>#N/A</v>
      </c>
    </row>
    <row r="947" spans="1:23" x14ac:dyDescent="0.25">
      <c r="A947" s="7"/>
      <c r="B947" s="39"/>
      <c r="D947" s="1"/>
      <c r="E947" s="1"/>
      <c r="H947" s="7"/>
      <c r="I947" s="3"/>
      <c r="J947" s="17"/>
      <c r="K947" s="17"/>
      <c r="L947" s="18"/>
      <c r="M947" s="18"/>
      <c r="P947" s="3"/>
      <c r="Q947" s="4"/>
      <c r="R947" s="19"/>
      <c r="S947" s="20"/>
      <c r="U947" s="3" t="str">
        <f t="shared" si="32"/>
        <v/>
      </c>
      <c r="V947" s="4" t="str">
        <f t="shared" si="33"/>
        <v/>
      </c>
      <c r="W947" s="21" t="e" cm="1">
        <f t="array" ref="W947">_xlfn.IFS(
  A947="BELL", "WHITE",
  A947="GAMP", "ORANGE",
  A947="GAMM", "GREEN",
  A947="BWF", "YELLOW",
  OR(A947="TNBE", A947="TNBL", A947="TNBD", A947="TNWC", A947="TNBW", A947="THBS"), "PINK",
  A947="CRWD", "BLUE",
  A947="PASS", "WHITE"
)</f>
        <v>#N/A</v>
      </c>
    </row>
    <row r="948" spans="1:23" x14ac:dyDescent="0.25">
      <c r="A948" s="7"/>
      <c r="B948" s="7"/>
      <c r="D948" s="1"/>
      <c r="E948" s="29"/>
      <c r="I948" s="3"/>
      <c r="J948" s="17"/>
      <c r="K948" s="17"/>
      <c r="L948" s="18"/>
      <c r="M948" s="3"/>
      <c r="P948" s="3"/>
      <c r="Q948" s="4"/>
      <c r="R948" s="19"/>
      <c r="S948" s="20"/>
      <c r="U948" s="3" t="str">
        <f t="shared" si="32"/>
        <v/>
      </c>
      <c r="V948" s="4" t="str">
        <f t="shared" si="33"/>
        <v/>
      </c>
      <c r="W948" s="21" t="e" cm="1">
        <f t="array" ref="W948">_xlfn.IFS(
  A948="BELL", "WHITE",
  A948="GAMP", "ORANGE",
  A948="GAMM", "GREEN",
  A948="BWF", "YELLOW",
  OR(A948="TNBE", A948="TNBL", A948="TNBD", A948="TNWC", A948="TNBW", A948="THBS"), "PINK",
  A948="CRWD", "BLUE",
  A948="PASS", "WHITE"
)</f>
        <v>#N/A</v>
      </c>
    </row>
    <row r="949" spans="1:23" x14ac:dyDescent="0.25">
      <c r="A949" s="7"/>
      <c r="B949" s="7"/>
      <c r="D949" s="1"/>
      <c r="E949" s="1"/>
      <c r="H949" s="7"/>
      <c r="I949" s="3"/>
      <c r="J949" s="17"/>
      <c r="K949" s="17"/>
      <c r="L949" s="18"/>
      <c r="M949" s="18"/>
      <c r="P949" s="3"/>
      <c r="Q949" s="4"/>
      <c r="R949" s="19"/>
      <c r="S949" s="20"/>
      <c r="U949" s="3" t="str">
        <f t="shared" si="32"/>
        <v/>
      </c>
      <c r="V949" s="4" t="str">
        <f t="shared" si="33"/>
        <v/>
      </c>
      <c r="W949" s="21" t="e" cm="1">
        <f t="array" ref="W949">_xlfn.IFS(
  A949="BELL", "WHITE",
  A949="GAMP", "ORANGE",
  A949="GAMM", "GREEN",
  A949="BWF", "YELLOW",
  OR(A949="TNBE", A949="TNBL", A949="TNBD", A949="TNWC", A949="TNBW", A949="THBS"), "PINK",
  A949="CRWD", "BLUE",
  A949="PASS", "WHITE"
)</f>
        <v>#N/A</v>
      </c>
    </row>
    <row r="950" spans="1:23" x14ac:dyDescent="0.25">
      <c r="A950" s="7"/>
      <c r="B950" s="7"/>
      <c r="D950" s="1"/>
      <c r="E950" s="1"/>
      <c r="H950" s="7"/>
      <c r="I950" s="3"/>
      <c r="J950" s="17"/>
      <c r="K950" s="17"/>
      <c r="L950" s="18"/>
      <c r="M950" s="18"/>
      <c r="P950" s="3"/>
      <c r="Q950" s="4"/>
      <c r="R950" s="19"/>
      <c r="S950" s="20"/>
      <c r="U950" s="3" t="str">
        <f t="shared" si="32"/>
        <v/>
      </c>
      <c r="V950" s="4" t="str">
        <f t="shared" si="33"/>
        <v/>
      </c>
      <c r="W950" s="21" t="e" cm="1">
        <f t="array" ref="W950">_xlfn.IFS(
  A950="BELL", "WHITE",
  A950="GAMP", "ORANGE",
  A950="GAMM", "GREEN",
  A950="BWF", "YELLOW",
  OR(A950="TNBE", A950="TNBL", A950="TNBD", A950="TNWC", A950="TNBW", A950="THBS"), "PINK",
  A950="CRWD", "BLUE",
  A950="PASS", "WHITE"
)</f>
        <v>#N/A</v>
      </c>
    </row>
    <row r="951" spans="1:23" x14ac:dyDescent="0.25">
      <c r="A951" s="7"/>
      <c r="B951" s="7"/>
      <c r="D951" s="1"/>
      <c r="I951" s="3"/>
      <c r="J951" s="17"/>
      <c r="K951" s="17"/>
      <c r="L951" s="18"/>
      <c r="M951" s="3"/>
      <c r="P951" s="3"/>
      <c r="Q951" s="4"/>
      <c r="R951" s="19"/>
      <c r="S951" s="20"/>
      <c r="U951" s="3" t="str">
        <f t="shared" si="32"/>
        <v/>
      </c>
      <c r="V951" s="4" t="str">
        <f t="shared" si="33"/>
        <v/>
      </c>
      <c r="W951" s="21" t="e" cm="1">
        <f t="array" ref="W951">_xlfn.IFS(
  A951="BELL", "WHITE",
  A951="GAMP", "ORANGE",
  A951="GAMM", "GREEN",
  A951="BWF", "YELLOW",
  OR(A951="TNBE", A951="TNBL", A951="TNBD", A951="TNWC", A951="TNBW", A951="THBS"), "PINK",
  A951="CRWD", "BLUE",
  A951="PASS", "WHITE"
)</f>
        <v>#N/A</v>
      </c>
    </row>
    <row r="952" spans="1:23" x14ac:dyDescent="0.25">
      <c r="A952" s="7"/>
      <c r="B952" s="7"/>
      <c r="D952" s="1"/>
      <c r="H952" s="7"/>
      <c r="I952" s="3"/>
      <c r="J952" s="17"/>
      <c r="K952" s="17"/>
      <c r="L952" s="18"/>
      <c r="M952" s="18"/>
      <c r="P952" s="3"/>
      <c r="Q952" s="4"/>
      <c r="R952" s="19"/>
      <c r="S952" s="20"/>
      <c r="U952" s="3" t="str">
        <f t="shared" si="32"/>
        <v/>
      </c>
      <c r="V952" s="4" t="str">
        <f t="shared" si="33"/>
        <v/>
      </c>
      <c r="W952" s="21" t="e" cm="1">
        <f t="array" ref="W952">_xlfn.IFS(
  A952="BELL", "WHITE",
  A952="GAMP", "ORANGE",
  A952="GAMM", "GREEN",
  A952="BWF", "YELLOW",
  OR(A952="TNBE", A952="TNBL", A952="TNBD", A952="TNWC", A952="TNBW", A952="THBS"), "PINK",
  A952="CRWD", "BLUE",
  A952="PASS", "WHITE"
)</f>
        <v>#N/A</v>
      </c>
    </row>
    <row r="953" spans="1:23" x14ac:dyDescent="0.25">
      <c r="A953" s="7"/>
      <c r="B953" s="7"/>
      <c r="D953" s="1"/>
      <c r="H953" s="7"/>
      <c r="I953" s="3"/>
      <c r="J953" s="17"/>
      <c r="K953" s="17"/>
      <c r="L953" s="18"/>
      <c r="M953" s="18"/>
      <c r="P953" s="3"/>
      <c r="Q953" s="4"/>
      <c r="R953" s="19"/>
      <c r="S953" s="20"/>
      <c r="U953" s="3" t="str">
        <f t="shared" si="32"/>
        <v/>
      </c>
      <c r="V953" s="4" t="str">
        <f t="shared" si="33"/>
        <v/>
      </c>
      <c r="W953" s="21" t="e" cm="1">
        <f t="array" ref="W953">_xlfn.IFS(
  A953="BELL", "WHITE",
  A953="GAMP", "ORANGE",
  A953="GAMM", "GREEN",
  A953="BWF", "YELLOW",
  OR(A953="TNBE", A953="TNBL", A953="TNBD", A953="TNWC", A953="TNBW", A953="THBS"), "PINK",
  A953="CRWD", "BLUE",
  A953="PASS", "WHITE"
)</f>
        <v>#N/A</v>
      </c>
    </row>
    <row r="954" spans="1:23" x14ac:dyDescent="0.25">
      <c r="A954" s="7"/>
      <c r="B954" s="7"/>
      <c r="D954" s="1"/>
      <c r="H954" s="7"/>
      <c r="I954" s="3"/>
      <c r="J954" s="17"/>
      <c r="K954" s="17"/>
      <c r="L954" s="18"/>
      <c r="M954" s="18"/>
      <c r="P954" s="3"/>
      <c r="Q954" s="4"/>
      <c r="R954" s="19"/>
      <c r="S954" s="20"/>
      <c r="U954" s="3" t="str">
        <f t="shared" si="32"/>
        <v/>
      </c>
      <c r="V954" s="4" t="str">
        <f t="shared" si="33"/>
        <v/>
      </c>
      <c r="W954" s="21" t="e" cm="1">
        <f t="array" ref="W954">_xlfn.IFS(
  A954="BELL", "WHITE",
  A954="GAMP", "ORANGE",
  A954="GAMM", "GREEN",
  A954="BWF", "YELLOW",
  OR(A954="TNBE", A954="TNBL", A954="TNBD", A954="TNWC", A954="TNBW", A954="THBS"), "PINK",
  A954="CRWD", "BLUE",
  A954="PASS", "WHITE"
)</f>
        <v>#N/A</v>
      </c>
    </row>
    <row r="955" spans="1:23" x14ac:dyDescent="0.25">
      <c r="A955" s="7"/>
      <c r="B955" s="7"/>
      <c r="D955" s="1"/>
      <c r="H955" s="7"/>
      <c r="I955" s="3"/>
      <c r="J955" s="17"/>
      <c r="K955" s="17"/>
      <c r="L955" s="18"/>
      <c r="M955" s="18"/>
      <c r="P955" s="3"/>
      <c r="Q955" s="4"/>
      <c r="R955" s="19"/>
      <c r="S955" s="20"/>
      <c r="U955" s="3" t="str">
        <f t="shared" si="32"/>
        <v/>
      </c>
      <c r="V955" s="4" t="str">
        <f t="shared" si="33"/>
        <v/>
      </c>
      <c r="W955" s="21" t="e" cm="1">
        <f t="array" ref="W955">_xlfn.IFS(
  A955="BELL", "WHITE",
  A955="GAMP", "ORANGE",
  A955="GAMM", "GREEN",
  A955="BWF", "YELLOW",
  OR(A955="TNBE", A955="TNBL", A955="TNBD", A955="TNWC", A955="TNBW", A955="THBS"), "PINK",
  A955="CRWD", "BLUE",
  A955="PASS", "WHITE"
)</f>
        <v>#N/A</v>
      </c>
    </row>
    <row r="956" spans="1:23" x14ac:dyDescent="0.25">
      <c r="A956" s="7"/>
      <c r="B956" s="7"/>
      <c r="D956" s="1"/>
      <c r="H956" s="7"/>
      <c r="I956" s="3"/>
      <c r="J956" s="17"/>
      <c r="K956" s="17"/>
      <c r="L956" s="18"/>
      <c r="M956" s="18"/>
      <c r="P956" s="3"/>
      <c r="Q956" s="4"/>
      <c r="R956" s="19"/>
      <c r="S956" s="20"/>
      <c r="U956" s="3" t="str">
        <f t="shared" si="32"/>
        <v/>
      </c>
      <c r="V956" s="4" t="str">
        <f t="shared" si="33"/>
        <v/>
      </c>
      <c r="W956" s="21" t="e" cm="1">
        <f t="array" ref="W956">_xlfn.IFS(
  A956="BELL", "WHITE",
  A956="GAMP", "ORANGE",
  A956="GAMM", "GREEN",
  A956="BWF", "YELLOW",
  OR(A956="TNBE", A956="TNBL", A956="TNBD", A956="TNWC", A956="TNBW", A956="THBS"), "PINK",
  A956="CRWD", "BLUE",
  A956="PASS", "WHITE"
)</f>
        <v>#N/A</v>
      </c>
    </row>
    <row r="957" spans="1:23" x14ac:dyDescent="0.25">
      <c r="A957" s="7"/>
      <c r="B957" s="7"/>
      <c r="D957" s="1"/>
      <c r="H957" s="7"/>
      <c r="I957" s="3"/>
      <c r="J957" s="17"/>
      <c r="K957" s="17"/>
      <c r="L957" s="18"/>
      <c r="M957" s="18"/>
      <c r="P957" s="3"/>
      <c r="Q957" s="4"/>
      <c r="R957" s="19"/>
      <c r="S957" s="20"/>
      <c r="U957" s="3" t="str">
        <f t="shared" si="32"/>
        <v/>
      </c>
      <c r="V957" s="4" t="str">
        <f t="shared" si="33"/>
        <v/>
      </c>
      <c r="W957" s="21" t="e" cm="1">
        <f t="array" ref="W957">_xlfn.IFS(
  A957="BELL", "WHITE",
  A957="GAMP", "ORANGE",
  A957="GAMM", "GREEN",
  A957="BWF", "YELLOW",
  OR(A957="TNBE", A957="TNBL", A957="TNBD", A957="TNWC", A957="TNBW", A957="THBS"), "PINK",
  A957="CRWD", "BLUE",
  A957="PASS", "WHITE"
)</f>
        <v>#N/A</v>
      </c>
    </row>
    <row r="958" spans="1:23" x14ac:dyDescent="0.25">
      <c r="A958" s="7"/>
      <c r="B958" s="7"/>
      <c r="D958" s="1"/>
      <c r="H958" s="7"/>
      <c r="I958" s="3"/>
      <c r="J958" s="17"/>
      <c r="K958" s="17"/>
      <c r="L958" s="18"/>
      <c r="M958" s="18"/>
      <c r="P958" s="3"/>
      <c r="Q958" s="4"/>
      <c r="R958" s="19"/>
      <c r="S958" s="20"/>
      <c r="U958" s="3" t="str">
        <f t="shared" si="32"/>
        <v/>
      </c>
      <c r="V958" s="4" t="str">
        <f t="shared" si="33"/>
        <v/>
      </c>
      <c r="W958" s="21" t="e" cm="1">
        <f t="array" ref="W958">_xlfn.IFS(
  A958="BELL", "WHITE",
  A958="GAMP", "ORANGE",
  A958="GAMM", "GREEN",
  A958="BWF", "YELLOW",
  OR(A958="TNBE", A958="TNBL", A958="TNBD", A958="TNWC", A958="TNBW", A958="THBS"), "PINK",
  A958="CRWD", "BLUE",
  A958="PASS", "WHITE"
)</f>
        <v>#N/A</v>
      </c>
    </row>
    <row r="959" spans="1:23" x14ac:dyDescent="0.25">
      <c r="A959" s="7"/>
      <c r="B959" s="7"/>
      <c r="D959" s="1"/>
      <c r="H959" s="7"/>
      <c r="I959" s="3"/>
      <c r="J959" s="17"/>
      <c r="K959" s="17"/>
      <c r="L959" s="18"/>
      <c r="M959" s="18"/>
      <c r="P959" s="3"/>
      <c r="Q959" s="4"/>
      <c r="R959" s="19"/>
      <c r="S959" s="20"/>
      <c r="U959" s="3" t="str">
        <f t="shared" si="32"/>
        <v/>
      </c>
      <c r="V959" s="4" t="str">
        <f t="shared" si="33"/>
        <v/>
      </c>
      <c r="W959" s="21" t="e" cm="1">
        <f t="array" ref="W959">_xlfn.IFS(
  A959="BELL", "WHITE",
  A959="GAMP", "ORANGE",
  A959="GAMM", "GREEN",
  A959="BWF", "YELLOW",
  OR(A959="TNBE", A959="TNBL", A959="TNBD", A959="TNWC", A959="TNBW", A959="THBS"), "PINK",
  A959="CRWD", "BLUE",
  A959="PASS", "WHITE"
)</f>
        <v>#N/A</v>
      </c>
    </row>
    <row r="960" spans="1:23" x14ac:dyDescent="0.25">
      <c r="A960" s="7"/>
      <c r="B960" s="7"/>
      <c r="D960" s="1"/>
      <c r="H960" s="7"/>
      <c r="I960" s="3"/>
      <c r="J960" s="17"/>
      <c r="K960" s="17"/>
      <c r="L960" s="18"/>
      <c r="M960" s="18"/>
      <c r="P960" s="3"/>
      <c r="Q960" s="4"/>
      <c r="R960" s="19"/>
      <c r="S960" s="20"/>
      <c r="U960" s="3" t="str">
        <f t="shared" si="32"/>
        <v/>
      </c>
      <c r="V960" s="4" t="str">
        <f t="shared" si="33"/>
        <v/>
      </c>
      <c r="W960" s="21" t="e" cm="1">
        <f t="array" ref="W960">_xlfn.IFS(
  A960="BELL", "WHITE",
  A960="GAMP", "ORANGE",
  A960="GAMM", "GREEN",
  A960="BWF", "YELLOW",
  OR(A960="TNBE", A960="TNBL", A960="TNBD", A960="TNWC", A960="TNBW", A960="THBS"), "PINK",
  A960="CRWD", "BLUE",
  A960="PASS", "WHITE"
)</f>
        <v>#N/A</v>
      </c>
    </row>
    <row r="961" spans="1:23" x14ac:dyDescent="0.25">
      <c r="A961" s="7"/>
      <c r="B961" s="7"/>
      <c r="D961" s="1"/>
      <c r="H961" s="7"/>
      <c r="I961" s="3"/>
      <c r="J961" s="17"/>
      <c r="K961" s="17"/>
      <c r="L961" s="18"/>
      <c r="M961" s="18"/>
      <c r="P961" s="3"/>
      <c r="Q961" s="4"/>
      <c r="R961" s="19"/>
      <c r="S961" s="20"/>
      <c r="U961" s="3" t="str">
        <f t="shared" si="32"/>
        <v/>
      </c>
      <c r="V961" s="4" t="str">
        <f t="shared" si="33"/>
        <v/>
      </c>
      <c r="W961" s="21" t="e" cm="1">
        <f t="array" ref="W961">_xlfn.IFS(
  A961="BELL", "WHITE",
  A961="GAMP", "ORANGE",
  A961="GAMM", "GREEN",
  A961="BWF", "YELLOW",
  OR(A961="TNBE", A961="TNBL", A961="TNBD", A961="TNWC", A961="TNBW", A961="THBS"), "PINK",
  A961="CRWD", "BLUE",
  A961="PASS", "WHITE"
)</f>
        <v>#N/A</v>
      </c>
    </row>
    <row r="962" spans="1:23" x14ac:dyDescent="0.25">
      <c r="A962" s="7"/>
      <c r="B962" s="7"/>
      <c r="D962" s="1"/>
      <c r="H962" s="7"/>
      <c r="I962" s="3"/>
      <c r="J962" s="17"/>
      <c r="K962" s="17"/>
      <c r="L962" s="18"/>
      <c r="M962" s="18"/>
      <c r="P962" s="3"/>
      <c r="Q962" s="4"/>
      <c r="R962" s="19"/>
      <c r="S962" s="20"/>
      <c r="U962" s="3" t="str">
        <f t="shared" si="32"/>
        <v/>
      </c>
      <c r="V962" s="4" t="str">
        <f t="shared" si="33"/>
        <v/>
      </c>
      <c r="W962" s="21" t="e" cm="1">
        <f t="array" ref="W962">_xlfn.IFS(
  A962="BELL", "WHITE",
  A962="GAMP", "ORANGE",
  A962="GAMM", "GREEN",
  A962="BWF", "YELLOW",
  OR(A962="TNBE", A962="TNBL", A962="TNBD", A962="TNWC", A962="TNBW", A962="THBS"), "PINK",
  A962="CRWD", "BLUE",
  A962="PASS", "WHITE"
)</f>
        <v>#N/A</v>
      </c>
    </row>
    <row r="963" spans="1:23" x14ac:dyDescent="0.25">
      <c r="A963" s="7"/>
      <c r="B963" s="7"/>
      <c r="D963" s="1"/>
      <c r="H963" s="7"/>
      <c r="I963" s="3"/>
      <c r="J963" s="17"/>
      <c r="K963" s="17"/>
      <c r="L963" s="18"/>
      <c r="M963" s="18"/>
      <c r="P963" s="3"/>
      <c r="Q963" s="4"/>
      <c r="R963" s="19"/>
      <c r="S963" s="20"/>
      <c r="U963" s="3" t="str">
        <f t="shared" si="32"/>
        <v/>
      </c>
      <c r="V963" s="4" t="str">
        <f t="shared" si="33"/>
        <v/>
      </c>
      <c r="W963" s="21" t="e" cm="1">
        <f t="array" ref="W963">_xlfn.IFS(
  A963="BELL", "WHITE",
  A963="GAMP", "ORANGE",
  A963="GAMM", "GREEN",
  A963="BWF", "YELLOW",
  OR(A963="TNBE", A963="TNBL", A963="TNBD", A963="TNWC", A963="TNBW", A963="THBS"), "PINK",
  A963="CRWD", "BLUE",
  A963="PASS", "WHITE"
)</f>
        <v>#N/A</v>
      </c>
    </row>
    <row r="964" spans="1:23" x14ac:dyDescent="0.25">
      <c r="A964" s="7"/>
      <c r="B964" s="7"/>
      <c r="D964" s="1"/>
      <c r="H964" s="7"/>
      <c r="I964" s="3"/>
      <c r="J964" s="17"/>
      <c r="K964" s="17"/>
      <c r="L964" s="18"/>
      <c r="M964" s="18"/>
      <c r="P964" s="3"/>
      <c r="Q964" s="4"/>
      <c r="R964" s="19"/>
      <c r="S964" s="20"/>
      <c r="U964" s="3" t="str">
        <f t="shared" ref="U964:U1027" si="34">IF(T964="","",IF(T964&gt;I964,H964,T964/G964))</f>
        <v/>
      </c>
      <c r="V964" s="4" t="str">
        <f t="shared" ref="V964:V1027" si="35">IF(T964&gt;I964,T964-I964,"")</f>
        <v/>
      </c>
      <c r="W964" s="21" t="e" cm="1">
        <f t="array" ref="W964">_xlfn.IFS(
  A964="BELL", "WHITE",
  A964="GAMP", "ORANGE",
  A964="GAMM", "GREEN",
  A964="BWF", "YELLOW",
  OR(A964="TNBE", A964="TNBL", A964="TNBD", A964="TNWC", A964="TNBW", A964="THBS"), "PINK",
  A964="CRWD", "BLUE",
  A964="PASS", "WHITE"
)</f>
        <v>#N/A</v>
      </c>
    </row>
    <row r="965" spans="1:23" x14ac:dyDescent="0.25">
      <c r="A965" s="7"/>
      <c r="B965" s="7"/>
      <c r="D965" s="1"/>
      <c r="H965" s="7"/>
      <c r="I965" s="3"/>
      <c r="J965" s="17"/>
      <c r="K965" s="17"/>
      <c r="L965" s="18"/>
      <c r="M965" s="18"/>
      <c r="P965" s="3"/>
      <c r="Q965" s="4"/>
      <c r="R965" s="19"/>
      <c r="S965" s="20"/>
      <c r="U965" s="3" t="str">
        <f t="shared" si="34"/>
        <v/>
      </c>
      <c r="V965" s="4" t="str">
        <f t="shared" si="35"/>
        <v/>
      </c>
      <c r="W965" s="21" t="e" cm="1">
        <f t="array" ref="W965">_xlfn.IFS(
  A965="BELL", "WHITE",
  A965="GAMP", "ORANGE",
  A965="GAMM", "GREEN",
  A965="BWF", "YELLOW",
  OR(A965="TNBE", A965="TNBL", A965="TNBD", A965="TNWC", A965="TNBW", A965="THBS"), "PINK",
  A965="CRWD", "BLUE",
  A965="PASS", "WHITE"
)</f>
        <v>#N/A</v>
      </c>
    </row>
    <row r="966" spans="1:23" x14ac:dyDescent="0.25">
      <c r="A966" s="7"/>
      <c r="B966" s="7"/>
      <c r="D966" s="1"/>
      <c r="H966" s="7"/>
      <c r="I966" s="3"/>
      <c r="J966" s="17"/>
      <c r="K966" s="17"/>
      <c r="L966" s="18"/>
      <c r="M966" s="18"/>
      <c r="P966" s="3"/>
      <c r="Q966" s="4"/>
      <c r="R966" s="19"/>
      <c r="S966" s="20"/>
      <c r="U966" s="3" t="str">
        <f t="shared" si="34"/>
        <v/>
      </c>
      <c r="V966" s="4" t="str">
        <f t="shared" si="35"/>
        <v/>
      </c>
      <c r="W966" s="21" t="e" cm="1">
        <f t="array" ref="W966">_xlfn.IFS(
  A966="BELL", "WHITE",
  A966="GAMP", "ORANGE",
  A966="GAMM", "GREEN",
  A966="BWF", "YELLOW",
  OR(A966="TNBE", A966="TNBL", A966="TNBD", A966="TNWC", A966="TNBW", A966="THBS"), "PINK",
  A966="CRWD", "BLUE",
  A966="PASS", "WHITE"
)</f>
        <v>#N/A</v>
      </c>
    </row>
    <row r="967" spans="1:23" x14ac:dyDescent="0.25">
      <c r="A967" s="7"/>
      <c r="B967" s="7"/>
      <c r="D967" s="1"/>
      <c r="H967" s="7"/>
      <c r="I967" s="3"/>
      <c r="J967" s="17"/>
      <c r="K967" s="17"/>
      <c r="L967" s="18"/>
      <c r="M967" s="18"/>
      <c r="P967" s="3"/>
      <c r="Q967" s="4"/>
      <c r="R967" s="19"/>
      <c r="S967" s="20"/>
      <c r="U967" s="3" t="str">
        <f t="shared" si="34"/>
        <v/>
      </c>
      <c r="V967" s="4" t="str">
        <f t="shared" si="35"/>
        <v/>
      </c>
      <c r="W967" s="21" t="e" cm="1">
        <f t="array" ref="W967">_xlfn.IFS(
  A967="BELL", "WHITE",
  A967="GAMP", "ORANGE",
  A967="GAMM", "GREEN",
  A967="BWF", "YELLOW",
  OR(A967="TNBE", A967="TNBL", A967="TNBD", A967="TNWC", A967="TNBW", A967="THBS"), "PINK",
  A967="CRWD", "BLUE",
  A967="PASS", "WHITE"
)</f>
        <v>#N/A</v>
      </c>
    </row>
    <row r="968" spans="1:23" x14ac:dyDescent="0.25">
      <c r="A968" s="7"/>
      <c r="B968" s="7"/>
      <c r="D968" s="1"/>
      <c r="H968" s="7"/>
      <c r="I968" s="3"/>
      <c r="J968" s="17"/>
      <c r="K968" s="17"/>
      <c r="L968" s="18"/>
      <c r="M968" s="18"/>
      <c r="P968" s="3"/>
      <c r="Q968" s="4"/>
      <c r="R968" s="19"/>
      <c r="S968" s="20"/>
      <c r="U968" s="3" t="str">
        <f t="shared" si="34"/>
        <v/>
      </c>
      <c r="V968" s="4" t="str">
        <f t="shared" si="35"/>
        <v/>
      </c>
      <c r="W968" s="21" t="e" cm="1">
        <f t="array" ref="W968">_xlfn.IFS(
  A968="BELL", "WHITE",
  A968="GAMP", "ORANGE",
  A968="GAMM", "GREEN",
  A968="BWF", "YELLOW",
  OR(A968="TNBE", A968="TNBL", A968="TNBD", A968="TNWC", A968="TNBW", A968="THBS"), "PINK",
  A968="CRWD", "BLUE",
  A968="PASS", "WHITE"
)</f>
        <v>#N/A</v>
      </c>
    </row>
    <row r="969" spans="1:23" x14ac:dyDescent="0.25">
      <c r="A969" s="7"/>
      <c r="B969" s="7"/>
      <c r="D969" s="1"/>
      <c r="H969" s="7"/>
      <c r="I969" s="3"/>
      <c r="J969" s="17"/>
      <c r="K969" s="17"/>
      <c r="L969" s="18"/>
      <c r="M969" s="18"/>
      <c r="P969" s="3"/>
      <c r="Q969" s="4"/>
      <c r="R969" s="19"/>
      <c r="S969" s="20"/>
      <c r="U969" s="3" t="str">
        <f t="shared" si="34"/>
        <v/>
      </c>
      <c r="V969" s="4" t="str">
        <f t="shared" si="35"/>
        <v/>
      </c>
      <c r="W969" s="21" t="e" cm="1">
        <f t="array" ref="W969">_xlfn.IFS(
  A969="BELL", "WHITE",
  A969="GAMP", "ORANGE",
  A969="GAMM", "GREEN",
  A969="BWF", "YELLOW",
  OR(A969="TNBE", A969="TNBL", A969="TNBD", A969="TNWC", A969="TNBW", A969="THBS"), "PINK",
  A969="CRWD", "BLUE",
  A969="PASS", "WHITE"
)</f>
        <v>#N/A</v>
      </c>
    </row>
    <row r="970" spans="1:23" x14ac:dyDescent="0.25">
      <c r="A970" s="7"/>
      <c r="B970" s="7"/>
      <c r="D970" s="1"/>
      <c r="H970" s="7"/>
      <c r="I970" s="3"/>
      <c r="J970" s="17"/>
      <c r="K970" s="17"/>
      <c r="L970" s="18"/>
      <c r="M970" s="18"/>
      <c r="P970" s="3"/>
      <c r="Q970" s="4"/>
      <c r="R970" s="19"/>
      <c r="S970" s="20"/>
      <c r="U970" s="3" t="str">
        <f t="shared" si="34"/>
        <v/>
      </c>
      <c r="V970" s="4" t="str">
        <f t="shared" si="35"/>
        <v/>
      </c>
      <c r="W970" s="21" t="e" cm="1">
        <f t="array" ref="W970">_xlfn.IFS(
  A970="BELL", "WHITE",
  A970="GAMP", "ORANGE",
  A970="GAMM", "GREEN",
  A970="BWF", "YELLOW",
  OR(A970="TNBE", A970="TNBL", A970="TNBD", A970="TNWC", A970="TNBW", A970="THBS"), "PINK",
  A970="CRWD", "BLUE",
  A970="PASS", "WHITE"
)</f>
        <v>#N/A</v>
      </c>
    </row>
    <row r="971" spans="1:23" x14ac:dyDescent="0.25">
      <c r="A971" s="7"/>
      <c r="B971" s="7"/>
      <c r="D971" s="1"/>
      <c r="H971" s="7"/>
      <c r="I971" s="3"/>
      <c r="J971" s="17"/>
      <c r="K971" s="17"/>
      <c r="L971" s="18"/>
      <c r="M971" s="18"/>
      <c r="P971" s="3"/>
      <c r="Q971" s="4"/>
      <c r="R971" s="19"/>
      <c r="S971" s="20"/>
      <c r="U971" s="3" t="str">
        <f t="shared" si="34"/>
        <v/>
      </c>
      <c r="V971" s="4" t="str">
        <f t="shared" si="35"/>
        <v/>
      </c>
      <c r="W971" s="21" t="e" cm="1">
        <f t="array" ref="W971">_xlfn.IFS(
  A971="BELL", "WHITE",
  A971="GAMP", "ORANGE",
  A971="GAMM", "GREEN",
  A971="BWF", "YELLOW",
  OR(A971="TNBE", A971="TNBL", A971="TNBD", A971="TNWC", A971="TNBW", A971="THBS"), "PINK",
  A971="CRWD", "BLUE",
  A971="PASS", "WHITE"
)</f>
        <v>#N/A</v>
      </c>
    </row>
    <row r="972" spans="1:23" x14ac:dyDescent="0.25">
      <c r="A972" s="7"/>
      <c r="B972" s="7"/>
      <c r="D972" s="1"/>
      <c r="H972" s="7"/>
      <c r="I972" s="3"/>
      <c r="J972" s="17"/>
      <c r="K972" s="17"/>
      <c r="L972" s="18"/>
      <c r="M972" s="18"/>
      <c r="P972" s="3"/>
      <c r="Q972" s="4"/>
      <c r="R972" s="19"/>
      <c r="S972" s="20"/>
      <c r="U972" s="3" t="str">
        <f t="shared" si="34"/>
        <v/>
      </c>
      <c r="V972" s="4" t="str">
        <f t="shared" si="35"/>
        <v/>
      </c>
      <c r="W972" s="21" t="e" cm="1">
        <f t="array" ref="W972">_xlfn.IFS(
  A972="BELL", "WHITE",
  A972="GAMP", "ORANGE",
  A972="GAMM", "GREEN",
  A972="BWF", "YELLOW",
  OR(A972="TNBE", A972="TNBL", A972="TNBD", A972="TNWC", A972="TNBW", A972="THBS"), "PINK",
  A972="CRWD", "BLUE",
  A972="PASS", "WHITE"
)</f>
        <v>#N/A</v>
      </c>
    </row>
    <row r="973" spans="1:23" x14ac:dyDescent="0.25">
      <c r="A973" s="7"/>
      <c r="B973" s="7"/>
      <c r="D973" s="1"/>
      <c r="H973" s="7"/>
      <c r="I973" s="3"/>
      <c r="J973" s="17"/>
      <c r="K973" s="17"/>
      <c r="L973" s="18"/>
      <c r="M973" s="18"/>
      <c r="P973" s="3"/>
      <c r="Q973" s="4"/>
      <c r="R973" s="19"/>
      <c r="S973" s="20"/>
      <c r="U973" s="3" t="str">
        <f t="shared" si="34"/>
        <v/>
      </c>
      <c r="V973" s="4" t="str">
        <f t="shared" si="35"/>
        <v/>
      </c>
      <c r="W973" s="21" t="e" cm="1">
        <f t="array" ref="W973">_xlfn.IFS(
  A973="BELL", "WHITE",
  A973="GAMP", "ORANGE",
  A973="GAMM", "GREEN",
  A973="BWF", "YELLOW",
  OR(A973="TNBE", A973="TNBL", A973="TNBD", A973="TNWC", A973="TNBW", A973="THBS"), "PINK",
  A973="CRWD", "BLUE",
  A973="PASS", "WHITE"
)</f>
        <v>#N/A</v>
      </c>
    </row>
    <row r="974" spans="1:23" x14ac:dyDescent="0.25">
      <c r="A974" s="7"/>
      <c r="B974" s="26"/>
      <c r="D974" s="40"/>
      <c r="E974" s="40"/>
      <c r="I974" s="3"/>
      <c r="J974" s="17"/>
      <c r="K974" s="17"/>
      <c r="L974" s="18"/>
      <c r="M974" s="18"/>
      <c r="P974" s="3"/>
      <c r="Q974" s="4"/>
      <c r="R974" s="19"/>
      <c r="S974" s="20"/>
      <c r="U974" s="3" t="str">
        <f t="shared" si="34"/>
        <v/>
      </c>
      <c r="V974" s="4" t="str">
        <f t="shared" si="35"/>
        <v/>
      </c>
      <c r="W974" s="21" t="e" cm="1">
        <f t="array" ref="W974">_xlfn.IFS(
  A974="BELL", "WHITE",
  A974="GAMP", "ORANGE",
  A974="GAMM", "GREEN",
  A974="BWF", "YELLOW",
  OR(A974="TNBE", A974="TNBL", A974="TNBD", A974="TNWC", A974="TNBW", A974="THBS"), "PINK",
  A974="CRWD", "BLUE",
  A974="PASS", "WHITE"
)</f>
        <v>#N/A</v>
      </c>
    </row>
    <row r="975" spans="1:23" x14ac:dyDescent="0.25">
      <c r="A975" s="7"/>
      <c r="B975" s="27"/>
      <c r="D975" s="40"/>
      <c r="E975" s="40"/>
      <c r="I975" s="3"/>
      <c r="J975" s="17"/>
      <c r="K975" s="17"/>
      <c r="L975" s="18"/>
      <c r="M975" s="18"/>
      <c r="P975" s="3"/>
      <c r="Q975" s="4"/>
      <c r="R975" s="19"/>
      <c r="S975" s="20"/>
      <c r="U975" s="3" t="str">
        <f t="shared" si="34"/>
        <v/>
      </c>
      <c r="V975" s="4" t="str">
        <f t="shared" si="35"/>
        <v/>
      </c>
      <c r="W975" s="21" t="e" cm="1">
        <f t="array" ref="W975">_xlfn.IFS(
  A975="BELL", "WHITE",
  A975="GAMP", "ORANGE",
  A975="GAMM", "GREEN",
  A975="BWF", "YELLOW",
  OR(A975="TNBE", A975="TNBL", A975="TNBD", A975="TNWC", A975="TNBW", A975="THBS"), "PINK",
  A975="CRWD", "BLUE",
  A975="PASS", "WHITE"
)</f>
        <v>#N/A</v>
      </c>
    </row>
    <row r="976" spans="1:23" x14ac:dyDescent="0.25">
      <c r="A976" s="7"/>
      <c r="B976" s="7"/>
      <c r="D976" s="1"/>
      <c r="H976" s="7"/>
      <c r="I976" s="3"/>
      <c r="J976" s="17"/>
      <c r="K976" s="17"/>
      <c r="L976" s="18"/>
      <c r="M976" s="18"/>
      <c r="P976" s="3"/>
      <c r="Q976" s="4"/>
      <c r="R976" s="19"/>
      <c r="S976" s="20"/>
      <c r="U976" s="3" t="str">
        <f t="shared" si="34"/>
        <v/>
      </c>
      <c r="V976" s="4" t="str">
        <f t="shared" si="35"/>
        <v/>
      </c>
      <c r="W976" s="21" t="e" cm="1">
        <f t="array" ref="W976">_xlfn.IFS(
  A976="BELL", "WHITE",
  A976="GAMP", "ORANGE",
  A976="GAMM", "GREEN",
  A976="BWF", "YELLOW",
  OR(A976="TNBE", A976="TNBL", A976="TNBD", A976="TNWC", A976="TNBW", A976="THBS"), "PINK",
  A976="CRWD", "BLUE",
  A976="PASS", "WHITE"
)</f>
        <v>#N/A</v>
      </c>
    </row>
    <row r="977" spans="1:23" x14ac:dyDescent="0.25">
      <c r="A977" s="7"/>
      <c r="B977" s="7"/>
      <c r="D977" s="1"/>
      <c r="I977" s="3"/>
      <c r="J977" s="17"/>
      <c r="K977" s="17"/>
      <c r="L977" s="18"/>
      <c r="M977" s="3"/>
      <c r="P977" s="3"/>
      <c r="Q977" s="4"/>
      <c r="R977" s="19"/>
      <c r="S977" s="20"/>
      <c r="U977" s="3" t="str">
        <f t="shared" si="34"/>
        <v/>
      </c>
      <c r="V977" s="4" t="str">
        <f t="shared" si="35"/>
        <v/>
      </c>
      <c r="W977" s="21" t="e" cm="1">
        <f t="array" ref="W977">_xlfn.IFS(
  A977="BELL", "WHITE",
  A977="GAMP", "ORANGE",
  A977="GAMM", "GREEN",
  A977="BWF", "YELLOW",
  OR(A977="TNBE", A977="TNBL", A977="TNBD", A977="TNWC", A977="TNBW", A977="THBS"), "PINK",
  A977="CRWD", "BLUE",
  A977="PASS", "WHITE"
)</f>
        <v>#N/A</v>
      </c>
    </row>
    <row r="978" spans="1:23" x14ac:dyDescent="0.25">
      <c r="A978" s="7"/>
      <c r="B978" s="7"/>
      <c r="D978" s="1"/>
      <c r="I978" s="3"/>
      <c r="J978" s="17"/>
      <c r="K978" s="17"/>
      <c r="L978" s="18"/>
      <c r="M978" s="3"/>
      <c r="P978" s="3"/>
      <c r="Q978" s="4"/>
      <c r="R978" s="19"/>
      <c r="S978" s="20"/>
      <c r="U978" s="3" t="str">
        <f t="shared" si="34"/>
        <v/>
      </c>
      <c r="V978" s="4" t="str">
        <f t="shared" si="35"/>
        <v/>
      </c>
      <c r="W978" s="21" t="e" cm="1">
        <f t="array" ref="W978">_xlfn.IFS(
  A978="BELL", "WHITE",
  A978="GAMP", "ORANGE",
  A978="GAMM", "GREEN",
  A978="BWF", "YELLOW",
  OR(A978="TNBE", A978="TNBL", A978="TNBD", A978="TNWC", A978="TNBW", A978="THBS"), "PINK",
  A978="CRWD", "BLUE",
  A978="PASS", "WHITE"
)</f>
        <v>#N/A</v>
      </c>
    </row>
    <row r="979" spans="1:23" x14ac:dyDescent="0.25">
      <c r="A979" s="7"/>
      <c r="B979" s="7"/>
      <c r="D979" s="1"/>
      <c r="I979" s="3"/>
      <c r="J979" s="17"/>
      <c r="K979" s="17"/>
      <c r="L979" s="18"/>
      <c r="M979" s="3"/>
      <c r="P979" s="3"/>
      <c r="Q979" s="4"/>
      <c r="R979" s="19"/>
      <c r="S979" s="20"/>
      <c r="U979" s="3" t="str">
        <f t="shared" si="34"/>
        <v/>
      </c>
      <c r="V979" s="4" t="str">
        <f t="shared" si="35"/>
        <v/>
      </c>
      <c r="W979" s="21" t="e" cm="1">
        <f t="array" ref="W979">_xlfn.IFS(
  A979="BELL", "WHITE",
  A979="GAMP", "ORANGE",
  A979="GAMM", "GREEN",
  A979="BWF", "YELLOW",
  OR(A979="TNBE", A979="TNBL", A979="TNBD", A979="TNWC", A979="TNBW", A979="THBS"), "PINK",
  A979="CRWD", "BLUE",
  A979="PASS", "WHITE"
)</f>
        <v>#N/A</v>
      </c>
    </row>
    <row r="980" spans="1:23" x14ac:dyDescent="0.25">
      <c r="A980" s="7"/>
      <c r="B980" s="7"/>
      <c r="D980" s="1"/>
      <c r="H980" s="7"/>
      <c r="I980" s="3"/>
      <c r="J980" s="17"/>
      <c r="K980" s="17"/>
      <c r="L980" s="18"/>
      <c r="M980" s="18"/>
      <c r="P980" s="3"/>
      <c r="Q980" s="4"/>
      <c r="R980" s="19"/>
      <c r="S980" s="20"/>
      <c r="U980" s="3" t="str">
        <f t="shared" si="34"/>
        <v/>
      </c>
      <c r="V980" s="4" t="str">
        <f t="shared" si="35"/>
        <v/>
      </c>
      <c r="W980" s="21" t="e" cm="1">
        <f t="array" ref="W980">_xlfn.IFS(
  A980="BELL", "WHITE",
  A980="GAMP", "ORANGE",
  A980="GAMM", "GREEN",
  A980="BWF", "YELLOW",
  OR(A980="TNBE", A980="TNBL", A980="TNBD", A980="TNWC", A980="TNBW", A980="THBS"), "PINK",
  A980="CRWD", "BLUE",
  A980="PASS", "WHITE"
)</f>
        <v>#N/A</v>
      </c>
    </row>
    <row r="981" spans="1:23" x14ac:dyDescent="0.25">
      <c r="A981" s="7"/>
      <c r="B981" s="7"/>
      <c r="D981" s="1"/>
      <c r="I981" s="3"/>
      <c r="J981" s="17"/>
      <c r="K981" s="17"/>
      <c r="L981" s="18"/>
      <c r="M981" s="3"/>
      <c r="P981" s="3"/>
      <c r="Q981" s="4"/>
      <c r="R981" s="19"/>
      <c r="S981" s="20"/>
      <c r="U981" s="3" t="str">
        <f t="shared" si="34"/>
        <v/>
      </c>
      <c r="V981" s="4" t="str">
        <f t="shared" si="35"/>
        <v/>
      </c>
      <c r="W981" s="21" t="e" cm="1">
        <f t="array" ref="W981">_xlfn.IFS(
  A981="BELL", "WHITE",
  A981="GAMP", "ORANGE",
  A981="GAMM", "GREEN",
  A981="BWF", "YELLOW",
  OR(A981="TNBE", A981="TNBL", A981="TNBD", A981="TNWC", A981="TNBW", A981="THBS"), "PINK",
  A981="CRWD", "BLUE",
  A981="PASS", "WHITE"
)</f>
        <v>#N/A</v>
      </c>
    </row>
    <row r="982" spans="1:23" x14ac:dyDescent="0.25">
      <c r="A982" s="7"/>
      <c r="B982" s="26"/>
      <c r="D982" s="1"/>
      <c r="E982" s="1"/>
      <c r="I982" s="3"/>
      <c r="J982" s="17"/>
      <c r="K982" s="17"/>
      <c r="L982" s="18"/>
      <c r="M982" s="3"/>
      <c r="P982" s="3"/>
      <c r="Q982" s="4"/>
      <c r="R982" s="19"/>
      <c r="S982" s="20"/>
      <c r="U982" s="3" t="str">
        <f t="shared" si="34"/>
        <v/>
      </c>
      <c r="V982" s="4" t="str">
        <f t="shared" si="35"/>
        <v/>
      </c>
      <c r="W982" s="21" t="e" cm="1">
        <f t="array" ref="W982">_xlfn.IFS(
  A982="BELL", "WHITE",
  A982="GAMP", "ORANGE",
  A982="GAMM", "GREEN",
  A982="BWF", "YELLOW",
  OR(A982="TNBE", A982="TNBL", A982="TNBD", A982="TNWC", A982="TNBW", A982="THBS"), "PINK",
  A982="CRWD", "BLUE",
  A982="PASS", "WHITE"
)</f>
        <v>#N/A</v>
      </c>
    </row>
    <row r="983" spans="1:23" x14ac:dyDescent="0.25">
      <c r="A983" s="7"/>
      <c r="B983" s="26"/>
      <c r="D983" s="1"/>
      <c r="E983" s="29"/>
      <c r="I983" s="3"/>
      <c r="J983" s="17"/>
      <c r="K983" s="17"/>
      <c r="L983" s="18"/>
      <c r="M983" s="3"/>
      <c r="P983" s="3"/>
      <c r="Q983" s="4"/>
      <c r="R983" s="19"/>
      <c r="S983" s="20"/>
      <c r="U983" s="3" t="str">
        <f t="shared" si="34"/>
        <v/>
      </c>
      <c r="V983" s="4" t="str">
        <f t="shared" si="35"/>
        <v/>
      </c>
      <c r="W983" s="21" t="e" cm="1">
        <f t="array" ref="W983">_xlfn.IFS(
  A983="BELL", "WHITE",
  A983="GAMP", "ORANGE",
  A983="GAMM", "GREEN",
  A983="BWF", "YELLOW",
  OR(A983="TNBE", A983="TNBL", A983="TNBD", A983="TNWC", A983="TNBW", A983="THBS"), "PINK",
  A983="CRWD", "BLUE",
  A983="PASS", "WHITE"
)</f>
        <v>#N/A</v>
      </c>
    </row>
    <row r="984" spans="1:23" x14ac:dyDescent="0.25">
      <c r="A984" s="7"/>
      <c r="B984" s="7"/>
      <c r="C984" s="41"/>
      <c r="D984" s="27"/>
      <c r="E984" s="1"/>
      <c r="G984" s="3"/>
      <c r="H984" s="2"/>
      <c r="I984" s="3"/>
      <c r="J984" s="17"/>
      <c r="K984" s="17"/>
      <c r="L984" s="18"/>
      <c r="M984" s="3"/>
      <c r="O984"/>
      <c r="P984" s="3"/>
      <c r="Q984" s="4"/>
      <c r="R984" s="19"/>
      <c r="S984" s="20"/>
      <c r="T984" s="3"/>
      <c r="U984" s="3" t="str">
        <f t="shared" si="34"/>
        <v/>
      </c>
      <c r="V984" s="4" t="str">
        <f t="shared" si="35"/>
        <v/>
      </c>
      <c r="W984" s="21" t="e" cm="1">
        <f t="array" ref="W984">_xlfn.IFS(
  A984="BELL", "WHITE",
  A984="GAMP", "ORANGE",
  A984="GAMM", "GREEN",
  A984="BWF", "YELLOW",
  OR(A984="TNBE", A984="TNBL", A984="TNBD", A984="TNWC", A984="TNBW", A984="THBS"), "PINK",
  A984="CRWD", "BLUE",
  A984="PASS", "WHITE"
)</f>
        <v>#N/A</v>
      </c>
    </row>
    <row r="985" spans="1:23" x14ac:dyDescent="0.25">
      <c r="A985" s="7"/>
      <c r="B985" s="7"/>
      <c r="C985" s="41"/>
      <c r="D985" s="27"/>
      <c r="E985" s="1"/>
      <c r="G985" s="3"/>
      <c r="H985" s="2"/>
      <c r="I985" s="3"/>
      <c r="J985" s="17"/>
      <c r="K985" s="17"/>
      <c r="L985" s="18"/>
      <c r="M985" s="3"/>
      <c r="O985"/>
      <c r="P985" s="3"/>
      <c r="Q985" s="4"/>
      <c r="R985" s="19"/>
      <c r="S985" s="20"/>
      <c r="T985" s="3"/>
      <c r="U985" s="3" t="str">
        <f t="shared" si="34"/>
        <v/>
      </c>
      <c r="V985" s="4" t="str">
        <f t="shared" si="35"/>
        <v/>
      </c>
      <c r="W985" s="21" t="e" cm="1">
        <f t="array" ref="W985">_xlfn.IFS(
  A985="BELL", "WHITE",
  A985="GAMP", "ORANGE",
  A985="GAMM", "GREEN",
  A985="BWF", "YELLOW",
  OR(A985="TNBE", A985="TNBL", A985="TNBD", A985="TNWC", A985="TNBW", A985="THBS"), "PINK",
  A985="CRWD", "BLUE",
  A985="PASS", "WHITE"
)</f>
        <v>#N/A</v>
      </c>
    </row>
    <row r="986" spans="1:23" x14ac:dyDescent="0.25">
      <c r="A986" s="7"/>
      <c r="B986" s="7"/>
      <c r="C986" s="41"/>
      <c r="D986" s="27"/>
      <c r="E986" s="1"/>
      <c r="G986" s="3"/>
      <c r="H986" s="2"/>
      <c r="I986" s="3"/>
      <c r="J986" s="17"/>
      <c r="K986" s="17"/>
      <c r="L986" s="18"/>
      <c r="M986" s="3"/>
      <c r="O986"/>
      <c r="P986" s="3"/>
      <c r="Q986" s="4"/>
      <c r="R986" s="19"/>
      <c r="S986" s="20"/>
      <c r="T986" s="3"/>
      <c r="U986" s="3" t="str">
        <f t="shared" si="34"/>
        <v/>
      </c>
      <c r="V986" s="4" t="str">
        <f t="shared" si="35"/>
        <v/>
      </c>
      <c r="W986" s="21" t="e" cm="1">
        <f t="array" ref="W986">_xlfn.IFS(
  A986="BELL", "WHITE",
  A986="GAMP", "ORANGE",
  A986="GAMM", "GREEN",
  A986="BWF", "YELLOW",
  OR(A986="TNBE", A986="TNBL", A986="TNBD", A986="TNWC", A986="TNBW", A986="THBS"), "PINK",
  A986="CRWD", "BLUE",
  A986="PASS", "WHITE"
)</f>
        <v>#N/A</v>
      </c>
    </row>
    <row r="987" spans="1:23" x14ac:dyDescent="0.25">
      <c r="A987" s="7"/>
      <c r="B987" s="7"/>
      <c r="C987" s="41"/>
      <c r="D987" s="27"/>
      <c r="E987" s="1"/>
      <c r="G987" s="3"/>
      <c r="H987" s="2"/>
      <c r="I987" s="3"/>
      <c r="J987" s="17"/>
      <c r="K987" s="17"/>
      <c r="L987" s="18"/>
      <c r="M987" s="3"/>
      <c r="O987"/>
      <c r="P987" s="3"/>
      <c r="Q987" s="4"/>
      <c r="R987" s="19"/>
      <c r="S987" s="20"/>
      <c r="T987" s="3"/>
      <c r="U987" s="3" t="str">
        <f t="shared" si="34"/>
        <v/>
      </c>
      <c r="V987" s="4" t="str">
        <f t="shared" si="35"/>
        <v/>
      </c>
      <c r="W987" s="21" t="e" cm="1">
        <f t="array" ref="W987">_xlfn.IFS(
  A987="BELL", "WHITE",
  A987="GAMP", "ORANGE",
  A987="GAMM", "GREEN",
  A987="BWF", "YELLOW",
  OR(A987="TNBE", A987="TNBL", A987="TNBD", A987="TNWC", A987="TNBW", A987="THBS"), "PINK",
  A987="CRWD", "BLUE",
  A987="PASS", "WHITE"
)</f>
        <v>#N/A</v>
      </c>
    </row>
    <row r="988" spans="1:23" x14ac:dyDescent="0.25">
      <c r="A988" s="7"/>
      <c r="B988" s="7"/>
      <c r="C988" s="41"/>
      <c r="D988" s="27"/>
      <c r="E988" s="1"/>
      <c r="G988" s="3"/>
      <c r="H988" s="2"/>
      <c r="I988" s="3"/>
      <c r="J988" s="17"/>
      <c r="K988" s="17"/>
      <c r="L988" s="18"/>
      <c r="M988" s="3"/>
      <c r="O988"/>
      <c r="P988" s="3"/>
      <c r="Q988" s="4"/>
      <c r="R988" s="19"/>
      <c r="S988" s="20"/>
      <c r="T988" s="3"/>
      <c r="U988" s="3" t="str">
        <f t="shared" si="34"/>
        <v/>
      </c>
      <c r="V988" s="4" t="str">
        <f t="shared" si="35"/>
        <v/>
      </c>
      <c r="W988" s="21" t="e" cm="1">
        <f t="array" ref="W988">_xlfn.IFS(
  A988="BELL", "WHITE",
  A988="GAMP", "ORANGE",
  A988="GAMM", "GREEN",
  A988="BWF", "YELLOW",
  OR(A988="TNBE", A988="TNBL", A988="TNBD", A988="TNWC", A988="TNBW", A988="THBS"), "PINK",
  A988="CRWD", "BLUE",
  A988="PASS", "WHITE"
)</f>
        <v>#N/A</v>
      </c>
    </row>
    <row r="989" spans="1:23" x14ac:dyDescent="0.25">
      <c r="A989" s="7"/>
      <c r="B989" s="7"/>
      <c r="C989" s="41"/>
      <c r="D989" s="27"/>
      <c r="E989" s="1"/>
      <c r="G989" s="3"/>
      <c r="H989" s="2"/>
      <c r="I989" s="3"/>
      <c r="J989" s="17"/>
      <c r="K989" s="17"/>
      <c r="L989" s="18"/>
      <c r="M989" s="3"/>
      <c r="O989"/>
      <c r="P989" s="3"/>
      <c r="Q989" s="4"/>
      <c r="R989" s="19"/>
      <c r="S989" s="20"/>
      <c r="T989" s="3"/>
      <c r="U989" s="3" t="str">
        <f t="shared" si="34"/>
        <v/>
      </c>
      <c r="V989" s="4" t="str">
        <f t="shared" si="35"/>
        <v/>
      </c>
      <c r="W989" s="21" t="e" cm="1">
        <f t="array" ref="W989">_xlfn.IFS(
  A989="BELL", "WHITE",
  A989="GAMP", "ORANGE",
  A989="GAMM", "GREEN",
  A989="BWF", "YELLOW",
  OR(A989="TNBE", A989="TNBL", A989="TNBD", A989="TNWC", A989="TNBW", A989="THBS"), "PINK",
  A989="CRWD", "BLUE",
  A989="PASS", "WHITE"
)</f>
        <v>#N/A</v>
      </c>
    </row>
    <row r="990" spans="1:23" x14ac:dyDescent="0.25">
      <c r="A990" s="7"/>
      <c r="B990" s="7"/>
      <c r="C990" s="41"/>
      <c r="D990" s="27"/>
      <c r="E990" s="1"/>
      <c r="G990" s="3"/>
      <c r="H990" s="2"/>
      <c r="I990" s="3"/>
      <c r="J990" s="17"/>
      <c r="K990" s="17"/>
      <c r="L990" s="18"/>
      <c r="M990" s="3"/>
      <c r="O990"/>
      <c r="P990" s="3"/>
      <c r="Q990" s="4"/>
      <c r="R990" s="19"/>
      <c r="S990" s="20"/>
      <c r="T990" s="3"/>
      <c r="U990" s="3" t="str">
        <f t="shared" si="34"/>
        <v/>
      </c>
      <c r="V990" s="4" t="str">
        <f t="shared" si="35"/>
        <v/>
      </c>
      <c r="W990" s="21" t="e" cm="1">
        <f t="array" ref="W990">_xlfn.IFS(
  A990="BELL", "WHITE",
  A990="GAMP", "ORANGE",
  A990="GAMM", "GREEN",
  A990="BWF", "YELLOW",
  OR(A990="TNBE", A990="TNBL", A990="TNBD", A990="TNWC", A990="TNBW", A990="THBS"), "PINK",
  A990="CRWD", "BLUE",
  A990="PASS", "WHITE"
)</f>
        <v>#N/A</v>
      </c>
    </row>
    <row r="991" spans="1:23" x14ac:dyDescent="0.25">
      <c r="A991" s="7"/>
      <c r="B991" s="7"/>
      <c r="C991" s="41"/>
      <c r="D991" s="27"/>
      <c r="E991" s="1"/>
      <c r="G991" s="3"/>
      <c r="H991" s="2"/>
      <c r="I991" s="3"/>
      <c r="J991" s="17"/>
      <c r="K991" s="17"/>
      <c r="L991" s="18"/>
      <c r="M991" s="18"/>
      <c r="O991"/>
      <c r="P991" s="3"/>
      <c r="Q991" s="4"/>
      <c r="R991" s="19"/>
      <c r="S991" s="20"/>
      <c r="T991" s="3"/>
      <c r="U991" s="3" t="str">
        <f t="shared" si="34"/>
        <v/>
      </c>
      <c r="V991" s="4" t="str">
        <f t="shared" si="35"/>
        <v/>
      </c>
      <c r="W991" s="21" t="e" cm="1">
        <f t="array" ref="W991">_xlfn.IFS(
  A991="BELL", "WHITE",
  A991="GAMP", "ORANGE",
  A991="GAMM", "GREEN",
  A991="BWF", "YELLOW",
  OR(A991="TNBE", A991="TNBL", A991="TNBD", A991="TNWC", A991="TNBW", A991="THBS"), "PINK",
  A991="CRWD", "BLUE",
  A991="PASS", "WHITE"
)</f>
        <v>#N/A</v>
      </c>
    </row>
    <row r="992" spans="1:23" x14ac:dyDescent="0.25">
      <c r="A992" s="7"/>
      <c r="B992" s="7"/>
      <c r="C992" s="41"/>
      <c r="D992" s="27"/>
      <c r="E992" s="1"/>
      <c r="G992" s="3"/>
      <c r="H992" s="2"/>
      <c r="I992" s="3"/>
      <c r="J992" s="17"/>
      <c r="K992" s="17"/>
      <c r="L992" s="18"/>
      <c r="M992" s="3"/>
      <c r="O992"/>
      <c r="P992" s="3"/>
      <c r="Q992" s="4"/>
      <c r="R992" s="19"/>
      <c r="S992" s="20"/>
      <c r="T992" s="3"/>
      <c r="U992" s="3" t="str">
        <f t="shared" si="34"/>
        <v/>
      </c>
      <c r="V992" s="4" t="str">
        <f t="shared" si="35"/>
        <v/>
      </c>
      <c r="W992" s="21" t="e" cm="1">
        <f t="array" ref="W992">_xlfn.IFS(
  A992="BELL", "WHITE",
  A992="GAMP", "ORANGE",
  A992="GAMM", "GREEN",
  A992="BWF", "YELLOW",
  OR(A992="TNBE", A992="TNBL", A992="TNBD", A992="TNWC", A992="TNBW", A992="THBS"), "PINK",
  A992="CRWD", "BLUE",
  A992="PASS", "WHITE"
)</f>
        <v>#N/A</v>
      </c>
    </row>
    <row r="993" spans="1:23" x14ac:dyDescent="0.25">
      <c r="A993" s="7"/>
      <c r="B993" s="7"/>
      <c r="C993" s="41"/>
      <c r="D993" s="27"/>
      <c r="E993" s="1"/>
      <c r="G993" s="3"/>
      <c r="H993" s="2"/>
      <c r="I993" s="3"/>
      <c r="J993" s="17"/>
      <c r="K993" s="17"/>
      <c r="L993" s="18"/>
      <c r="M993" s="3"/>
      <c r="O993"/>
      <c r="P993" s="3"/>
      <c r="Q993" s="4"/>
      <c r="R993" s="19"/>
      <c r="S993" s="20"/>
      <c r="T993" s="3"/>
      <c r="U993" s="3" t="str">
        <f t="shared" si="34"/>
        <v/>
      </c>
      <c r="V993" s="4" t="str">
        <f t="shared" si="35"/>
        <v/>
      </c>
      <c r="W993" s="21" t="e" cm="1">
        <f t="array" ref="W993">_xlfn.IFS(
  A993="BELL", "WHITE",
  A993="GAMP", "ORANGE",
  A993="GAMM", "GREEN",
  A993="BWF", "YELLOW",
  OR(A993="TNBE", A993="TNBL", A993="TNBD", A993="TNWC", A993="TNBW", A993="THBS"), "PINK",
  A993="CRWD", "BLUE",
  A993="PASS", "WHITE"
)</f>
        <v>#N/A</v>
      </c>
    </row>
    <row r="994" spans="1:23" x14ac:dyDescent="0.25">
      <c r="A994" s="7"/>
      <c r="B994" s="7"/>
      <c r="C994" s="41"/>
      <c r="D994" s="27"/>
      <c r="E994" s="1"/>
      <c r="G994" s="3"/>
      <c r="H994" s="2"/>
      <c r="I994" s="3"/>
      <c r="J994" s="17"/>
      <c r="K994" s="17"/>
      <c r="L994" s="18"/>
      <c r="M994" s="3"/>
      <c r="O994"/>
      <c r="P994" s="3"/>
      <c r="Q994" s="4"/>
      <c r="R994" s="19"/>
      <c r="S994" s="20"/>
      <c r="T994" s="3"/>
      <c r="U994" s="3" t="str">
        <f t="shared" si="34"/>
        <v/>
      </c>
      <c r="V994" s="4" t="str">
        <f t="shared" si="35"/>
        <v/>
      </c>
      <c r="W994" s="21" t="e" cm="1">
        <f t="array" ref="W994">_xlfn.IFS(
  A994="BELL", "WHITE",
  A994="GAMP", "ORANGE",
  A994="GAMM", "GREEN",
  A994="BWF", "YELLOW",
  OR(A994="TNBE", A994="TNBL", A994="TNBD", A994="TNWC", A994="TNBW", A994="THBS"), "PINK",
  A994="CRWD", "BLUE",
  A994="PASS", "WHITE"
)</f>
        <v>#N/A</v>
      </c>
    </row>
    <row r="995" spans="1:23" x14ac:dyDescent="0.25">
      <c r="A995" s="7"/>
      <c r="B995" s="7"/>
      <c r="C995" s="41"/>
      <c r="D995" s="27"/>
      <c r="E995" s="1"/>
      <c r="G995" s="3"/>
      <c r="H995" s="2"/>
      <c r="I995" s="3"/>
      <c r="J995" s="17"/>
      <c r="K995" s="17"/>
      <c r="L995" s="18"/>
      <c r="M995" s="3"/>
      <c r="O995"/>
      <c r="P995" s="3"/>
      <c r="Q995" s="4"/>
      <c r="R995" s="19"/>
      <c r="S995" s="20"/>
      <c r="T995" s="3"/>
      <c r="U995" s="3" t="str">
        <f t="shared" si="34"/>
        <v/>
      </c>
      <c r="V995" s="4" t="str">
        <f t="shared" si="35"/>
        <v/>
      </c>
      <c r="W995" s="21" t="e" cm="1">
        <f t="array" ref="W995">_xlfn.IFS(
  A995="BELL", "WHITE",
  A995="GAMP", "ORANGE",
  A995="GAMM", "GREEN",
  A995="BWF", "YELLOW",
  OR(A995="TNBE", A995="TNBL", A995="TNBD", A995="TNWC", A995="TNBW", A995="THBS"), "PINK",
  A995="CRWD", "BLUE",
  A995="PASS", "WHITE"
)</f>
        <v>#N/A</v>
      </c>
    </row>
    <row r="996" spans="1:23" x14ac:dyDescent="0.25">
      <c r="A996" s="7"/>
      <c r="B996" s="7"/>
      <c r="C996" s="41"/>
      <c r="D996" s="27"/>
      <c r="E996" s="1"/>
      <c r="G996" s="3"/>
      <c r="H996" s="2"/>
      <c r="I996" s="3"/>
      <c r="J996" s="17"/>
      <c r="K996" s="17"/>
      <c r="L996" s="18"/>
      <c r="M996" s="3"/>
      <c r="O996"/>
      <c r="P996" s="3"/>
      <c r="Q996" s="4"/>
      <c r="R996" s="19"/>
      <c r="S996" s="20"/>
      <c r="T996" s="3"/>
      <c r="U996" s="3" t="str">
        <f t="shared" si="34"/>
        <v/>
      </c>
      <c r="V996" s="4" t="str">
        <f t="shared" si="35"/>
        <v/>
      </c>
      <c r="W996" s="21" t="e" cm="1">
        <f t="array" ref="W996">_xlfn.IFS(
  A996="BELL", "WHITE",
  A996="GAMP", "ORANGE",
  A996="GAMM", "GREEN",
  A996="BWF", "YELLOW",
  OR(A996="TNBE", A996="TNBL", A996="TNBD", A996="TNWC", A996="TNBW", A996="THBS"), "PINK",
  A996="CRWD", "BLUE",
  A996="PASS", "WHITE"
)</f>
        <v>#N/A</v>
      </c>
    </row>
    <row r="997" spans="1:23" x14ac:dyDescent="0.25">
      <c r="A997" s="7"/>
      <c r="B997" s="7"/>
      <c r="C997" s="41"/>
      <c r="D997" s="27"/>
      <c r="E997" s="1"/>
      <c r="G997" s="3"/>
      <c r="H997" s="2"/>
      <c r="I997" s="3"/>
      <c r="J997" s="17"/>
      <c r="K997" s="17"/>
      <c r="L997" s="18"/>
      <c r="M997" s="3"/>
      <c r="O997"/>
      <c r="P997" s="3"/>
      <c r="Q997" s="4"/>
      <c r="R997" s="19"/>
      <c r="S997" s="20"/>
      <c r="T997" s="3"/>
      <c r="U997" s="3" t="str">
        <f t="shared" si="34"/>
        <v/>
      </c>
      <c r="V997" s="4" t="str">
        <f t="shared" si="35"/>
        <v/>
      </c>
      <c r="W997" s="21" t="e" cm="1">
        <f t="array" ref="W997">_xlfn.IFS(
  A997="BELL", "WHITE",
  A997="GAMP", "ORANGE",
  A997="GAMM", "GREEN",
  A997="BWF", "YELLOW",
  OR(A997="TNBE", A997="TNBL", A997="TNBD", A997="TNWC", A997="TNBW", A997="THBS"), "PINK",
  A997="CRWD", "BLUE",
  A997="PASS", "WHITE"
)</f>
        <v>#N/A</v>
      </c>
    </row>
    <row r="998" spans="1:23" x14ac:dyDescent="0.25">
      <c r="A998" s="7"/>
      <c r="B998" s="7"/>
      <c r="C998" s="41"/>
      <c r="D998" s="27"/>
      <c r="E998" s="1"/>
      <c r="G998" s="3"/>
      <c r="H998" s="2"/>
      <c r="I998" s="3"/>
      <c r="J998" s="17"/>
      <c r="K998" s="17"/>
      <c r="L998" s="18"/>
      <c r="M998" s="3"/>
      <c r="O998"/>
      <c r="P998" s="3"/>
      <c r="Q998" s="4"/>
      <c r="R998" s="19"/>
      <c r="S998" s="20"/>
      <c r="T998" s="3"/>
      <c r="U998" s="3" t="str">
        <f t="shared" si="34"/>
        <v/>
      </c>
      <c r="V998" s="4" t="str">
        <f t="shared" si="35"/>
        <v/>
      </c>
      <c r="W998" s="21" t="e" cm="1">
        <f t="array" ref="W998">_xlfn.IFS(
  A998="BELL", "WHITE",
  A998="GAMP", "ORANGE",
  A998="GAMM", "GREEN",
  A998="BWF", "YELLOW",
  OR(A998="TNBE", A998="TNBL", A998="TNBD", A998="TNWC", A998="TNBW", A998="THBS"), "PINK",
  A998="CRWD", "BLUE",
  A998="PASS", "WHITE"
)</f>
        <v>#N/A</v>
      </c>
    </row>
    <row r="999" spans="1:23" x14ac:dyDescent="0.25">
      <c r="A999" s="7"/>
      <c r="B999" s="7"/>
      <c r="C999" s="41"/>
      <c r="D999" s="27"/>
      <c r="E999" s="1"/>
      <c r="G999" s="3"/>
      <c r="H999" s="2"/>
      <c r="I999" s="3"/>
      <c r="J999" s="17"/>
      <c r="K999" s="17"/>
      <c r="L999" s="18"/>
      <c r="M999" s="3"/>
      <c r="O999"/>
      <c r="P999" s="3"/>
      <c r="Q999" s="4"/>
      <c r="R999" s="19"/>
      <c r="S999" s="20"/>
      <c r="T999" s="3"/>
      <c r="U999" s="3" t="str">
        <f t="shared" si="34"/>
        <v/>
      </c>
      <c r="V999" s="4" t="str">
        <f t="shared" si="35"/>
        <v/>
      </c>
      <c r="W999" s="21" t="e" cm="1">
        <f t="array" ref="W999">_xlfn.IFS(
  A999="BELL", "WHITE",
  A999="GAMP", "ORANGE",
  A999="GAMM", "GREEN",
  A999="BWF", "YELLOW",
  OR(A999="TNBE", A999="TNBL", A999="TNBD", A999="TNWC", A999="TNBW", A999="THBS"), "PINK",
  A999="CRWD", "BLUE",
  A999="PASS", "WHITE"
)</f>
        <v>#N/A</v>
      </c>
    </row>
    <row r="1000" spans="1:23" x14ac:dyDescent="0.25">
      <c r="A1000" s="7"/>
      <c r="B1000" s="7"/>
      <c r="C1000" s="41"/>
      <c r="D1000" s="27"/>
      <c r="E1000" s="1"/>
      <c r="G1000" s="3"/>
      <c r="H1000" s="2"/>
      <c r="I1000" s="3"/>
      <c r="J1000" s="17"/>
      <c r="K1000" s="17"/>
      <c r="L1000" s="18"/>
      <c r="M1000" s="3"/>
      <c r="O1000"/>
      <c r="P1000" s="3"/>
      <c r="Q1000" s="4"/>
      <c r="R1000" s="19"/>
      <c r="S1000" s="20"/>
      <c r="T1000" s="3"/>
      <c r="U1000" s="3" t="str">
        <f t="shared" si="34"/>
        <v/>
      </c>
      <c r="V1000" s="4" t="str">
        <f t="shared" si="35"/>
        <v/>
      </c>
      <c r="W1000" s="21" t="e" cm="1">
        <f t="array" ref="W1000">_xlfn.IFS(
  A1000="BELL", "WHITE",
  A1000="GAMP", "ORANGE",
  A1000="GAMM", "GREEN",
  A1000="BWF", "YELLOW",
  OR(A1000="TNBE", A1000="TNBL", A1000="TNBD", A1000="TNWC", A1000="TNBW", A1000="THBS"), "PINK",
  A1000="CRWD", "BLUE",
  A1000="PASS", "WHITE"
)</f>
        <v>#N/A</v>
      </c>
    </row>
    <row r="1001" spans="1:23" x14ac:dyDescent="0.25">
      <c r="A1001" s="7"/>
      <c r="B1001" s="7"/>
      <c r="C1001" s="41"/>
      <c r="D1001" s="27"/>
      <c r="E1001" s="1"/>
      <c r="G1001" s="3"/>
      <c r="H1001" s="2"/>
      <c r="I1001" s="3"/>
      <c r="J1001" s="17"/>
      <c r="K1001" s="17"/>
      <c r="L1001" s="18"/>
      <c r="M1001" s="3"/>
      <c r="O1001"/>
      <c r="P1001" s="3"/>
      <c r="Q1001" s="4"/>
      <c r="R1001" s="19"/>
      <c r="S1001" s="20"/>
      <c r="T1001" s="3"/>
      <c r="U1001" s="3" t="str">
        <f t="shared" si="34"/>
        <v/>
      </c>
      <c r="V1001" s="4" t="str">
        <f t="shared" si="35"/>
        <v/>
      </c>
      <c r="W1001" s="21" t="e" cm="1">
        <f t="array" ref="W1001">_xlfn.IFS(
  A1001="BELL", "WHITE",
  A1001="GAMP", "ORANGE",
  A1001="GAMM", "GREEN",
  A1001="BWF", "YELLOW",
  OR(A1001="TNBE", A1001="TNBL", A1001="TNBD", A1001="TNWC", A1001="TNBW", A1001="THBS"), "PINK",
  A1001="CRWD", "BLUE",
  A1001="PASS", "WHITE"
)</f>
        <v>#N/A</v>
      </c>
    </row>
    <row r="1002" spans="1:23" x14ac:dyDescent="0.25">
      <c r="A1002" s="7"/>
      <c r="B1002" s="7"/>
      <c r="C1002" s="41"/>
      <c r="D1002" s="27"/>
      <c r="E1002" s="1"/>
      <c r="G1002" s="3"/>
      <c r="H1002" s="2"/>
      <c r="I1002" s="3"/>
      <c r="J1002" s="17"/>
      <c r="K1002" s="17"/>
      <c r="L1002" s="18"/>
      <c r="M1002" s="3"/>
      <c r="O1002"/>
      <c r="P1002" s="3"/>
      <c r="Q1002" s="4"/>
      <c r="R1002" s="19"/>
      <c r="S1002" s="20"/>
      <c r="T1002" s="3"/>
      <c r="U1002" s="3" t="str">
        <f t="shared" si="34"/>
        <v/>
      </c>
      <c r="V1002" s="4" t="str">
        <f t="shared" si="35"/>
        <v/>
      </c>
      <c r="W1002" s="21" t="e" cm="1">
        <f t="array" ref="W1002">_xlfn.IFS(
  A1002="BELL", "WHITE",
  A1002="GAMP", "ORANGE",
  A1002="GAMM", "GREEN",
  A1002="BWF", "YELLOW",
  OR(A1002="TNBE", A1002="TNBL", A1002="TNBD", A1002="TNWC", A1002="TNBW", A1002="THBS"), "PINK",
  A1002="CRWD", "BLUE",
  A1002="PASS", "WHITE"
)</f>
        <v>#N/A</v>
      </c>
    </row>
    <row r="1003" spans="1:23" x14ac:dyDescent="0.25">
      <c r="A1003" s="7"/>
      <c r="B1003" s="7"/>
      <c r="C1003" s="41"/>
      <c r="D1003" s="27"/>
      <c r="E1003" s="1"/>
      <c r="G1003" s="3"/>
      <c r="H1003" s="2"/>
      <c r="I1003" s="3"/>
      <c r="J1003" s="17"/>
      <c r="K1003" s="17"/>
      <c r="L1003" s="18"/>
      <c r="M1003" s="3"/>
      <c r="O1003"/>
      <c r="P1003" s="3"/>
      <c r="Q1003" s="4"/>
      <c r="R1003" s="19"/>
      <c r="S1003" s="20"/>
      <c r="T1003" s="3"/>
      <c r="U1003" s="3" t="str">
        <f t="shared" si="34"/>
        <v/>
      </c>
      <c r="V1003" s="4" t="str">
        <f t="shared" si="35"/>
        <v/>
      </c>
      <c r="W1003" s="21" t="e" cm="1">
        <f t="array" ref="W1003">_xlfn.IFS(
  A1003="BELL", "WHITE",
  A1003="GAMP", "ORANGE",
  A1003="GAMM", "GREEN",
  A1003="BWF", "YELLOW",
  OR(A1003="TNBE", A1003="TNBL", A1003="TNBD", A1003="TNWC", A1003="TNBW", A1003="THBS"), "PINK",
  A1003="CRWD", "BLUE",
  A1003="PASS", "WHITE"
)</f>
        <v>#N/A</v>
      </c>
    </row>
    <row r="1004" spans="1:23" x14ac:dyDescent="0.25">
      <c r="A1004" s="7"/>
      <c r="B1004" s="7"/>
      <c r="C1004" s="41"/>
      <c r="D1004" s="27"/>
      <c r="E1004" s="1"/>
      <c r="G1004" s="3"/>
      <c r="H1004" s="2"/>
      <c r="I1004" s="3"/>
      <c r="J1004" s="17"/>
      <c r="K1004" s="17"/>
      <c r="L1004" s="18"/>
      <c r="M1004" s="3"/>
      <c r="O1004"/>
      <c r="P1004" s="3"/>
      <c r="Q1004" s="4"/>
      <c r="R1004" s="19"/>
      <c r="S1004" s="20"/>
      <c r="T1004" s="3"/>
      <c r="U1004" s="3" t="str">
        <f t="shared" si="34"/>
        <v/>
      </c>
      <c r="V1004" s="4" t="str">
        <f t="shared" si="35"/>
        <v/>
      </c>
      <c r="W1004" s="21" t="e" cm="1">
        <f t="array" ref="W1004">_xlfn.IFS(
  A1004="BELL", "WHITE",
  A1004="GAMP", "ORANGE",
  A1004="GAMM", "GREEN",
  A1004="BWF", "YELLOW",
  OR(A1004="TNBE", A1004="TNBL", A1004="TNBD", A1004="TNWC", A1004="TNBW", A1004="THBS"), "PINK",
  A1004="CRWD", "BLUE",
  A1004="PASS", "WHITE"
)</f>
        <v>#N/A</v>
      </c>
    </row>
    <row r="1005" spans="1:23" x14ac:dyDescent="0.25">
      <c r="A1005" s="7"/>
      <c r="B1005" s="7"/>
      <c r="C1005" s="41"/>
      <c r="D1005" s="27"/>
      <c r="E1005" s="1"/>
      <c r="G1005" s="3"/>
      <c r="H1005" s="2"/>
      <c r="I1005" s="3"/>
      <c r="J1005" s="17"/>
      <c r="K1005" s="17"/>
      <c r="L1005" s="18"/>
      <c r="M1005" s="3"/>
      <c r="O1005"/>
      <c r="P1005" s="3"/>
      <c r="Q1005" s="4"/>
      <c r="R1005" s="19"/>
      <c r="S1005" s="20"/>
      <c r="T1005" s="3"/>
      <c r="U1005" s="3" t="str">
        <f t="shared" si="34"/>
        <v/>
      </c>
      <c r="V1005" s="4" t="str">
        <f t="shared" si="35"/>
        <v/>
      </c>
      <c r="W1005" s="21" t="e" cm="1">
        <f t="array" ref="W1005">_xlfn.IFS(
  A1005="BELL", "WHITE",
  A1005="GAMP", "ORANGE",
  A1005="GAMM", "GREEN",
  A1005="BWF", "YELLOW",
  OR(A1005="TNBE", A1005="TNBL", A1005="TNBD", A1005="TNWC", A1005="TNBW", A1005="THBS"), "PINK",
  A1005="CRWD", "BLUE",
  A1005="PASS", "WHITE"
)</f>
        <v>#N/A</v>
      </c>
    </row>
    <row r="1006" spans="1:23" x14ac:dyDescent="0.25">
      <c r="A1006" s="7"/>
      <c r="B1006" s="7"/>
      <c r="C1006" s="41"/>
      <c r="D1006" s="27"/>
      <c r="E1006" s="1"/>
      <c r="G1006" s="3"/>
      <c r="H1006" s="2"/>
      <c r="I1006" s="3"/>
      <c r="J1006" s="17"/>
      <c r="K1006" s="17"/>
      <c r="L1006" s="18"/>
      <c r="M1006" s="3"/>
      <c r="O1006"/>
      <c r="P1006" s="3"/>
      <c r="Q1006" s="4"/>
      <c r="R1006" s="19"/>
      <c r="S1006" s="20"/>
      <c r="T1006" s="3"/>
      <c r="U1006" s="3" t="str">
        <f t="shared" si="34"/>
        <v/>
      </c>
      <c r="V1006" s="4" t="str">
        <f t="shared" si="35"/>
        <v/>
      </c>
      <c r="W1006" s="21" t="e" cm="1">
        <f t="array" ref="W1006">_xlfn.IFS(
  A1006="BELL", "WHITE",
  A1006="GAMP", "ORANGE",
  A1006="GAMM", "GREEN",
  A1006="BWF", "YELLOW",
  OR(A1006="TNBE", A1006="TNBL", A1006="TNBD", A1006="TNWC", A1006="TNBW", A1006="THBS"), "PINK",
  A1006="CRWD", "BLUE",
  A1006="PASS", "WHITE"
)</f>
        <v>#N/A</v>
      </c>
    </row>
    <row r="1007" spans="1:23" x14ac:dyDescent="0.25">
      <c r="A1007" s="7"/>
      <c r="B1007" s="7"/>
      <c r="C1007" s="41"/>
      <c r="D1007" s="27"/>
      <c r="E1007" s="1"/>
      <c r="G1007" s="3"/>
      <c r="H1007" s="2"/>
      <c r="I1007" s="3"/>
      <c r="J1007" s="17"/>
      <c r="K1007" s="17"/>
      <c r="L1007" s="18"/>
      <c r="M1007" s="3"/>
      <c r="O1007"/>
      <c r="P1007" s="3"/>
      <c r="Q1007" s="4"/>
      <c r="R1007" s="19"/>
      <c r="S1007" s="20"/>
      <c r="T1007" s="3"/>
      <c r="U1007" s="3" t="str">
        <f t="shared" si="34"/>
        <v/>
      </c>
      <c r="V1007" s="4" t="str">
        <f t="shared" si="35"/>
        <v/>
      </c>
      <c r="W1007" s="21" t="e" cm="1">
        <f t="array" ref="W1007">_xlfn.IFS(
  A1007="BELL", "WHITE",
  A1007="GAMP", "ORANGE",
  A1007="GAMM", "GREEN",
  A1007="BWF", "YELLOW",
  OR(A1007="TNBE", A1007="TNBL", A1007="TNBD", A1007="TNWC", A1007="TNBW", A1007="THBS"), "PINK",
  A1007="CRWD", "BLUE",
  A1007="PASS", "WHITE"
)</f>
        <v>#N/A</v>
      </c>
    </row>
    <row r="1008" spans="1:23" x14ac:dyDescent="0.25">
      <c r="A1008" s="7"/>
      <c r="B1008" s="7"/>
      <c r="C1008" s="41"/>
      <c r="D1008" s="27"/>
      <c r="E1008" s="1"/>
      <c r="G1008" s="3"/>
      <c r="H1008" s="2"/>
      <c r="I1008" s="3"/>
      <c r="J1008" s="17"/>
      <c r="K1008" s="17"/>
      <c r="L1008" s="18"/>
      <c r="M1008" s="3"/>
      <c r="O1008"/>
      <c r="P1008" s="3"/>
      <c r="Q1008" s="4"/>
      <c r="R1008" s="19"/>
      <c r="S1008" s="20"/>
      <c r="T1008" s="3"/>
      <c r="U1008" s="3" t="str">
        <f t="shared" si="34"/>
        <v/>
      </c>
      <c r="V1008" s="4" t="str">
        <f t="shared" si="35"/>
        <v/>
      </c>
      <c r="W1008" s="21" t="e" cm="1">
        <f t="array" ref="W1008">_xlfn.IFS(
  A1008="BELL", "WHITE",
  A1008="GAMP", "ORANGE",
  A1008="GAMM", "GREEN",
  A1008="BWF", "YELLOW",
  OR(A1008="TNBE", A1008="TNBL", A1008="TNBD", A1008="TNWC", A1008="TNBW", A1008="THBS"), "PINK",
  A1008="CRWD", "BLUE",
  A1008="PASS", "WHITE"
)</f>
        <v>#N/A</v>
      </c>
    </row>
    <row r="1009" spans="1:23" x14ac:dyDescent="0.25">
      <c r="A1009" s="7"/>
      <c r="B1009" s="7"/>
      <c r="C1009" s="41"/>
      <c r="D1009" s="27"/>
      <c r="E1009" s="1"/>
      <c r="G1009" s="3"/>
      <c r="H1009" s="2"/>
      <c r="I1009" s="3"/>
      <c r="J1009" s="17"/>
      <c r="K1009" s="17"/>
      <c r="L1009" s="18"/>
      <c r="M1009" s="3"/>
      <c r="O1009"/>
      <c r="P1009" s="3"/>
      <c r="Q1009" s="4"/>
      <c r="R1009" s="19"/>
      <c r="S1009" s="20"/>
      <c r="T1009" s="3"/>
      <c r="U1009" s="3" t="str">
        <f t="shared" si="34"/>
        <v/>
      </c>
      <c r="V1009" s="4" t="str">
        <f t="shared" si="35"/>
        <v/>
      </c>
      <c r="W1009" s="21" t="e" cm="1">
        <f t="array" ref="W1009">_xlfn.IFS(
  A1009="BELL", "WHITE",
  A1009="GAMP", "ORANGE",
  A1009="GAMM", "GREEN",
  A1009="BWF", "YELLOW",
  OR(A1009="TNBE", A1009="TNBL", A1009="TNBD", A1009="TNWC", A1009="TNBW", A1009="THBS"), "PINK",
  A1009="CRWD", "BLUE",
  A1009="PASS", "WHITE"
)</f>
        <v>#N/A</v>
      </c>
    </row>
    <row r="1010" spans="1:23" x14ac:dyDescent="0.25">
      <c r="A1010" s="7"/>
      <c r="B1010" s="7"/>
      <c r="C1010" s="41"/>
      <c r="D1010" s="27"/>
      <c r="E1010" s="1"/>
      <c r="G1010" s="3"/>
      <c r="H1010" s="2"/>
      <c r="I1010" s="3"/>
      <c r="J1010" s="17"/>
      <c r="K1010" s="17"/>
      <c r="L1010" s="18"/>
      <c r="M1010" s="18"/>
      <c r="O1010"/>
      <c r="P1010" s="3"/>
      <c r="Q1010" s="4"/>
      <c r="R1010" s="19"/>
      <c r="S1010" s="20"/>
      <c r="T1010" s="3"/>
      <c r="U1010" s="3" t="str">
        <f t="shared" si="34"/>
        <v/>
      </c>
      <c r="V1010" s="4" t="str">
        <f t="shared" si="35"/>
        <v/>
      </c>
      <c r="W1010" s="21" t="e" cm="1">
        <f t="array" ref="W1010">_xlfn.IFS(
  A1010="BELL", "WHITE",
  A1010="GAMP", "ORANGE",
  A1010="GAMM", "GREEN",
  A1010="BWF", "YELLOW",
  OR(A1010="TNBE", A1010="TNBL", A1010="TNBD", A1010="TNWC", A1010="TNBW", A1010="THBS"), "PINK",
  A1010="CRWD", "BLUE",
  A1010="PASS", "WHITE"
)</f>
        <v>#N/A</v>
      </c>
    </row>
    <row r="1011" spans="1:23" x14ac:dyDescent="0.25">
      <c r="A1011" s="7"/>
      <c r="B1011" s="7"/>
      <c r="C1011" s="41"/>
      <c r="D1011" s="27"/>
      <c r="E1011" s="1"/>
      <c r="G1011" s="3"/>
      <c r="H1011" s="2"/>
      <c r="I1011" s="3"/>
      <c r="J1011" s="17"/>
      <c r="K1011" s="17"/>
      <c r="L1011" s="18"/>
      <c r="M1011" s="3"/>
      <c r="O1011"/>
      <c r="P1011" s="3"/>
      <c r="Q1011" s="4"/>
      <c r="R1011" s="19"/>
      <c r="S1011" s="20"/>
      <c r="T1011" s="3"/>
      <c r="U1011" s="3" t="str">
        <f t="shared" si="34"/>
        <v/>
      </c>
      <c r="V1011" s="4" t="str">
        <f t="shared" si="35"/>
        <v/>
      </c>
      <c r="W1011" s="21" t="e" cm="1">
        <f t="array" ref="W1011">_xlfn.IFS(
  A1011="BELL", "WHITE",
  A1011="GAMP", "ORANGE",
  A1011="GAMM", "GREEN",
  A1011="BWF", "YELLOW",
  OR(A1011="TNBE", A1011="TNBL", A1011="TNBD", A1011="TNWC", A1011="TNBW", A1011="THBS"), "PINK",
  A1011="CRWD", "BLUE",
  A1011="PASS", "WHITE"
)</f>
        <v>#N/A</v>
      </c>
    </row>
    <row r="1012" spans="1:23" x14ac:dyDescent="0.25">
      <c r="A1012" s="7"/>
      <c r="B1012" s="7"/>
      <c r="C1012" s="41"/>
      <c r="D1012" s="27"/>
      <c r="E1012" s="1"/>
      <c r="G1012" s="3"/>
      <c r="H1012" s="2"/>
      <c r="I1012" s="3"/>
      <c r="J1012" s="17"/>
      <c r="K1012" s="17"/>
      <c r="L1012" s="18"/>
      <c r="M1012" s="3"/>
      <c r="O1012"/>
      <c r="P1012" s="3"/>
      <c r="Q1012" s="4"/>
      <c r="R1012" s="19"/>
      <c r="S1012" s="20"/>
      <c r="T1012" s="3"/>
      <c r="U1012" s="3" t="str">
        <f t="shared" si="34"/>
        <v/>
      </c>
      <c r="V1012" s="4" t="str">
        <f t="shared" si="35"/>
        <v/>
      </c>
      <c r="W1012" s="21" t="e" cm="1">
        <f t="array" ref="W1012">_xlfn.IFS(
  A1012="BELL", "WHITE",
  A1012="GAMP", "ORANGE",
  A1012="GAMM", "GREEN",
  A1012="BWF", "YELLOW",
  OR(A1012="TNBE", A1012="TNBL", A1012="TNBD", A1012="TNWC", A1012="TNBW", A1012="THBS"), "PINK",
  A1012="CRWD", "BLUE",
  A1012="PASS", "WHITE"
)</f>
        <v>#N/A</v>
      </c>
    </row>
    <row r="1013" spans="1:23" x14ac:dyDescent="0.25">
      <c r="A1013" s="7"/>
      <c r="B1013" s="7"/>
      <c r="C1013" s="41"/>
      <c r="D1013" s="27"/>
      <c r="E1013" s="1"/>
      <c r="G1013" s="3"/>
      <c r="H1013" s="2"/>
      <c r="I1013" s="3"/>
      <c r="J1013" s="17"/>
      <c r="K1013" s="17"/>
      <c r="L1013" s="18"/>
      <c r="M1013" s="3"/>
      <c r="O1013"/>
      <c r="P1013" s="3"/>
      <c r="Q1013" s="4"/>
      <c r="R1013" s="19"/>
      <c r="S1013" s="20"/>
      <c r="T1013" s="3"/>
      <c r="U1013" s="3" t="str">
        <f t="shared" si="34"/>
        <v/>
      </c>
      <c r="V1013" s="4" t="str">
        <f t="shared" si="35"/>
        <v/>
      </c>
      <c r="W1013" s="21" t="e" cm="1">
        <f t="array" ref="W1013">_xlfn.IFS(
  A1013="BELL", "WHITE",
  A1013="GAMP", "ORANGE",
  A1013="GAMM", "GREEN",
  A1013="BWF", "YELLOW",
  OR(A1013="TNBE", A1013="TNBL", A1013="TNBD", A1013="TNWC", A1013="TNBW", A1013="THBS"), "PINK",
  A1013="CRWD", "BLUE",
  A1013="PASS", "WHITE"
)</f>
        <v>#N/A</v>
      </c>
    </row>
    <row r="1014" spans="1:23" x14ac:dyDescent="0.25">
      <c r="A1014" s="7"/>
      <c r="B1014" s="7"/>
      <c r="C1014" s="41"/>
      <c r="D1014" s="27"/>
      <c r="E1014" s="1"/>
      <c r="G1014" s="3"/>
      <c r="H1014" s="2"/>
      <c r="I1014" s="3"/>
      <c r="J1014" s="17"/>
      <c r="K1014" s="17"/>
      <c r="L1014" s="18"/>
      <c r="M1014" s="3"/>
      <c r="O1014"/>
      <c r="P1014" s="3"/>
      <c r="Q1014" s="4"/>
      <c r="R1014" s="19"/>
      <c r="S1014" s="20"/>
      <c r="T1014" s="3"/>
      <c r="U1014" s="3" t="str">
        <f t="shared" si="34"/>
        <v/>
      </c>
      <c r="V1014" s="4" t="str">
        <f t="shared" si="35"/>
        <v/>
      </c>
      <c r="W1014" s="21" t="e" cm="1">
        <f t="array" ref="W1014">_xlfn.IFS(
  A1014="BELL", "WHITE",
  A1014="GAMP", "ORANGE",
  A1014="GAMM", "GREEN",
  A1014="BWF", "YELLOW",
  OR(A1014="TNBE", A1014="TNBL", A1014="TNBD", A1014="TNWC", A1014="TNBW", A1014="THBS"), "PINK",
  A1014="CRWD", "BLUE",
  A1014="PASS", "WHITE"
)</f>
        <v>#N/A</v>
      </c>
    </row>
    <row r="1015" spans="1:23" x14ac:dyDescent="0.25">
      <c r="A1015" s="7"/>
      <c r="B1015" s="7"/>
      <c r="C1015" s="41"/>
      <c r="D1015" s="27"/>
      <c r="E1015" s="1"/>
      <c r="G1015" s="3"/>
      <c r="H1015" s="2"/>
      <c r="I1015" s="3"/>
      <c r="J1015" s="17"/>
      <c r="K1015" s="17"/>
      <c r="L1015" s="18"/>
      <c r="M1015" s="3"/>
      <c r="O1015"/>
      <c r="P1015" s="3"/>
      <c r="Q1015" s="4"/>
      <c r="R1015" s="19"/>
      <c r="S1015" s="20"/>
      <c r="T1015" s="3"/>
      <c r="U1015" s="3" t="str">
        <f t="shared" si="34"/>
        <v/>
      </c>
      <c r="V1015" s="4" t="str">
        <f t="shared" si="35"/>
        <v/>
      </c>
      <c r="W1015" s="21" t="e" cm="1">
        <f t="array" ref="W1015">_xlfn.IFS(
  A1015="BELL", "WHITE",
  A1015="GAMP", "ORANGE",
  A1015="GAMM", "GREEN",
  A1015="BWF", "YELLOW",
  OR(A1015="TNBE", A1015="TNBL", A1015="TNBD", A1015="TNWC", A1015="TNBW", A1015="THBS"), "PINK",
  A1015="CRWD", "BLUE",
  A1015="PASS", "WHITE"
)</f>
        <v>#N/A</v>
      </c>
    </row>
    <row r="1016" spans="1:23" x14ac:dyDescent="0.25">
      <c r="A1016" s="7"/>
      <c r="B1016" s="7"/>
      <c r="C1016" s="41"/>
      <c r="D1016" s="27"/>
      <c r="E1016" s="1"/>
      <c r="G1016" s="3"/>
      <c r="H1016" s="2"/>
      <c r="I1016" s="3"/>
      <c r="J1016" s="17"/>
      <c r="K1016" s="17"/>
      <c r="L1016" s="18"/>
      <c r="M1016" s="3"/>
      <c r="O1016"/>
      <c r="P1016" s="3"/>
      <c r="Q1016" s="4"/>
      <c r="R1016" s="19"/>
      <c r="S1016" s="20"/>
      <c r="T1016" s="3"/>
      <c r="U1016" s="3" t="str">
        <f t="shared" si="34"/>
        <v/>
      </c>
      <c r="V1016" s="4" t="str">
        <f t="shared" si="35"/>
        <v/>
      </c>
      <c r="W1016" s="21" t="e" cm="1">
        <f t="array" ref="W1016">_xlfn.IFS(
  A1016="BELL", "WHITE",
  A1016="GAMP", "ORANGE",
  A1016="GAMM", "GREEN",
  A1016="BWF", "YELLOW",
  OR(A1016="TNBE", A1016="TNBL", A1016="TNBD", A1016="TNWC", A1016="TNBW", A1016="THBS"), "PINK",
  A1016="CRWD", "BLUE",
  A1016="PASS", "WHITE"
)</f>
        <v>#N/A</v>
      </c>
    </row>
    <row r="1017" spans="1:23" x14ac:dyDescent="0.25">
      <c r="A1017" s="7"/>
      <c r="B1017" s="7"/>
      <c r="C1017" s="41"/>
      <c r="D1017" s="27"/>
      <c r="E1017" s="1"/>
      <c r="G1017" s="3"/>
      <c r="H1017" s="2"/>
      <c r="I1017" s="3"/>
      <c r="J1017" s="17"/>
      <c r="K1017" s="17"/>
      <c r="L1017" s="18"/>
      <c r="M1017" s="3"/>
      <c r="O1017"/>
      <c r="P1017" s="3"/>
      <c r="Q1017" s="4"/>
      <c r="R1017" s="19"/>
      <c r="S1017" s="20"/>
      <c r="T1017" s="3"/>
      <c r="U1017" s="3" t="str">
        <f t="shared" si="34"/>
        <v/>
      </c>
      <c r="V1017" s="4" t="str">
        <f t="shared" si="35"/>
        <v/>
      </c>
      <c r="W1017" s="21" t="e" cm="1">
        <f t="array" ref="W1017">_xlfn.IFS(
  A1017="BELL", "WHITE",
  A1017="GAMP", "ORANGE",
  A1017="GAMM", "GREEN",
  A1017="BWF", "YELLOW",
  OR(A1017="TNBE", A1017="TNBL", A1017="TNBD", A1017="TNWC", A1017="TNBW", A1017="THBS"), "PINK",
  A1017="CRWD", "BLUE",
  A1017="PASS", "WHITE"
)</f>
        <v>#N/A</v>
      </c>
    </row>
    <row r="1018" spans="1:23" x14ac:dyDescent="0.25">
      <c r="A1018" s="7"/>
      <c r="B1018" s="7"/>
      <c r="C1018" s="41"/>
      <c r="D1018" s="27"/>
      <c r="E1018" s="1"/>
      <c r="G1018" s="3"/>
      <c r="H1018" s="2"/>
      <c r="I1018" s="3"/>
      <c r="J1018" s="17"/>
      <c r="K1018" s="17"/>
      <c r="L1018" s="18"/>
      <c r="M1018" s="3"/>
      <c r="O1018"/>
      <c r="P1018" s="3"/>
      <c r="Q1018" s="4"/>
      <c r="R1018" s="19"/>
      <c r="S1018" s="20"/>
      <c r="T1018" s="3"/>
      <c r="U1018" s="3" t="str">
        <f t="shared" si="34"/>
        <v/>
      </c>
      <c r="V1018" s="4" t="str">
        <f t="shared" si="35"/>
        <v/>
      </c>
      <c r="W1018" s="21" t="e" cm="1">
        <f t="array" ref="W1018">_xlfn.IFS(
  A1018="BELL", "WHITE",
  A1018="GAMP", "ORANGE",
  A1018="GAMM", "GREEN",
  A1018="BWF", "YELLOW",
  OR(A1018="TNBE", A1018="TNBL", A1018="TNBD", A1018="TNWC", A1018="TNBW", A1018="THBS"), "PINK",
  A1018="CRWD", "BLUE",
  A1018="PASS", "WHITE"
)</f>
        <v>#N/A</v>
      </c>
    </row>
    <row r="1019" spans="1:23" x14ac:dyDescent="0.25">
      <c r="A1019" s="7"/>
      <c r="B1019" s="7"/>
      <c r="C1019" s="41"/>
      <c r="D1019" s="27"/>
      <c r="E1019" s="1"/>
      <c r="G1019" s="3"/>
      <c r="H1019" s="2"/>
      <c r="I1019" s="3"/>
      <c r="J1019" s="17"/>
      <c r="K1019" s="17"/>
      <c r="L1019" s="18"/>
      <c r="M1019" s="3"/>
      <c r="O1019"/>
      <c r="P1019" s="3"/>
      <c r="Q1019" s="4"/>
      <c r="R1019" s="19"/>
      <c r="S1019" s="20"/>
      <c r="T1019" s="3"/>
      <c r="U1019" s="3" t="str">
        <f t="shared" si="34"/>
        <v/>
      </c>
      <c r="V1019" s="4" t="str">
        <f t="shared" si="35"/>
        <v/>
      </c>
      <c r="W1019" s="21" t="e" cm="1">
        <f t="array" ref="W1019">_xlfn.IFS(
  A1019="BELL", "WHITE",
  A1019="GAMP", "ORANGE",
  A1019="GAMM", "GREEN",
  A1019="BWF", "YELLOW",
  OR(A1019="TNBE", A1019="TNBL", A1019="TNBD", A1019="TNWC", A1019="TNBW", A1019="THBS"), "PINK",
  A1019="CRWD", "BLUE",
  A1019="PASS", "WHITE"
)</f>
        <v>#N/A</v>
      </c>
    </row>
    <row r="1020" spans="1:23" x14ac:dyDescent="0.25">
      <c r="A1020" s="7"/>
      <c r="B1020" s="7"/>
      <c r="C1020" s="41"/>
      <c r="D1020" s="27"/>
      <c r="E1020" s="1"/>
      <c r="G1020" s="3"/>
      <c r="H1020" s="2"/>
      <c r="I1020" s="3"/>
      <c r="J1020" s="17"/>
      <c r="K1020" s="17"/>
      <c r="L1020" s="18"/>
      <c r="M1020" s="3"/>
      <c r="O1020"/>
      <c r="P1020" s="3"/>
      <c r="Q1020" s="4"/>
      <c r="R1020" s="19"/>
      <c r="S1020" s="20"/>
      <c r="T1020" s="3"/>
      <c r="U1020" s="3" t="str">
        <f t="shared" si="34"/>
        <v/>
      </c>
      <c r="V1020" s="4" t="str">
        <f t="shared" si="35"/>
        <v/>
      </c>
      <c r="W1020" s="21" t="e" cm="1">
        <f t="array" ref="W1020">_xlfn.IFS(
  A1020="BELL", "WHITE",
  A1020="GAMP", "ORANGE",
  A1020="GAMM", "GREEN",
  A1020="BWF", "YELLOW",
  OR(A1020="TNBE", A1020="TNBL", A1020="TNBD", A1020="TNWC", A1020="TNBW", A1020="THBS"), "PINK",
  A1020="CRWD", "BLUE",
  A1020="PASS", "WHITE"
)</f>
        <v>#N/A</v>
      </c>
    </row>
    <row r="1021" spans="1:23" x14ac:dyDescent="0.25">
      <c r="A1021" s="7"/>
      <c r="B1021" s="7"/>
      <c r="C1021" s="41"/>
      <c r="D1021" s="27"/>
      <c r="E1021" s="1"/>
      <c r="G1021" s="3"/>
      <c r="H1021" s="2"/>
      <c r="I1021" s="3"/>
      <c r="J1021" s="17"/>
      <c r="K1021" s="17"/>
      <c r="L1021" s="18"/>
      <c r="M1021" s="3"/>
      <c r="O1021"/>
      <c r="P1021" s="3"/>
      <c r="Q1021" s="4"/>
      <c r="R1021" s="19"/>
      <c r="S1021" s="20"/>
      <c r="T1021" s="3"/>
      <c r="U1021" s="3" t="str">
        <f t="shared" si="34"/>
        <v/>
      </c>
      <c r="V1021" s="4" t="str">
        <f t="shared" si="35"/>
        <v/>
      </c>
      <c r="W1021" s="21" t="e" cm="1">
        <f t="array" ref="W1021">_xlfn.IFS(
  A1021="BELL", "WHITE",
  A1021="GAMP", "ORANGE",
  A1021="GAMM", "GREEN",
  A1021="BWF", "YELLOW",
  OR(A1021="TNBE", A1021="TNBL", A1021="TNBD", A1021="TNWC", A1021="TNBW", A1021="THBS"), "PINK",
  A1021="CRWD", "BLUE",
  A1021="PASS", "WHITE"
)</f>
        <v>#N/A</v>
      </c>
    </row>
    <row r="1022" spans="1:23" x14ac:dyDescent="0.25">
      <c r="A1022" s="7"/>
      <c r="B1022" s="7"/>
      <c r="C1022" s="41"/>
      <c r="D1022" s="27"/>
      <c r="E1022" s="1"/>
      <c r="G1022" s="3"/>
      <c r="H1022" s="2"/>
      <c r="I1022" s="3"/>
      <c r="J1022" s="17"/>
      <c r="K1022" s="17"/>
      <c r="L1022" s="18"/>
      <c r="M1022" s="3"/>
      <c r="O1022"/>
      <c r="P1022" s="3"/>
      <c r="Q1022" s="4"/>
      <c r="R1022" s="19"/>
      <c r="S1022" s="20"/>
      <c r="T1022" s="3"/>
      <c r="U1022" s="3" t="str">
        <f t="shared" si="34"/>
        <v/>
      </c>
      <c r="V1022" s="4" t="str">
        <f t="shared" si="35"/>
        <v/>
      </c>
      <c r="W1022" s="21" t="e" cm="1">
        <f t="array" ref="W1022">_xlfn.IFS(
  A1022="BELL", "WHITE",
  A1022="GAMP", "ORANGE",
  A1022="GAMM", "GREEN",
  A1022="BWF", "YELLOW",
  OR(A1022="TNBE", A1022="TNBL", A1022="TNBD", A1022="TNWC", A1022="TNBW", A1022="THBS"), "PINK",
  A1022="CRWD", "BLUE",
  A1022="PASS", "WHITE"
)</f>
        <v>#N/A</v>
      </c>
    </row>
    <row r="1023" spans="1:23" x14ac:dyDescent="0.25">
      <c r="A1023" s="7"/>
      <c r="B1023" s="7"/>
      <c r="C1023" s="41"/>
      <c r="D1023" s="27"/>
      <c r="E1023" s="1"/>
      <c r="G1023" s="3"/>
      <c r="H1023" s="2"/>
      <c r="I1023" s="3"/>
      <c r="J1023" s="17"/>
      <c r="K1023" s="17"/>
      <c r="L1023" s="18"/>
      <c r="M1023" s="3"/>
      <c r="O1023"/>
      <c r="P1023" s="3"/>
      <c r="Q1023" s="4"/>
      <c r="R1023" s="19"/>
      <c r="S1023" s="20"/>
      <c r="T1023" s="3"/>
      <c r="U1023" s="3" t="str">
        <f t="shared" si="34"/>
        <v/>
      </c>
      <c r="V1023" s="4" t="str">
        <f t="shared" si="35"/>
        <v/>
      </c>
      <c r="W1023" s="21" t="e" cm="1">
        <f t="array" ref="W1023">_xlfn.IFS(
  A1023="BELL", "WHITE",
  A1023="GAMP", "ORANGE",
  A1023="GAMM", "GREEN",
  A1023="BWF", "YELLOW",
  OR(A1023="TNBE", A1023="TNBL", A1023="TNBD", A1023="TNWC", A1023="TNBW", A1023="THBS"), "PINK",
  A1023="CRWD", "BLUE",
  A1023="PASS", "WHITE"
)</f>
        <v>#N/A</v>
      </c>
    </row>
    <row r="1024" spans="1:23" x14ac:dyDescent="0.25">
      <c r="A1024" s="7"/>
      <c r="B1024" s="7"/>
      <c r="C1024" s="41"/>
      <c r="D1024" s="27"/>
      <c r="E1024" s="1"/>
      <c r="G1024" s="3"/>
      <c r="H1024" s="2"/>
      <c r="I1024" s="3"/>
      <c r="J1024" s="17"/>
      <c r="K1024" s="17"/>
      <c r="L1024" s="18"/>
      <c r="M1024" s="3"/>
      <c r="O1024"/>
      <c r="P1024" s="3"/>
      <c r="Q1024" s="4"/>
      <c r="R1024" s="19"/>
      <c r="S1024" s="20"/>
      <c r="T1024" s="3"/>
      <c r="U1024" s="3" t="str">
        <f t="shared" si="34"/>
        <v/>
      </c>
      <c r="V1024" s="4" t="str">
        <f t="shared" si="35"/>
        <v/>
      </c>
      <c r="W1024" s="21" t="e" cm="1">
        <f t="array" ref="W1024">_xlfn.IFS(
  A1024="BELL", "WHITE",
  A1024="GAMP", "ORANGE",
  A1024="GAMM", "GREEN",
  A1024="BWF", "YELLOW",
  OR(A1024="TNBE", A1024="TNBL", A1024="TNBD", A1024="TNWC", A1024="TNBW", A1024="THBS"), "PINK",
  A1024="CRWD", "BLUE",
  A1024="PASS", "WHITE"
)</f>
        <v>#N/A</v>
      </c>
    </row>
    <row r="1025" spans="1:23" x14ac:dyDescent="0.25">
      <c r="A1025" s="7"/>
      <c r="B1025" s="7"/>
      <c r="C1025" s="41"/>
      <c r="D1025" s="27"/>
      <c r="E1025" s="1"/>
      <c r="G1025" s="3"/>
      <c r="H1025" s="2"/>
      <c r="I1025" s="3"/>
      <c r="J1025" s="17"/>
      <c r="K1025" s="17"/>
      <c r="L1025" s="18"/>
      <c r="M1025" s="3"/>
      <c r="O1025"/>
      <c r="P1025" s="3"/>
      <c r="Q1025" s="4"/>
      <c r="R1025" s="19"/>
      <c r="S1025" s="20"/>
      <c r="T1025" s="3"/>
      <c r="U1025" s="3" t="str">
        <f t="shared" si="34"/>
        <v/>
      </c>
      <c r="V1025" s="4" t="str">
        <f t="shared" si="35"/>
        <v/>
      </c>
      <c r="W1025" s="21" t="e" cm="1">
        <f t="array" ref="W1025">_xlfn.IFS(
  A1025="BELL", "WHITE",
  A1025="GAMP", "ORANGE",
  A1025="GAMM", "GREEN",
  A1025="BWF", "YELLOW",
  OR(A1025="TNBE", A1025="TNBL", A1025="TNBD", A1025="TNWC", A1025="TNBW", A1025="THBS"), "PINK",
  A1025="CRWD", "BLUE",
  A1025="PASS", "WHITE"
)</f>
        <v>#N/A</v>
      </c>
    </row>
    <row r="1026" spans="1:23" x14ac:dyDescent="0.25">
      <c r="A1026" s="7"/>
      <c r="B1026" s="7"/>
      <c r="C1026" s="41"/>
      <c r="D1026" s="27"/>
      <c r="E1026" s="1"/>
      <c r="G1026" s="3"/>
      <c r="H1026" s="2"/>
      <c r="I1026" s="3"/>
      <c r="J1026" s="17"/>
      <c r="K1026" s="17"/>
      <c r="L1026" s="18"/>
      <c r="M1026" s="3"/>
      <c r="O1026"/>
      <c r="P1026" s="3"/>
      <c r="Q1026" s="4"/>
      <c r="R1026" s="19"/>
      <c r="S1026" s="20"/>
      <c r="T1026" s="3"/>
      <c r="U1026" s="3" t="str">
        <f t="shared" si="34"/>
        <v/>
      </c>
      <c r="V1026" s="4" t="str">
        <f t="shared" si="35"/>
        <v/>
      </c>
      <c r="W1026" s="21" t="e" cm="1">
        <f t="array" ref="W1026">_xlfn.IFS(
  A1026="BELL", "WHITE",
  A1026="GAMP", "ORANGE",
  A1026="GAMM", "GREEN",
  A1026="BWF", "YELLOW",
  OR(A1026="TNBE", A1026="TNBL", A1026="TNBD", A1026="TNWC", A1026="TNBW", A1026="THBS"), "PINK",
  A1026="CRWD", "BLUE",
  A1026="PASS", "WHITE"
)</f>
        <v>#N/A</v>
      </c>
    </row>
    <row r="1027" spans="1:23" x14ac:dyDescent="0.25">
      <c r="A1027" s="7"/>
      <c r="B1027" s="7"/>
      <c r="C1027" s="41"/>
      <c r="D1027" s="27"/>
      <c r="E1027" s="1"/>
      <c r="G1027" s="3"/>
      <c r="H1027" s="2"/>
      <c r="I1027" s="3"/>
      <c r="J1027" s="17"/>
      <c r="K1027" s="17"/>
      <c r="L1027" s="18"/>
      <c r="M1027" s="3"/>
      <c r="O1027"/>
      <c r="P1027" s="3"/>
      <c r="Q1027" s="4"/>
      <c r="R1027" s="19"/>
      <c r="S1027" s="20"/>
      <c r="T1027" s="3"/>
      <c r="U1027" s="3" t="str">
        <f t="shared" si="34"/>
        <v/>
      </c>
      <c r="V1027" s="4" t="str">
        <f t="shared" si="35"/>
        <v/>
      </c>
      <c r="W1027" s="21" t="e" cm="1">
        <f t="array" ref="W1027">_xlfn.IFS(
  A1027="BELL", "WHITE",
  A1027="GAMP", "ORANGE",
  A1027="GAMM", "GREEN",
  A1027="BWF", "YELLOW",
  OR(A1027="TNBE", A1027="TNBL", A1027="TNBD", A1027="TNWC", A1027="TNBW", A1027="THBS"), "PINK",
  A1027="CRWD", "BLUE",
  A1027="PASS", "WHITE"
)</f>
        <v>#N/A</v>
      </c>
    </row>
    <row r="1028" spans="1:23" x14ac:dyDescent="0.25">
      <c r="A1028" s="7"/>
      <c r="B1028" s="7"/>
      <c r="C1028" s="41"/>
      <c r="D1028" s="27"/>
      <c r="E1028" s="1"/>
      <c r="G1028" s="3"/>
      <c r="H1028" s="2"/>
      <c r="I1028" s="3"/>
      <c r="J1028" s="17"/>
      <c r="K1028" s="17"/>
      <c r="L1028" s="18"/>
      <c r="M1028" s="18"/>
      <c r="O1028"/>
      <c r="P1028" s="3"/>
      <c r="Q1028" s="4"/>
      <c r="R1028" s="19"/>
      <c r="S1028" s="20"/>
      <c r="T1028" s="3"/>
      <c r="U1028" s="3" t="str">
        <f t="shared" ref="U1028:U1091" si="36">IF(T1028="","",IF(T1028&gt;I1028,H1028,T1028/G1028))</f>
        <v/>
      </c>
      <c r="V1028" s="4" t="str">
        <f t="shared" ref="V1028:V1091" si="37">IF(T1028&gt;I1028,T1028-I1028,"")</f>
        <v/>
      </c>
      <c r="W1028" s="21" t="e" cm="1">
        <f t="array" ref="W1028">_xlfn.IFS(
  A1028="BELL", "WHITE",
  A1028="GAMP", "ORANGE",
  A1028="GAMM", "GREEN",
  A1028="BWF", "YELLOW",
  OR(A1028="TNBE", A1028="TNBL", A1028="TNBD", A1028="TNWC", A1028="TNBW", A1028="THBS"), "PINK",
  A1028="CRWD", "BLUE",
  A1028="PASS", "WHITE"
)</f>
        <v>#N/A</v>
      </c>
    </row>
    <row r="1029" spans="1:23" x14ac:dyDescent="0.25">
      <c r="A1029" s="7"/>
      <c r="B1029" s="7"/>
      <c r="C1029" s="41"/>
      <c r="D1029" s="27"/>
      <c r="E1029" s="1"/>
      <c r="G1029" s="3"/>
      <c r="H1029" s="2"/>
      <c r="I1029" s="3"/>
      <c r="J1029" s="17"/>
      <c r="K1029" s="17"/>
      <c r="L1029" s="18"/>
      <c r="M1029" s="3"/>
      <c r="O1029"/>
      <c r="P1029" s="3"/>
      <c r="Q1029" s="4"/>
      <c r="R1029" s="19"/>
      <c r="S1029" s="20"/>
      <c r="T1029" s="3"/>
      <c r="U1029" s="3" t="str">
        <f t="shared" si="36"/>
        <v/>
      </c>
      <c r="V1029" s="4" t="str">
        <f t="shared" si="37"/>
        <v/>
      </c>
      <c r="W1029" s="21" t="e" cm="1">
        <f t="array" ref="W1029">_xlfn.IFS(
  A1029="BELL", "WHITE",
  A1029="GAMP", "ORANGE",
  A1029="GAMM", "GREEN",
  A1029="BWF", "YELLOW",
  OR(A1029="TNBE", A1029="TNBL", A1029="TNBD", A1029="TNWC", A1029="TNBW", A1029="THBS"), "PINK",
  A1029="CRWD", "BLUE",
  A1029="PASS", "WHITE"
)</f>
        <v>#N/A</v>
      </c>
    </row>
    <row r="1030" spans="1:23" x14ac:dyDescent="0.25">
      <c r="A1030" s="7"/>
      <c r="B1030" s="7"/>
      <c r="C1030" s="41"/>
      <c r="D1030" s="27"/>
      <c r="E1030" s="1"/>
      <c r="G1030" s="3"/>
      <c r="H1030" s="2"/>
      <c r="I1030" s="3"/>
      <c r="J1030" s="17"/>
      <c r="K1030" s="17"/>
      <c r="L1030" s="18"/>
      <c r="M1030" s="3"/>
      <c r="O1030"/>
      <c r="P1030" s="3"/>
      <c r="Q1030" s="4"/>
      <c r="R1030" s="19"/>
      <c r="S1030" s="20"/>
      <c r="T1030" s="3"/>
      <c r="U1030" s="3" t="str">
        <f t="shared" si="36"/>
        <v/>
      </c>
      <c r="V1030" s="4" t="str">
        <f t="shared" si="37"/>
        <v/>
      </c>
      <c r="W1030" s="21" t="e" cm="1">
        <f t="array" ref="W1030">_xlfn.IFS(
  A1030="BELL", "WHITE",
  A1030="GAMP", "ORANGE",
  A1030="GAMM", "GREEN",
  A1030="BWF", "YELLOW",
  OR(A1030="TNBE", A1030="TNBL", A1030="TNBD", A1030="TNWC", A1030="TNBW", A1030="THBS"), "PINK",
  A1030="CRWD", "BLUE",
  A1030="PASS", "WHITE"
)</f>
        <v>#N/A</v>
      </c>
    </row>
    <row r="1031" spans="1:23" x14ac:dyDescent="0.25">
      <c r="A1031" s="7"/>
      <c r="B1031" s="7"/>
      <c r="C1031" s="41"/>
      <c r="D1031" s="27"/>
      <c r="E1031" s="1"/>
      <c r="G1031" s="3"/>
      <c r="H1031" s="2"/>
      <c r="I1031" s="3"/>
      <c r="J1031" s="17"/>
      <c r="K1031" s="17"/>
      <c r="L1031" s="18"/>
      <c r="M1031" s="3"/>
      <c r="O1031"/>
      <c r="P1031" s="3"/>
      <c r="Q1031" s="4"/>
      <c r="R1031" s="19"/>
      <c r="S1031" s="20"/>
      <c r="T1031" s="3"/>
      <c r="U1031" s="3" t="str">
        <f t="shared" si="36"/>
        <v/>
      </c>
      <c r="V1031" s="4" t="str">
        <f t="shared" si="37"/>
        <v/>
      </c>
      <c r="W1031" s="21" t="e" cm="1">
        <f t="array" ref="W1031">_xlfn.IFS(
  A1031="BELL", "WHITE",
  A1031="GAMP", "ORANGE",
  A1031="GAMM", "GREEN",
  A1031="BWF", "YELLOW",
  OR(A1031="TNBE", A1031="TNBL", A1031="TNBD", A1031="TNWC", A1031="TNBW", A1031="THBS"), "PINK",
  A1031="CRWD", "BLUE",
  A1031="PASS", "WHITE"
)</f>
        <v>#N/A</v>
      </c>
    </row>
    <row r="1032" spans="1:23" x14ac:dyDescent="0.25">
      <c r="A1032" s="7"/>
      <c r="B1032" s="7"/>
      <c r="C1032" s="41"/>
      <c r="D1032" s="27"/>
      <c r="E1032" s="1"/>
      <c r="G1032" s="3"/>
      <c r="H1032" s="2"/>
      <c r="I1032" s="3"/>
      <c r="J1032" s="17"/>
      <c r="K1032" s="17"/>
      <c r="L1032" s="18"/>
      <c r="M1032" s="3"/>
      <c r="O1032"/>
      <c r="P1032" s="3"/>
      <c r="Q1032" s="4"/>
      <c r="R1032" s="19"/>
      <c r="S1032" s="20"/>
      <c r="T1032" s="3"/>
      <c r="U1032" s="3" t="str">
        <f t="shared" si="36"/>
        <v/>
      </c>
      <c r="V1032" s="4" t="str">
        <f t="shared" si="37"/>
        <v/>
      </c>
      <c r="W1032" s="21" t="e" cm="1">
        <f t="array" ref="W1032">_xlfn.IFS(
  A1032="BELL", "WHITE",
  A1032="GAMP", "ORANGE",
  A1032="GAMM", "GREEN",
  A1032="BWF", "YELLOW",
  OR(A1032="TNBE", A1032="TNBL", A1032="TNBD", A1032="TNWC", A1032="TNBW", A1032="THBS"), "PINK",
  A1032="CRWD", "BLUE",
  A1032="PASS", "WHITE"
)</f>
        <v>#N/A</v>
      </c>
    </row>
    <row r="1033" spans="1:23" x14ac:dyDescent="0.25">
      <c r="A1033" s="7"/>
      <c r="B1033" s="7"/>
      <c r="C1033" s="41"/>
      <c r="D1033" s="27"/>
      <c r="E1033" s="1"/>
      <c r="G1033" s="3"/>
      <c r="H1033" s="2"/>
      <c r="I1033" s="3"/>
      <c r="J1033" s="17"/>
      <c r="K1033" s="17"/>
      <c r="L1033" s="18"/>
      <c r="M1033" s="3"/>
      <c r="O1033"/>
      <c r="P1033" s="3"/>
      <c r="Q1033" s="4"/>
      <c r="R1033" s="19"/>
      <c r="S1033" s="20"/>
      <c r="T1033" s="3"/>
      <c r="U1033" s="3" t="str">
        <f t="shared" si="36"/>
        <v/>
      </c>
      <c r="V1033" s="4" t="str">
        <f t="shared" si="37"/>
        <v/>
      </c>
      <c r="W1033" s="21" t="e" cm="1">
        <f t="array" ref="W1033">_xlfn.IFS(
  A1033="BELL", "WHITE",
  A1033="GAMP", "ORANGE",
  A1033="GAMM", "GREEN",
  A1033="BWF", "YELLOW",
  OR(A1033="TNBE", A1033="TNBL", A1033="TNBD", A1033="TNWC", A1033="TNBW", A1033="THBS"), "PINK",
  A1033="CRWD", "BLUE",
  A1033="PASS", "WHITE"
)</f>
        <v>#N/A</v>
      </c>
    </row>
    <row r="1034" spans="1:23" x14ac:dyDescent="0.25">
      <c r="A1034" s="7"/>
      <c r="B1034" s="7"/>
      <c r="C1034" s="41"/>
      <c r="D1034" s="27"/>
      <c r="E1034" s="1"/>
      <c r="G1034" s="3"/>
      <c r="H1034" s="2"/>
      <c r="I1034" s="3"/>
      <c r="J1034" s="17"/>
      <c r="K1034" s="17"/>
      <c r="L1034" s="18"/>
      <c r="M1034" s="3"/>
      <c r="O1034"/>
      <c r="P1034" s="3"/>
      <c r="Q1034" s="4"/>
      <c r="R1034" s="19"/>
      <c r="S1034" s="20"/>
      <c r="T1034" s="3"/>
      <c r="U1034" s="3" t="str">
        <f t="shared" si="36"/>
        <v/>
      </c>
      <c r="V1034" s="4" t="str">
        <f t="shared" si="37"/>
        <v/>
      </c>
      <c r="W1034" s="21" t="e" cm="1">
        <f t="array" ref="W1034">_xlfn.IFS(
  A1034="BELL", "WHITE",
  A1034="GAMP", "ORANGE",
  A1034="GAMM", "GREEN",
  A1034="BWF", "YELLOW",
  OR(A1034="TNBE", A1034="TNBL", A1034="TNBD", A1034="TNWC", A1034="TNBW", A1034="THBS"), "PINK",
  A1034="CRWD", "BLUE",
  A1034="PASS", "WHITE"
)</f>
        <v>#N/A</v>
      </c>
    </row>
    <row r="1035" spans="1:23" x14ac:dyDescent="0.25">
      <c r="A1035" s="7"/>
      <c r="B1035" s="7"/>
      <c r="C1035" s="41"/>
      <c r="D1035" s="27"/>
      <c r="E1035" s="1"/>
      <c r="G1035" s="3"/>
      <c r="H1035" s="2"/>
      <c r="I1035" s="3"/>
      <c r="J1035" s="17"/>
      <c r="K1035" s="17"/>
      <c r="L1035" s="18"/>
      <c r="M1035" s="3"/>
      <c r="O1035"/>
      <c r="P1035" s="3"/>
      <c r="Q1035" s="4"/>
      <c r="R1035" s="19"/>
      <c r="S1035" s="20"/>
      <c r="T1035" s="3"/>
      <c r="U1035" s="3" t="str">
        <f t="shared" si="36"/>
        <v/>
      </c>
      <c r="V1035" s="4" t="str">
        <f t="shared" si="37"/>
        <v/>
      </c>
      <c r="W1035" s="21" t="e" cm="1">
        <f t="array" ref="W1035">_xlfn.IFS(
  A1035="BELL", "WHITE",
  A1035="GAMP", "ORANGE",
  A1035="GAMM", "GREEN",
  A1035="BWF", "YELLOW",
  OR(A1035="TNBE", A1035="TNBL", A1035="TNBD", A1035="TNWC", A1035="TNBW", A1035="THBS"), "PINK",
  A1035="CRWD", "BLUE",
  A1035="PASS", "WHITE"
)</f>
        <v>#N/A</v>
      </c>
    </row>
    <row r="1036" spans="1:23" x14ac:dyDescent="0.25">
      <c r="A1036" s="7"/>
      <c r="B1036" s="7"/>
      <c r="C1036" s="41"/>
      <c r="D1036" s="27"/>
      <c r="E1036" s="1"/>
      <c r="G1036" s="3"/>
      <c r="H1036" s="2"/>
      <c r="I1036" s="3"/>
      <c r="J1036" s="17"/>
      <c r="K1036" s="17"/>
      <c r="L1036" s="18"/>
      <c r="M1036" s="3"/>
      <c r="O1036"/>
      <c r="P1036" s="3"/>
      <c r="Q1036" s="4"/>
      <c r="R1036" s="19"/>
      <c r="S1036" s="20"/>
      <c r="T1036" s="3"/>
      <c r="U1036" s="3" t="str">
        <f t="shared" si="36"/>
        <v/>
      </c>
      <c r="V1036" s="4" t="str">
        <f t="shared" si="37"/>
        <v/>
      </c>
      <c r="W1036" s="21" t="e" cm="1">
        <f t="array" ref="W1036">_xlfn.IFS(
  A1036="BELL", "WHITE",
  A1036="GAMP", "ORANGE",
  A1036="GAMM", "GREEN",
  A1036="BWF", "YELLOW",
  OR(A1036="TNBE", A1036="TNBL", A1036="TNBD", A1036="TNWC", A1036="TNBW", A1036="THBS"), "PINK",
  A1036="CRWD", "BLUE",
  A1036="PASS", "WHITE"
)</f>
        <v>#N/A</v>
      </c>
    </row>
    <row r="1037" spans="1:23" x14ac:dyDescent="0.25">
      <c r="A1037" s="7"/>
      <c r="B1037" s="7"/>
      <c r="C1037" s="41"/>
      <c r="D1037" s="27"/>
      <c r="E1037" s="1"/>
      <c r="G1037" s="3"/>
      <c r="H1037" s="2"/>
      <c r="I1037" s="3"/>
      <c r="J1037" s="17"/>
      <c r="K1037" s="17"/>
      <c r="L1037" s="18"/>
      <c r="M1037" s="3"/>
      <c r="O1037"/>
      <c r="P1037" s="3"/>
      <c r="Q1037" s="4"/>
      <c r="R1037" s="19"/>
      <c r="S1037" s="20"/>
      <c r="T1037" s="3"/>
      <c r="U1037" s="3" t="str">
        <f t="shared" si="36"/>
        <v/>
      </c>
      <c r="V1037" s="4" t="str">
        <f t="shared" si="37"/>
        <v/>
      </c>
      <c r="W1037" s="21" t="e" cm="1">
        <f t="array" ref="W1037">_xlfn.IFS(
  A1037="BELL", "WHITE",
  A1037="GAMP", "ORANGE",
  A1037="GAMM", "GREEN",
  A1037="BWF", "YELLOW",
  OR(A1037="TNBE", A1037="TNBL", A1037="TNBD", A1037="TNWC", A1037="TNBW", A1037="THBS"), "PINK",
  A1037="CRWD", "BLUE",
  A1037="PASS", "WHITE"
)</f>
        <v>#N/A</v>
      </c>
    </row>
    <row r="1038" spans="1:23" x14ac:dyDescent="0.25">
      <c r="A1038" s="7"/>
      <c r="B1038" s="7"/>
      <c r="C1038" s="41"/>
      <c r="D1038" s="27"/>
      <c r="E1038" s="1"/>
      <c r="G1038" s="3"/>
      <c r="H1038" s="2"/>
      <c r="I1038" s="3"/>
      <c r="J1038" s="17"/>
      <c r="K1038" s="17"/>
      <c r="L1038" s="18"/>
      <c r="M1038" s="3"/>
      <c r="O1038"/>
      <c r="P1038" s="3"/>
      <c r="Q1038" s="4"/>
      <c r="R1038" s="19"/>
      <c r="S1038" s="20"/>
      <c r="T1038" s="3"/>
      <c r="U1038" s="3" t="str">
        <f t="shared" si="36"/>
        <v/>
      </c>
      <c r="V1038" s="4" t="str">
        <f t="shared" si="37"/>
        <v/>
      </c>
      <c r="W1038" s="21" t="e" cm="1">
        <f t="array" ref="W1038">_xlfn.IFS(
  A1038="BELL", "WHITE",
  A1038="GAMP", "ORANGE",
  A1038="GAMM", "GREEN",
  A1038="BWF", "YELLOW",
  OR(A1038="TNBE", A1038="TNBL", A1038="TNBD", A1038="TNWC", A1038="TNBW", A1038="THBS"), "PINK",
  A1038="CRWD", "BLUE",
  A1038="PASS", "WHITE"
)</f>
        <v>#N/A</v>
      </c>
    </row>
    <row r="1039" spans="1:23" x14ac:dyDescent="0.25">
      <c r="A1039" s="7"/>
      <c r="B1039" s="7"/>
      <c r="C1039" s="41"/>
      <c r="D1039" s="27"/>
      <c r="E1039" s="1"/>
      <c r="G1039" s="3"/>
      <c r="H1039" s="2"/>
      <c r="I1039" s="3"/>
      <c r="J1039" s="17"/>
      <c r="K1039" s="17"/>
      <c r="L1039" s="18"/>
      <c r="M1039" s="18"/>
      <c r="O1039"/>
      <c r="P1039" s="3"/>
      <c r="Q1039" s="4"/>
      <c r="R1039" s="19"/>
      <c r="S1039" s="20"/>
      <c r="T1039" s="3"/>
      <c r="U1039" s="3" t="str">
        <f t="shared" si="36"/>
        <v/>
      </c>
      <c r="V1039" s="4" t="str">
        <f t="shared" si="37"/>
        <v/>
      </c>
      <c r="W1039" s="21" t="e" cm="1">
        <f t="array" ref="W1039">_xlfn.IFS(
  A1039="BELL", "WHITE",
  A1039="GAMP", "ORANGE",
  A1039="GAMM", "GREEN",
  A1039="BWF", "YELLOW",
  OR(A1039="TNBE", A1039="TNBL", A1039="TNBD", A1039="TNWC", A1039="TNBW", A1039="THBS"), "PINK",
  A1039="CRWD", "BLUE",
  A1039="PASS", "WHITE"
)</f>
        <v>#N/A</v>
      </c>
    </row>
    <row r="1040" spans="1:23" x14ac:dyDescent="0.25">
      <c r="A1040" s="7"/>
      <c r="B1040" s="7"/>
      <c r="C1040" s="41"/>
      <c r="D1040" s="27"/>
      <c r="E1040" s="1"/>
      <c r="G1040" s="3"/>
      <c r="H1040" s="2"/>
      <c r="I1040" s="3"/>
      <c r="J1040" s="17"/>
      <c r="K1040" s="17"/>
      <c r="L1040" s="18"/>
      <c r="M1040" s="3"/>
      <c r="O1040"/>
      <c r="P1040" s="3"/>
      <c r="Q1040" s="4"/>
      <c r="R1040" s="19"/>
      <c r="S1040" s="20"/>
      <c r="T1040" s="3"/>
      <c r="U1040" s="3" t="str">
        <f t="shared" si="36"/>
        <v/>
      </c>
      <c r="V1040" s="4" t="str">
        <f t="shared" si="37"/>
        <v/>
      </c>
      <c r="W1040" s="21" t="e" cm="1">
        <f t="array" ref="W1040">_xlfn.IFS(
  A1040="BELL", "WHITE",
  A1040="GAMP", "ORANGE",
  A1040="GAMM", "GREEN",
  A1040="BWF", "YELLOW",
  OR(A1040="TNBE", A1040="TNBL", A1040="TNBD", A1040="TNWC", A1040="TNBW", A1040="THBS"), "PINK",
  A1040="CRWD", "BLUE",
  A1040="PASS", "WHITE"
)</f>
        <v>#N/A</v>
      </c>
    </row>
    <row r="1041" spans="1:23" x14ac:dyDescent="0.25">
      <c r="A1041" s="7"/>
      <c r="B1041" s="7"/>
      <c r="C1041" s="41"/>
      <c r="D1041" s="27"/>
      <c r="E1041" s="1"/>
      <c r="G1041" s="3"/>
      <c r="H1041" s="2"/>
      <c r="I1041" s="3"/>
      <c r="J1041" s="17"/>
      <c r="K1041" s="17"/>
      <c r="L1041" s="18"/>
      <c r="M1041" s="3"/>
      <c r="O1041"/>
      <c r="P1041" s="3"/>
      <c r="Q1041" s="4"/>
      <c r="R1041" s="19"/>
      <c r="S1041" s="20"/>
      <c r="T1041" s="3"/>
      <c r="U1041" s="3" t="str">
        <f t="shared" si="36"/>
        <v/>
      </c>
      <c r="V1041" s="4" t="str">
        <f t="shared" si="37"/>
        <v/>
      </c>
      <c r="W1041" s="21" t="e" cm="1">
        <f t="array" ref="W1041">_xlfn.IFS(
  A1041="BELL", "WHITE",
  A1041="GAMP", "ORANGE",
  A1041="GAMM", "GREEN",
  A1041="BWF", "YELLOW",
  OR(A1041="TNBE", A1041="TNBL", A1041="TNBD", A1041="TNWC", A1041="TNBW", A1041="THBS"), "PINK",
  A1041="CRWD", "BLUE",
  A1041="PASS", "WHITE"
)</f>
        <v>#N/A</v>
      </c>
    </row>
    <row r="1042" spans="1:23" x14ac:dyDescent="0.25">
      <c r="A1042" s="7"/>
      <c r="B1042" s="7"/>
      <c r="C1042" s="41"/>
      <c r="D1042" s="27"/>
      <c r="E1042" s="1"/>
      <c r="G1042" s="3"/>
      <c r="H1042" s="2"/>
      <c r="I1042" s="3"/>
      <c r="J1042" s="17"/>
      <c r="K1042" s="17"/>
      <c r="L1042" s="18"/>
      <c r="M1042" s="3"/>
      <c r="O1042"/>
      <c r="P1042" s="3"/>
      <c r="Q1042" s="4"/>
      <c r="R1042" s="19"/>
      <c r="S1042" s="20"/>
      <c r="T1042" s="3"/>
      <c r="U1042" s="3" t="str">
        <f t="shared" si="36"/>
        <v/>
      </c>
      <c r="V1042" s="4" t="str">
        <f t="shared" si="37"/>
        <v/>
      </c>
      <c r="W1042" s="21" t="e" cm="1">
        <f t="array" ref="W1042">_xlfn.IFS(
  A1042="BELL", "WHITE",
  A1042="GAMP", "ORANGE",
  A1042="GAMM", "GREEN",
  A1042="BWF", "YELLOW",
  OR(A1042="TNBE", A1042="TNBL", A1042="TNBD", A1042="TNWC", A1042="TNBW", A1042="THBS"), "PINK",
  A1042="CRWD", "BLUE",
  A1042="PASS", "WHITE"
)</f>
        <v>#N/A</v>
      </c>
    </row>
    <row r="1043" spans="1:23" x14ac:dyDescent="0.25">
      <c r="A1043" s="7"/>
      <c r="B1043" s="7"/>
      <c r="C1043" s="41"/>
      <c r="D1043" s="27"/>
      <c r="E1043" s="1"/>
      <c r="G1043" s="3"/>
      <c r="H1043" s="2"/>
      <c r="I1043" s="3"/>
      <c r="J1043" s="17"/>
      <c r="K1043" s="17"/>
      <c r="L1043" s="18"/>
      <c r="M1043" s="3"/>
      <c r="O1043"/>
      <c r="P1043" s="3"/>
      <c r="Q1043" s="4"/>
      <c r="R1043" s="19"/>
      <c r="S1043" s="20"/>
      <c r="T1043" s="3"/>
      <c r="U1043" s="3" t="str">
        <f t="shared" si="36"/>
        <v/>
      </c>
      <c r="V1043" s="4" t="str">
        <f t="shared" si="37"/>
        <v/>
      </c>
      <c r="W1043" s="21" t="e" cm="1">
        <f t="array" ref="W1043">_xlfn.IFS(
  A1043="BELL", "WHITE",
  A1043="GAMP", "ORANGE",
  A1043="GAMM", "GREEN",
  A1043="BWF", "YELLOW",
  OR(A1043="TNBE", A1043="TNBL", A1043="TNBD", A1043="TNWC", A1043="TNBW", A1043="THBS"), "PINK",
  A1043="CRWD", "BLUE",
  A1043="PASS", "WHITE"
)</f>
        <v>#N/A</v>
      </c>
    </row>
    <row r="1044" spans="1:23" x14ac:dyDescent="0.25">
      <c r="A1044" s="7"/>
      <c r="B1044" s="7"/>
      <c r="C1044" s="41"/>
      <c r="D1044" s="27"/>
      <c r="E1044" s="1"/>
      <c r="G1044" s="3"/>
      <c r="H1044" s="2"/>
      <c r="I1044" s="3"/>
      <c r="J1044" s="17"/>
      <c r="K1044" s="17"/>
      <c r="L1044" s="18"/>
      <c r="M1044" s="3"/>
      <c r="O1044"/>
      <c r="P1044" s="3"/>
      <c r="Q1044" s="4"/>
      <c r="R1044" s="19"/>
      <c r="S1044" s="20"/>
      <c r="T1044" s="3"/>
      <c r="U1044" s="3" t="str">
        <f t="shared" si="36"/>
        <v/>
      </c>
      <c r="V1044" s="4" t="str">
        <f t="shared" si="37"/>
        <v/>
      </c>
      <c r="W1044" s="21" t="e" cm="1">
        <f t="array" ref="W1044">_xlfn.IFS(
  A1044="BELL", "WHITE",
  A1044="GAMP", "ORANGE",
  A1044="GAMM", "GREEN",
  A1044="BWF", "YELLOW",
  OR(A1044="TNBE", A1044="TNBL", A1044="TNBD", A1044="TNWC", A1044="TNBW", A1044="THBS"), "PINK",
  A1044="CRWD", "BLUE",
  A1044="PASS", "WHITE"
)</f>
        <v>#N/A</v>
      </c>
    </row>
    <row r="1045" spans="1:23" x14ac:dyDescent="0.25">
      <c r="A1045" s="7"/>
      <c r="B1045" s="7"/>
      <c r="C1045" s="41"/>
      <c r="D1045" s="27"/>
      <c r="E1045" s="1"/>
      <c r="G1045" s="3"/>
      <c r="H1045" s="2"/>
      <c r="I1045" s="3"/>
      <c r="J1045" s="17"/>
      <c r="K1045" s="17"/>
      <c r="L1045" s="18"/>
      <c r="M1045" s="3"/>
      <c r="O1045"/>
      <c r="P1045" s="3"/>
      <c r="Q1045" s="4"/>
      <c r="R1045" s="19"/>
      <c r="S1045" s="20"/>
      <c r="T1045" s="3"/>
      <c r="U1045" s="3" t="str">
        <f t="shared" si="36"/>
        <v/>
      </c>
      <c r="V1045" s="4" t="str">
        <f t="shared" si="37"/>
        <v/>
      </c>
      <c r="W1045" s="21" t="e" cm="1">
        <f t="array" ref="W1045">_xlfn.IFS(
  A1045="BELL", "WHITE",
  A1045="GAMP", "ORANGE",
  A1045="GAMM", "GREEN",
  A1045="BWF", "YELLOW",
  OR(A1045="TNBE", A1045="TNBL", A1045="TNBD", A1045="TNWC", A1045="TNBW", A1045="THBS"), "PINK",
  A1045="CRWD", "BLUE",
  A1045="PASS", "WHITE"
)</f>
        <v>#N/A</v>
      </c>
    </row>
    <row r="1046" spans="1:23" x14ac:dyDescent="0.25">
      <c r="A1046" s="7"/>
      <c r="B1046" s="7"/>
      <c r="C1046" s="41"/>
      <c r="D1046" s="27"/>
      <c r="E1046" s="1"/>
      <c r="G1046" s="3"/>
      <c r="H1046" s="2"/>
      <c r="I1046" s="3"/>
      <c r="J1046" s="17"/>
      <c r="K1046" s="17"/>
      <c r="L1046" s="18"/>
      <c r="M1046" s="3"/>
      <c r="O1046"/>
      <c r="P1046" s="3"/>
      <c r="Q1046" s="4"/>
      <c r="R1046" s="19"/>
      <c r="S1046" s="20"/>
      <c r="T1046" s="3"/>
      <c r="U1046" s="3" t="str">
        <f t="shared" si="36"/>
        <v/>
      </c>
      <c r="V1046" s="4" t="str">
        <f t="shared" si="37"/>
        <v/>
      </c>
      <c r="W1046" s="21" t="e" cm="1">
        <f t="array" ref="W1046">_xlfn.IFS(
  A1046="BELL", "WHITE",
  A1046="GAMP", "ORANGE",
  A1046="GAMM", "GREEN",
  A1046="BWF", "YELLOW",
  OR(A1046="TNBE", A1046="TNBL", A1046="TNBD", A1046="TNWC", A1046="TNBW", A1046="THBS"), "PINK",
  A1046="CRWD", "BLUE",
  A1046="PASS", "WHITE"
)</f>
        <v>#N/A</v>
      </c>
    </row>
    <row r="1047" spans="1:23" x14ac:dyDescent="0.25">
      <c r="A1047" s="7"/>
      <c r="B1047" s="7"/>
      <c r="C1047" s="41"/>
      <c r="D1047" s="27"/>
      <c r="E1047" s="1"/>
      <c r="G1047" s="3"/>
      <c r="H1047" s="2"/>
      <c r="I1047" s="3"/>
      <c r="J1047" s="17"/>
      <c r="K1047" s="17"/>
      <c r="L1047" s="18"/>
      <c r="M1047" s="3"/>
      <c r="O1047"/>
      <c r="P1047" s="3"/>
      <c r="Q1047" s="4"/>
      <c r="R1047" s="19"/>
      <c r="S1047" s="20"/>
      <c r="T1047" s="3"/>
      <c r="U1047" s="3" t="str">
        <f t="shared" si="36"/>
        <v/>
      </c>
      <c r="V1047" s="4" t="str">
        <f t="shared" si="37"/>
        <v/>
      </c>
      <c r="W1047" s="21" t="e" cm="1">
        <f t="array" ref="W1047">_xlfn.IFS(
  A1047="BELL", "WHITE",
  A1047="GAMP", "ORANGE",
  A1047="GAMM", "GREEN",
  A1047="BWF", "YELLOW",
  OR(A1047="TNBE", A1047="TNBL", A1047="TNBD", A1047="TNWC", A1047="TNBW", A1047="THBS"), "PINK",
  A1047="CRWD", "BLUE",
  A1047="PASS", "WHITE"
)</f>
        <v>#N/A</v>
      </c>
    </row>
    <row r="1048" spans="1:23" x14ac:dyDescent="0.25">
      <c r="A1048" s="7"/>
      <c r="B1048" s="7"/>
      <c r="C1048" s="41"/>
      <c r="D1048" s="27"/>
      <c r="E1048" s="1"/>
      <c r="G1048" s="3"/>
      <c r="H1048" s="2"/>
      <c r="I1048" s="3"/>
      <c r="J1048" s="17"/>
      <c r="K1048" s="17"/>
      <c r="L1048" s="18"/>
      <c r="M1048" s="3"/>
      <c r="O1048"/>
      <c r="P1048" s="3"/>
      <c r="Q1048" s="4"/>
      <c r="R1048" s="19"/>
      <c r="S1048" s="20"/>
      <c r="T1048" s="3"/>
      <c r="U1048" s="3" t="str">
        <f t="shared" si="36"/>
        <v/>
      </c>
      <c r="V1048" s="4" t="str">
        <f t="shared" si="37"/>
        <v/>
      </c>
      <c r="W1048" s="21" t="e" cm="1">
        <f t="array" ref="W1048">_xlfn.IFS(
  A1048="BELL", "WHITE",
  A1048="GAMP", "ORANGE",
  A1048="GAMM", "GREEN",
  A1048="BWF", "YELLOW",
  OR(A1048="TNBE", A1048="TNBL", A1048="TNBD", A1048="TNWC", A1048="TNBW", A1048="THBS"), "PINK",
  A1048="CRWD", "BLUE",
  A1048="PASS", "WHITE"
)</f>
        <v>#N/A</v>
      </c>
    </row>
    <row r="1049" spans="1:23" x14ac:dyDescent="0.25">
      <c r="A1049" s="7"/>
      <c r="B1049" s="7"/>
      <c r="C1049" s="41"/>
      <c r="D1049" s="27"/>
      <c r="E1049" s="1"/>
      <c r="G1049" s="3"/>
      <c r="H1049" s="2"/>
      <c r="I1049" s="3"/>
      <c r="J1049" s="17"/>
      <c r="K1049" s="17"/>
      <c r="L1049" s="18"/>
      <c r="M1049" s="3"/>
      <c r="O1049"/>
      <c r="P1049" s="3"/>
      <c r="Q1049" s="4"/>
      <c r="R1049" s="19"/>
      <c r="S1049" s="20"/>
      <c r="T1049" s="3"/>
      <c r="U1049" s="3" t="str">
        <f t="shared" si="36"/>
        <v/>
      </c>
      <c r="V1049" s="4" t="str">
        <f t="shared" si="37"/>
        <v/>
      </c>
      <c r="W1049" s="21" t="e" cm="1">
        <f t="array" ref="W1049">_xlfn.IFS(
  A1049="BELL", "WHITE",
  A1049="GAMP", "ORANGE",
  A1049="GAMM", "GREEN",
  A1049="BWF", "YELLOW",
  OR(A1049="TNBE", A1049="TNBL", A1049="TNBD", A1049="TNWC", A1049="TNBW", A1049="THBS"), "PINK",
  A1049="CRWD", "BLUE",
  A1049="PASS", "WHITE"
)</f>
        <v>#N/A</v>
      </c>
    </row>
    <row r="1050" spans="1:23" x14ac:dyDescent="0.25">
      <c r="A1050" s="7"/>
      <c r="B1050" s="7"/>
      <c r="C1050" s="41"/>
      <c r="D1050" s="27"/>
      <c r="E1050" s="1"/>
      <c r="G1050" s="3"/>
      <c r="H1050" s="2"/>
      <c r="I1050" s="3"/>
      <c r="J1050" s="17"/>
      <c r="K1050" s="17"/>
      <c r="L1050" s="18"/>
      <c r="M1050" s="3"/>
      <c r="O1050"/>
      <c r="P1050" s="3"/>
      <c r="Q1050" s="4"/>
      <c r="R1050" s="19"/>
      <c r="S1050" s="20"/>
      <c r="T1050" s="3"/>
      <c r="U1050" s="3" t="str">
        <f t="shared" si="36"/>
        <v/>
      </c>
      <c r="V1050" s="4" t="str">
        <f t="shared" si="37"/>
        <v/>
      </c>
      <c r="W1050" s="21" t="e" cm="1">
        <f t="array" ref="W1050">_xlfn.IFS(
  A1050="BELL", "WHITE",
  A1050="GAMP", "ORANGE",
  A1050="GAMM", "GREEN",
  A1050="BWF", "YELLOW",
  OR(A1050="TNBE", A1050="TNBL", A1050="TNBD", A1050="TNWC", A1050="TNBW", A1050="THBS"), "PINK",
  A1050="CRWD", "BLUE",
  A1050="PASS", "WHITE"
)</f>
        <v>#N/A</v>
      </c>
    </row>
    <row r="1051" spans="1:23" x14ac:dyDescent="0.25">
      <c r="A1051" s="7"/>
      <c r="B1051" s="7"/>
      <c r="C1051" s="41"/>
      <c r="D1051" s="27"/>
      <c r="E1051" s="1"/>
      <c r="G1051" s="3"/>
      <c r="H1051" s="2"/>
      <c r="I1051" s="3"/>
      <c r="J1051" s="17"/>
      <c r="K1051" s="17"/>
      <c r="L1051" s="18"/>
      <c r="M1051" s="3"/>
      <c r="O1051"/>
      <c r="P1051" s="3"/>
      <c r="Q1051" s="4"/>
      <c r="R1051" s="19"/>
      <c r="S1051" s="20"/>
      <c r="T1051" s="3"/>
      <c r="U1051" s="3" t="str">
        <f t="shared" si="36"/>
        <v/>
      </c>
      <c r="V1051" s="4" t="str">
        <f t="shared" si="37"/>
        <v/>
      </c>
      <c r="W1051" s="21" t="e" cm="1">
        <f t="array" ref="W1051">_xlfn.IFS(
  A1051="BELL", "WHITE",
  A1051="GAMP", "ORANGE",
  A1051="GAMM", "GREEN",
  A1051="BWF", "YELLOW",
  OR(A1051="TNBE", A1051="TNBL", A1051="TNBD", A1051="TNWC", A1051="TNBW", A1051="THBS"), "PINK",
  A1051="CRWD", "BLUE",
  A1051="PASS", "WHITE"
)</f>
        <v>#N/A</v>
      </c>
    </row>
    <row r="1052" spans="1:23" x14ac:dyDescent="0.25">
      <c r="A1052" s="7"/>
      <c r="B1052" s="7"/>
      <c r="C1052" s="41"/>
      <c r="D1052" s="27"/>
      <c r="E1052" s="1"/>
      <c r="G1052" s="3"/>
      <c r="H1052" s="2"/>
      <c r="I1052" s="3"/>
      <c r="J1052" s="17"/>
      <c r="K1052" s="17"/>
      <c r="L1052" s="18"/>
      <c r="M1052" s="3"/>
      <c r="O1052"/>
      <c r="P1052" s="3"/>
      <c r="Q1052" s="4"/>
      <c r="R1052" s="19"/>
      <c r="S1052" s="20"/>
      <c r="T1052" s="3"/>
      <c r="U1052" s="3" t="str">
        <f t="shared" si="36"/>
        <v/>
      </c>
      <c r="V1052" s="4" t="str">
        <f t="shared" si="37"/>
        <v/>
      </c>
      <c r="W1052" s="21" t="e" cm="1">
        <f t="array" ref="W1052">_xlfn.IFS(
  A1052="BELL", "WHITE",
  A1052="GAMP", "ORANGE",
  A1052="GAMM", "GREEN",
  A1052="BWF", "YELLOW",
  OR(A1052="TNBE", A1052="TNBL", A1052="TNBD", A1052="TNWC", A1052="TNBW", A1052="THBS"), "PINK",
  A1052="CRWD", "BLUE",
  A1052="PASS", "WHITE"
)</f>
        <v>#N/A</v>
      </c>
    </row>
    <row r="1053" spans="1:23" x14ac:dyDescent="0.25">
      <c r="A1053" s="7"/>
      <c r="B1053" s="7"/>
      <c r="C1053" s="41"/>
      <c r="D1053" s="27"/>
      <c r="E1053" s="1"/>
      <c r="G1053" s="3"/>
      <c r="H1053" s="2"/>
      <c r="I1053" s="3"/>
      <c r="J1053" s="17"/>
      <c r="K1053" s="17"/>
      <c r="L1053" s="18"/>
      <c r="M1053" s="18"/>
      <c r="O1053"/>
      <c r="P1053" s="3"/>
      <c r="Q1053" s="4"/>
      <c r="R1053" s="19"/>
      <c r="S1053" s="20"/>
      <c r="T1053" s="3"/>
      <c r="U1053" s="3" t="str">
        <f t="shared" si="36"/>
        <v/>
      </c>
      <c r="V1053" s="4" t="str">
        <f t="shared" si="37"/>
        <v/>
      </c>
      <c r="W1053" s="21" t="e" cm="1">
        <f t="array" ref="W1053">_xlfn.IFS(
  A1053="BELL", "WHITE",
  A1053="GAMP", "ORANGE",
  A1053="GAMM", "GREEN",
  A1053="BWF", "YELLOW",
  OR(A1053="TNBE", A1053="TNBL", A1053="TNBD", A1053="TNWC", A1053="TNBW", A1053="THBS"), "PINK",
  A1053="CRWD", "BLUE",
  A1053="PASS", "WHITE"
)</f>
        <v>#N/A</v>
      </c>
    </row>
    <row r="1054" spans="1:23" x14ac:dyDescent="0.25">
      <c r="A1054" s="7"/>
      <c r="B1054" s="7"/>
      <c r="C1054" s="41"/>
      <c r="D1054" s="27"/>
      <c r="E1054" s="1"/>
      <c r="G1054" s="3"/>
      <c r="H1054" s="2"/>
      <c r="I1054" s="3"/>
      <c r="J1054" s="17"/>
      <c r="K1054" s="17"/>
      <c r="L1054" s="18"/>
      <c r="M1054" s="18"/>
      <c r="O1054"/>
      <c r="P1054" s="3"/>
      <c r="Q1054" s="4"/>
      <c r="R1054" s="19"/>
      <c r="S1054" s="20"/>
      <c r="T1054" s="3"/>
      <c r="U1054" s="3" t="str">
        <f t="shared" si="36"/>
        <v/>
      </c>
      <c r="V1054" s="4" t="str">
        <f t="shared" si="37"/>
        <v/>
      </c>
      <c r="W1054" s="21" t="e" cm="1">
        <f t="array" ref="W1054">_xlfn.IFS(
  A1054="BELL", "WHITE",
  A1054="GAMP", "ORANGE",
  A1054="GAMM", "GREEN",
  A1054="BWF", "YELLOW",
  OR(A1054="TNBE", A1054="TNBL", A1054="TNBD", A1054="TNWC", A1054="TNBW", A1054="THBS"), "PINK",
  A1054="CRWD", "BLUE",
  A1054="PASS", "WHITE"
)</f>
        <v>#N/A</v>
      </c>
    </row>
    <row r="1055" spans="1:23" x14ac:dyDescent="0.25">
      <c r="A1055" s="7"/>
      <c r="B1055" s="7"/>
      <c r="C1055" s="41"/>
      <c r="D1055" s="27"/>
      <c r="E1055" s="1"/>
      <c r="G1055" s="3"/>
      <c r="I1055" s="3"/>
      <c r="J1055" s="17"/>
      <c r="K1055" s="17"/>
      <c r="L1055" s="18"/>
      <c r="M1055" s="18"/>
      <c r="O1055"/>
      <c r="P1055" s="3"/>
      <c r="Q1055" s="4"/>
      <c r="R1055" s="19"/>
      <c r="S1055" s="20"/>
      <c r="T1055" s="3"/>
      <c r="U1055" s="3" t="str">
        <f t="shared" si="36"/>
        <v/>
      </c>
      <c r="V1055" s="4" t="str">
        <f t="shared" si="37"/>
        <v/>
      </c>
      <c r="W1055" s="21" t="e" cm="1">
        <f t="array" ref="W1055">_xlfn.IFS(
  A1055="BELL", "WHITE",
  A1055="GAMP", "ORANGE",
  A1055="GAMM", "GREEN",
  A1055="BWF", "YELLOW",
  OR(A1055="TNBE", A1055="TNBL", A1055="TNBD", A1055="TNWC", A1055="TNBW", A1055="THBS"), "PINK",
  A1055="CRWD", "BLUE",
  A1055="PASS", "WHITE"
)</f>
        <v>#N/A</v>
      </c>
    </row>
    <row r="1056" spans="1:23" x14ac:dyDescent="0.25">
      <c r="A1056" s="7"/>
      <c r="B1056" s="7"/>
      <c r="C1056" s="41"/>
      <c r="D1056" s="27"/>
      <c r="E1056" s="1"/>
      <c r="G1056" s="3"/>
      <c r="I1056" s="3"/>
      <c r="J1056" s="17"/>
      <c r="K1056" s="17"/>
      <c r="L1056" s="18"/>
      <c r="M1056" s="18"/>
      <c r="O1056"/>
      <c r="P1056" s="3"/>
      <c r="Q1056" s="4"/>
      <c r="R1056" s="19"/>
      <c r="S1056" s="20"/>
      <c r="T1056" s="3"/>
      <c r="U1056" s="3" t="str">
        <f t="shared" si="36"/>
        <v/>
      </c>
      <c r="V1056" s="4" t="str">
        <f t="shared" si="37"/>
        <v/>
      </c>
      <c r="W1056" s="21" t="e" cm="1">
        <f t="array" ref="W1056">_xlfn.IFS(
  A1056="BELL", "WHITE",
  A1056="GAMP", "ORANGE",
  A1056="GAMM", "GREEN",
  A1056="BWF", "YELLOW",
  OR(A1056="TNBE", A1056="TNBL", A1056="TNBD", A1056="TNWC", A1056="TNBW", A1056="THBS"), "PINK",
  A1056="CRWD", "BLUE",
  A1056="PASS", "WHITE"
)</f>
        <v>#N/A</v>
      </c>
    </row>
    <row r="1057" spans="1:23" x14ac:dyDescent="0.25">
      <c r="A1057" s="7"/>
      <c r="B1057" s="7"/>
      <c r="C1057" s="41"/>
      <c r="D1057" s="27"/>
      <c r="E1057" s="1"/>
      <c r="G1057" s="3"/>
      <c r="H1057" s="2"/>
      <c r="I1057" s="3"/>
      <c r="J1057" s="17"/>
      <c r="K1057" s="17"/>
      <c r="L1057" s="18"/>
      <c r="M1057" s="18"/>
      <c r="O1057"/>
      <c r="P1057" s="3"/>
      <c r="Q1057" s="4"/>
      <c r="R1057" s="19"/>
      <c r="S1057" s="20"/>
      <c r="T1057" s="3"/>
      <c r="U1057" s="3" t="str">
        <f t="shared" si="36"/>
        <v/>
      </c>
      <c r="V1057" s="4" t="str">
        <f t="shared" si="37"/>
        <v/>
      </c>
      <c r="W1057" s="21" t="e" cm="1">
        <f t="array" ref="W1057">_xlfn.IFS(
  A1057="BELL", "WHITE",
  A1057="GAMP", "ORANGE",
  A1057="GAMM", "GREEN",
  A1057="BWF", "YELLOW",
  OR(A1057="TNBE", A1057="TNBL", A1057="TNBD", A1057="TNWC", A1057="TNBW", A1057="THBS"), "PINK",
  A1057="CRWD", "BLUE",
  A1057="PASS", "WHITE"
)</f>
        <v>#N/A</v>
      </c>
    </row>
    <row r="1058" spans="1:23" x14ac:dyDescent="0.25">
      <c r="A1058" s="7"/>
      <c r="B1058" s="7"/>
      <c r="C1058" s="41"/>
      <c r="D1058" s="27"/>
      <c r="E1058" s="1"/>
      <c r="G1058" s="3"/>
      <c r="H1058" s="2"/>
      <c r="I1058" s="3"/>
      <c r="J1058" s="17"/>
      <c r="K1058" s="17"/>
      <c r="L1058" s="18"/>
      <c r="M1058" s="18"/>
      <c r="O1058"/>
      <c r="P1058" s="3"/>
      <c r="Q1058" s="4"/>
      <c r="R1058" s="19"/>
      <c r="S1058" s="20"/>
      <c r="T1058" s="3"/>
      <c r="U1058" s="3" t="str">
        <f t="shared" si="36"/>
        <v/>
      </c>
      <c r="V1058" s="4" t="str">
        <f t="shared" si="37"/>
        <v/>
      </c>
      <c r="W1058" s="21" t="e" cm="1">
        <f t="array" ref="W1058">_xlfn.IFS(
  A1058="BELL", "WHITE",
  A1058="GAMP", "ORANGE",
  A1058="GAMM", "GREEN",
  A1058="BWF", "YELLOW",
  OR(A1058="TNBE", A1058="TNBL", A1058="TNBD", A1058="TNWC", A1058="TNBW", A1058="THBS"), "PINK",
  A1058="CRWD", "BLUE",
  A1058="PASS", "WHITE"
)</f>
        <v>#N/A</v>
      </c>
    </row>
    <row r="1059" spans="1:23" x14ac:dyDescent="0.25">
      <c r="A1059" s="7"/>
      <c r="B1059" s="7"/>
      <c r="C1059" s="41"/>
      <c r="D1059" s="27"/>
      <c r="E1059" s="1"/>
      <c r="G1059" s="3"/>
      <c r="H1059" s="2"/>
      <c r="I1059" s="3"/>
      <c r="J1059" s="17"/>
      <c r="K1059" s="17"/>
      <c r="L1059" s="18"/>
      <c r="M1059" s="18"/>
      <c r="O1059"/>
      <c r="P1059" s="3"/>
      <c r="Q1059" s="4"/>
      <c r="R1059" s="19"/>
      <c r="S1059" s="20"/>
      <c r="T1059" s="3"/>
      <c r="U1059" s="3" t="str">
        <f t="shared" si="36"/>
        <v/>
      </c>
      <c r="V1059" s="4" t="str">
        <f t="shared" si="37"/>
        <v/>
      </c>
      <c r="W1059" s="21" t="e" cm="1">
        <f t="array" ref="W1059">_xlfn.IFS(
  A1059="BELL", "WHITE",
  A1059="GAMP", "ORANGE",
  A1059="GAMM", "GREEN",
  A1059="BWF", "YELLOW",
  OR(A1059="TNBE", A1059="TNBL", A1059="TNBD", A1059="TNWC", A1059="TNBW", A1059="THBS"), "PINK",
  A1059="CRWD", "BLUE",
  A1059="PASS", "WHITE"
)</f>
        <v>#N/A</v>
      </c>
    </row>
    <row r="1060" spans="1:23" x14ac:dyDescent="0.25">
      <c r="A1060" s="7"/>
      <c r="B1060" s="7"/>
      <c r="C1060" s="41"/>
      <c r="D1060" s="27"/>
      <c r="E1060" s="1"/>
      <c r="G1060" s="3"/>
      <c r="H1060" s="2"/>
      <c r="I1060" s="3"/>
      <c r="J1060" s="17"/>
      <c r="K1060" s="17"/>
      <c r="L1060" s="18"/>
      <c r="M1060" s="18"/>
      <c r="O1060"/>
      <c r="P1060" s="3"/>
      <c r="Q1060" s="4"/>
      <c r="R1060" s="19"/>
      <c r="S1060" s="20"/>
      <c r="T1060" s="3"/>
      <c r="U1060" s="3" t="str">
        <f t="shared" si="36"/>
        <v/>
      </c>
      <c r="V1060" s="4" t="str">
        <f t="shared" si="37"/>
        <v/>
      </c>
      <c r="W1060" s="21" t="e" cm="1">
        <f t="array" ref="W1060">_xlfn.IFS(
  A1060="BELL", "WHITE",
  A1060="GAMP", "ORANGE",
  A1060="GAMM", "GREEN",
  A1060="BWF", "YELLOW",
  OR(A1060="TNBE", A1060="TNBL", A1060="TNBD", A1060="TNWC", A1060="TNBW", A1060="THBS"), "PINK",
  A1060="CRWD", "BLUE",
  A1060="PASS", "WHITE"
)</f>
        <v>#N/A</v>
      </c>
    </row>
    <row r="1061" spans="1:23" x14ac:dyDescent="0.25">
      <c r="A1061" s="7"/>
      <c r="B1061" s="7"/>
      <c r="C1061" s="41"/>
      <c r="D1061" s="27"/>
      <c r="E1061" s="1"/>
      <c r="G1061" s="3"/>
      <c r="H1061" s="2"/>
      <c r="I1061" s="3"/>
      <c r="J1061" s="17"/>
      <c r="K1061" s="17"/>
      <c r="L1061" s="18"/>
      <c r="M1061" s="18"/>
      <c r="O1061"/>
      <c r="P1061" s="3"/>
      <c r="Q1061" s="4"/>
      <c r="R1061" s="19"/>
      <c r="S1061" s="20"/>
      <c r="T1061" s="3"/>
      <c r="U1061" s="3" t="str">
        <f t="shared" si="36"/>
        <v/>
      </c>
      <c r="V1061" s="4" t="str">
        <f t="shared" si="37"/>
        <v/>
      </c>
      <c r="W1061" s="21" t="e" cm="1">
        <f t="array" ref="W1061">_xlfn.IFS(
  A1061="BELL", "WHITE",
  A1061="GAMP", "ORANGE",
  A1061="GAMM", "GREEN",
  A1061="BWF", "YELLOW",
  OR(A1061="TNBE", A1061="TNBL", A1061="TNBD", A1061="TNWC", A1061="TNBW", A1061="THBS"), "PINK",
  A1061="CRWD", "BLUE",
  A1061="PASS", "WHITE"
)</f>
        <v>#N/A</v>
      </c>
    </row>
    <row r="1062" spans="1:23" x14ac:dyDescent="0.25">
      <c r="A1062" s="7"/>
      <c r="B1062" s="7"/>
      <c r="C1062" s="41"/>
      <c r="D1062" s="27"/>
      <c r="E1062" s="1"/>
      <c r="G1062" s="3"/>
      <c r="H1062" s="2"/>
      <c r="I1062" s="3"/>
      <c r="J1062" s="17"/>
      <c r="K1062" s="17"/>
      <c r="L1062" s="18"/>
      <c r="M1062" s="18"/>
      <c r="O1062"/>
      <c r="P1062" s="3"/>
      <c r="Q1062" s="4"/>
      <c r="R1062" s="19"/>
      <c r="S1062" s="20"/>
      <c r="T1062" s="3"/>
      <c r="U1062" s="3" t="str">
        <f t="shared" si="36"/>
        <v/>
      </c>
      <c r="V1062" s="4" t="str">
        <f t="shared" si="37"/>
        <v/>
      </c>
      <c r="W1062" s="21" t="e" cm="1">
        <f t="array" ref="W1062">_xlfn.IFS(
  A1062="BELL", "WHITE",
  A1062="GAMP", "ORANGE",
  A1062="GAMM", "GREEN",
  A1062="BWF", "YELLOW",
  OR(A1062="TNBE", A1062="TNBL", A1062="TNBD", A1062="TNWC", A1062="TNBW", A1062="THBS"), "PINK",
  A1062="CRWD", "BLUE",
  A1062="PASS", "WHITE"
)</f>
        <v>#N/A</v>
      </c>
    </row>
    <row r="1063" spans="1:23" x14ac:dyDescent="0.25">
      <c r="A1063" s="7"/>
      <c r="B1063" s="7"/>
      <c r="C1063" s="41"/>
      <c r="D1063" s="27"/>
      <c r="E1063" s="1"/>
      <c r="G1063" s="3"/>
      <c r="H1063" s="2"/>
      <c r="I1063" s="3"/>
      <c r="J1063" s="17"/>
      <c r="K1063" s="17"/>
      <c r="L1063" s="18"/>
      <c r="M1063" s="18"/>
      <c r="O1063"/>
      <c r="P1063" s="3"/>
      <c r="Q1063" s="4"/>
      <c r="R1063" s="19"/>
      <c r="S1063" s="20"/>
      <c r="T1063" s="3"/>
      <c r="U1063" s="3" t="str">
        <f t="shared" si="36"/>
        <v/>
      </c>
      <c r="V1063" s="4" t="str">
        <f t="shared" si="37"/>
        <v/>
      </c>
      <c r="W1063" s="21" t="e" cm="1">
        <f t="array" ref="W1063">_xlfn.IFS(
  A1063="BELL", "WHITE",
  A1063="GAMP", "ORANGE",
  A1063="GAMM", "GREEN",
  A1063="BWF", "YELLOW",
  OR(A1063="TNBE", A1063="TNBL", A1063="TNBD", A1063="TNWC", A1063="TNBW", A1063="THBS"), "PINK",
  A1063="CRWD", "BLUE",
  A1063="PASS", "WHITE"
)</f>
        <v>#N/A</v>
      </c>
    </row>
    <row r="1064" spans="1:23" x14ac:dyDescent="0.25">
      <c r="A1064" s="7"/>
      <c r="B1064" s="7"/>
      <c r="C1064" s="41"/>
      <c r="D1064" s="27"/>
      <c r="E1064" s="1"/>
      <c r="G1064" s="3"/>
      <c r="H1064" s="2"/>
      <c r="I1064" s="3"/>
      <c r="J1064" s="17"/>
      <c r="K1064" s="17"/>
      <c r="L1064" s="18"/>
      <c r="M1064" s="18"/>
      <c r="O1064"/>
      <c r="P1064" s="3"/>
      <c r="Q1064" s="4"/>
      <c r="R1064" s="19"/>
      <c r="S1064" s="20"/>
      <c r="T1064" s="3"/>
      <c r="U1064" s="3" t="str">
        <f t="shared" si="36"/>
        <v/>
      </c>
      <c r="V1064" s="4" t="str">
        <f t="shared" si="37"/>
        <v/>
      </c>
      <c r="W1064" s="21" t="e" cm="1">
        <f t="array" ref="W1064">_xlfn.IFS(
  A1064="BELL", "WHITE",
  A1064="GAMP", "ORANGE",
  A1064="GAMM", "GREEN",
  A1064="BWF", "YELLOW",
  OR(A1064="TNBE", A1064="TNBL", A1064="TNBD", A1064="TNWC", A1064="TNBW", A1064="THBS"), "PINK",
  A1064="CRWD", "BLUE",
  A1064="PASS", "WHITE"
)</f>
        <v>#N/A</v>
      </c>
    </row>
    <row r="1065" spans="1:23" x14ac:dyDescent="0.25">
      <c r="A1065" s="7"/>
      <c r="B1065" s="7"/>
      <c r="C1065" s="41"/>
      <c r="D1065" s="27"/>
      <c r="E1065" s="1"/>
      <c r="G1065" s="3"/>
      <c r="H1065" s="2"/>
      <c r="I1065" s="3"/>
      <c r="J1065" s="17"/>
      <c r="K1065" s="17"/>
      <c r="L1065" s="18"/>
      <c r="M1065" s="18"/>
      <c r="O1065"/>
      <c r="P1065" s="3"/>
      <c r="Q1065" s="4"/>
      <c r="R1065" s="19"/>
      <c r="S1065" s="20"/>
      <c r="T1065" s="3"/>
      <c r="U1065" s="3" t="str">
        <f t="shared" si="36"/>
        <v/>
      </c>
      <c r="V1065" s="4" t="str">
        <f t="shared" si="37"/>
        <v/>
      </c>
      <c r="W1065" s="21" t="e" cm="1">
        <f t="array" ref="W1065">_xlfn.IFS(
  A1065="BELL", "WHITE",
  A1065="GAMP", "ORANGE",
  A1065="GAMM", "GREEN",
  A1065="BWF", "YELLOW",
  OR(A1065="TNBE", A1065="TNBL", A1065="TNBD", A1065="TNWC", A1065="TNBW", A1065="THBS"), "PINK",
  A1065="CRWD", "BLUE",
  A1065="PASS", "WHITE"
)</f>
        <v>#N/A</v>
      </c>
    </row>
    <row r="1066" spans="1:23" x14ac:dyDescent="0.25">
      <c r="A1066" s="7"/>
      <c r="B1066" s="7"/>
      <c r="C1066" s="41"/>
      <c r="D1066" s="27"/>
      <c r="E1066" s="1"/>
      <c r="G1066" s="3"/>
      <c r="H1066" s="2"/>
      <c r="I1066" s="3"/>
      <c r="J1066" s="17"/>
      <c r="K1066" s="17"/>
      <c r="L1066" s="18"/>
      <c r="M1066" s="18"/>
      <c r="O1066"/>
      <c r="P1066" s="3"/>
      <c r="Q1066" s="4"/>
      <c r="R1066" s="19"/>
      <c r="S1066" s="20"/>
      <c r="T1066" s="3"/>
      <c r="U1066" s="3" t="str">
        <f t="shared" si="36"/>
        <v/>
      </c>
      <c r="V1066" s="4" t="str">
        <f t="shared" si="37"/>
        <v/>
      </c>
      <c r="W1066" s="21" t="e" cm="1">
        <f t="array" ref="W1066">_xlfn.IFS(
  A1066="BELL", "WHITE",
  A1066="GAMP", "ORANGE",
  A1066="GAMM", "GREEN",
  A1066="BWF", "YELLOW",
  OR(A1066="TNBE", A1066="TNBL", A1066="TNBD", A1066="TNWC", A1066="TNBW", A1066="THBS"), "PINK",
  A1066="CRWD", "BLUE",
  A1066="PASS", "WHITE"
)</f>
        <v>#N/A</v>
      </c>
    </row>
    <row r="1067" spans="1:23" x14ac:dyDescent="0.25">
      <c r="A1067" s="7"/>
      <c r="B1067" s="7"/>
      <c r="C1067" s="41"/>
      <c r="D1067" s="27"/>
      <c r="E1067" s="1"/>
      <c r="G1067" s="3"/>
      <c r="H1067" s="2"/>
      <c r="I1067" s="3"/>
      <c r="J1067" s="17"/>
      <c r="K1067" s="17"/>
      <c r="L1067" s="18"/>
      <c r="M1067" s="18"/>
      <c r="O1067"/>
      <c r="P1067" s="3"/>
      <c r="Q1067" s="4"/>
      <c r="R1067" s="19"/>
      <c r="S1067" s="20"/>
      <c r="T1067" s="3"/>
      <c r="U1067" s="3" t="str">
        <f t="shared" si="36"/>
        <v/>
      </c>
      <c r="V1067" s="4" t="str">
        <f t="shared" si="37"/>
        <v/>
      </c>
      <c r="W1067" s="21" t="e" cm="1">
        <f t="array" ref="W1067">_xlfn.IFS(
  A1067="BELL", "WHITE",
  A1067="GAMP", "ORANGE",
  A1067="GAMM", "GREEN",
  A1067="BWF", "YELLOW",
  OR(A1067="TNBE", A1067="TNBL", A1067="TNBD", A1067="TNWC", A1067="TNBW", A1067="THBS"), "PINK",
  A1067="CRWD", "BLUE",
  A1067="PASS", "WHITE"
)</f>
        <v>#N/A</v>
      </c>
    </row>
    <row r="1068" spans="1:23" x14ac:dyDescent="0.25">
      <c r="A1068" s="7"/>
      <c r="B1068" s="7"/>
      <c r="C1068" s="41"/>
      <c r="D1068" s="27"/>
      <c r="E1068" s="1"/>
      <c r="G1068" s="3"/>
      <c r="H1068" s="2"/>
      <c r="I1068" s="3"/>
      <c r="J1068" s="17"/>
      <c r="K1068" s="17"/>
      <c r="L1068" s="18"/>
      <c r="M1068" s="18"/>
      <c r="O1068"/>
      <c r="P1068" s="3"/>
      <c r="Q1068" s="4"/>
      <c r="R1068" s="19"/>
      <c r="S1068" s="20"/>
      <c r="T1068" s="3"/>
      <c r="U1068" s="3" t="str">
        <f t="shared" si="36"/>
        <v/>
      </c>
      <c r="V1068" s="4" t="str">
        <f t="shared" si="37"/>
        <v/>
      </c>
      <c r="W1068" s="21" t="e" cm="1">
        <f t="array" ref="W1068">_xlfn.IFS(
  A1068="BELL", "WHITE",
  A1068="GAMP", "ORANGE",
  A1068="GAMM", "GREEN",
  A1068="BWF", "YELLOW",
  OR(A1068="TNBE", A1068="TNBL", A1068="TNBD", A1068="TNWC", A1068="TNBW", A1068="THBS"), "PINK",
  A1068="CRWD", "BLUE",
  A1068="PASS", "WHITE"
)</f>
        <v>#N/A</v>
      </c>
    </row>
    <row r="1069" spans="1:23" x14ac:dyDescent="0.25">
      <c r="A1069" s="7"/>
      <c r="B1069" s="7"/>
      <c r="C1069" s="41"/>
      <c r="D1069" s="27"/>
      <c r="E1069" s="1"/>
      <c r="G1069" s="3"/>
      <c r="H1069" s="2"/>
      <c r="I1069" s="3"/>
      <c r="J1069" s="17"/>
      <c r="K1069" s="17"/>
      <c r="L1069" s="18"/>
      <c r="M1069" s="18"/>
      <c r="O1069"/>
      <c r="P1069" s="3"/>
      <c r="Q1069" s="4"/>
      <c r="R1069" s="19"/>
      <c r="S1069" s="20"/>
      <c r="T1069" s="3"/>
      <c r="U1069" s="3" t="str">
        <f t="shared" si="36"/>
        <v/>
      </c>
      <c r="V1069" s="4" t="str">
        <f t="shared" si="37"/>
        <v/>
      </c>
      <c r="W1069" s="21" t="e" cm="1">
        <f t="array" ref="W1069">_xlfn.IFS(
  A1069="BELL", "WHITE",
  A1069="GAMP", "ORANGE",
  A1069="GAMM", "GREEN",
  A1069="BWF", "YELLOW",
  OR(A1069="TNBE", A1069="TNBL", A1069="TNBD", A1069="TNWC", A1069="TNBW", A1069="THBS"), "PINK",
  A1069="CRWD", "BLUE",
  A1069="PASS", "WHITE"
)</f>
        <v>#N/A</v>
      </c>
    </row>
    <row r="1070" spans="1:23" x14ac:dyDescent="0.25">
      <c r="A1070" s="7"/>
      <c r="B1070" s="7"/>
      <c r="C1070" s="41"/>
      <c r="D1070" s="27"/>
      <c r="E1070" s="1"/>
      <c r="G1070" s="3"/>
      <c r="H1070" s="2"/>
      <c r="I1070" s="3"/>
      <c r="J1070" s="17"/>
      <c r="K1070" s="17"/>
      <c r="L1070" s="18"/>
      <c r="M1070" s="18"/>
      <c r="O1070"/>
      <c r="P1070" s="3"/>
      <c r="Q1070" s="4"/>
      <c r="R1070" s="19"/>
      <c r="S1070" s="20"/>
      <c r="T1070" s="3"/>
      <c r="U1070" s="3" t="str">
        <f t="shared" si="36"/>
        <v/>
      </c>
      <c r="V1070" s="4" t="str">
        <f t="shared" si="37"/>
        <v/>
      </c>
      <c r="W1070" s="21" t="e" cm="1">
        <f t="array" ref="W1070">_xlfn.IFS(
  A1070="BELL", "WHITE",
  A1070="GAMP", "ORANGE",
  A1070="GAMM", "GREEN",
  A1070="BWF", "YELLOW",
  OR(A1070="TNBE", A1070="TNBL", A1070="TNBD", A1070="TNWC", A1070="TNBW", A1070="THBS"), "PINK",
  A1070="CRWD", "BLUE",
  A1070="PASS", "WHITE"
)</f>
        <v>#N/A</v>
      </c>
    </row>
    <row r="1071" spans="1:23" x14ac:dyDescent="0.25">
      <c r="A1071" s="7"/>
      <c r="B1071" s="7"/>
      <c r="C1071" s="41"/>
      <c r="D1071" s="27"/>
      <c r="E1071" s="1"/>
      <c r="G1071" s="3"/>
      <c r="H1071" s="2"/>
      <c r="I1071" s="3"/>
      <c r="J1071" s="17"/>
      <c r="K1071" s="17"/>
      <c r="L1071" s="18"/>
      <c r="M1071" s="18"/>
      <c r="O1071"/>
      <c r="P1071" s="3"/>
      <c r="Q1071" s="4"/>
      <c r="R1071" s="19"/>
      <c r="S1071" s="20"/>
      <c r="T1071" s="3"/>
      <c r="U1071" s="3" t="str">
        <f t="shared" si="36"/>
        <v/>
      </c>
      <c r="V1071" s="4" t="str">
        <f t="shared" si="37"/>
        <v/>
      </c>
      <c r="W1071" s="21" t="e" cm="1">
        <f t="array" ref="W1071">_xlfn.IFS(
  A1071="BELL", "WHITE",
  A1071="GAMP", "ORANGE",
  A1071="GAMM", "GREEN",
  A1071="BWF", "YELLOW",
  OR(A1071="TNBE", A1071="TNBL", A1071="TNBD", A1071="TNWC", A1071="TNBW", A1071="THBS"), "PINK",
  A1071="CRWD", "BLUE",
  A1071="PASS", "WHITE"
)</f>
        <v>#N/A</v>
      </c>
    </row>
    <row r="1072" spans="1:23" x14ac:dyDescent="0.25">
      <c r="A1072" s="7"/>
      <c r="B1072" s="7"/>
      <c r="C1072" s="41"/>
      <c r="D1072" s="27"/>
      <c r="E1072" s="1"/>
      <c r="G1072" s="3"/>
      <c r="H1072" s="2"/>
      <c r="I1072" s="3"/>
      <c r="J1072" s="17"/>
      <c r="K1072" s="17"/>
      <c r="L1072" s="18"/>
      <c r="M1072" s="18"/>
      <c r="O1072"/>
      <c r="P1072" s="3"/>
      <c r="Q1072" s="4"/>
      <c r="R1072" s="19"/>
      <c r="S1072" s="20"/>
      <c r="T1072" s="3"/>
      <c r="U1072" s="3" t="str">
        <f t="shared" si="36"/>
        <v/>
      </c>
      <c r="V1072" s="4" t="str">
        <f t="shared" si="37"/>
        <v/>
      </c>
      <c r="W1072" s="21" t="e" cm="1">
        <f t="array" ref="W1072">_xlfn.IFS(
  A1072="BELL", "WHITE",
  A1072="GAMP", "ORANGE",
  A1072="GAMM", "GREEN",
  A1072="BWF", "YELLOW",
  OR(A1072="TNBE", A1072="TNBL", A1072="TNBD", A1072="TNWC", A1072="TNBW", A1072="THBS"), "PINK",
  A1072="CRWD", "BLUE",
  A1072="PASS", "WHITE"
)</f>
        <v>#N/A</v>
      </c>
    </row>
    <row r="1073" spans="1:23" x14ac:dyDescent="0.25">
      <c r="A1073" s="7"/>
      <c r="B1073" s="7"/>
      <c r="C1073" s="41"/>
      <c r="D1073" s="27"/>
      <c r="E1073" s="1"/>
      <c r="G1073" s="3"/>
      <c r="H1073" s="2"/>
      <c r="I1073" s="3"/>
      <c r="J1073" s="17"/>
      <c r="K1073" s="17"/>
      <c r="L1073" s="18"/>
      <c r="M1073" s="18"/>
      <c r="O1073"/>
      <c r="P1073" s="3"/>
      <c r="Q1073" s="4"/>
      <c r="R1073" s="19"/>
      <c r="S1073" s="20"/>
      <c r="T1073" s="3"/>
      <c r="U1073" s="3" t="str">
        <f t="shared" si="36"/>
        <v/>
      </c>
      <c r="V1073" s="4" t="str">
        <f t="shared" si="37"/>
        <v/>
      </c>
      <c r="W1073" s="21" t="e" cm="1">
        <f t="array" ref="W1073">_xlfn.IFS(
  A1073="BELL", "WHITE",
  A1073="GAMP", "ORANGE",
  A1073="GAMM", "GREEN",
  A1073="BWF", "YELLOW",
  OR(A1073="TNBE", A1073="TNBL", A1073="TNBD", A1073="TNWC", A1073="TNBW", A1073="THBS"), "PINK",
  A1073="CRWD", "BLUE",
  A1073="PASS", "WHITE"
)</f>
        <v>#N/A</v>
      </c>
    </row>
    <row r="1074" spans="1:23" x14ac:dyDescent="0.25">
      <c r="A1074" s="7"/>
      <c r="B1074" s="7"/>
      <c r="C1074" s="41"/>
      <c r="D1074" s="27"/>
      <c r="E1074" s="1"/>
      <c r="G1074" s="3"/>
      <c r="H1074" s="2"/>
      <c r="I1074" s="3"/>
      <c r="J1074" s="17"/>
      <c r="K1074" s="17"/>
      <c r="L1074" s="18"/>
      <c r="M1074" s="18"/>
      <c r="O1074"/>
      <c r="P1074" s="3"/>
      <c r="Q1074" s="4"/>
      <c r="R1074" s="19"/>
      <c r="S1074" s="20"/>
      <c r="T1074" s="3"/>
      <c r="U1074" s="3" t="str">
        <f t="shared" si="36"/>
        <v/>
      </c>
      <c r="V1074" s="4" t="str">
        <f t="shared" si="37"/>
        <v/>
      </c>
      <c r="W1074" s="21" t="e" cm="1">
        <f t="array" ref="W1074">_xlfn.IFS(
  A1074="BELL", "WHITE",
  A1074="GAMP", "ORANGE",
  A1074="GAMM", "GREEN",
  A1074="BWF", "YELLOW",
  OR(A1074="TNBE", A1074="TNBL", A1074="TNBD", A1074="TNWC", A1074="TNBW", A1074="THBS"), "PINK",
  A1074="CRWD", "BLUE",
  A1074="PASS", "WHITE"
)</f>
        <v>#N/A</v>
      </c>
    </row>
    <row r="1075" spans="1:23" x14ac:dyDescent="0.25">
      <c r="A1075" s="7"/>
      <c r="B1075" s="7"/>
      <c r="C1075" s="41"/>
      <c r="D1075" s="27"/>
      <c r="E1075" s="1"/>
      <c r="G1075" s="3"/>
      <c r="H1075" s="2"/>
      <c r="I1075" s="3"/>
      <c r="J1075" s="17"/>
      <c r="K1075" s="17"/>
      <c r="L1075" s="18"/>
      <c r="M1075" s="18"/>
      <c r="O1075"/>
      <c r="P1075" s="3"/>
      <c r="Q1075" s="4"/>
      <c r="R1075" s="19"/>
      <c r="S1075" s="20"/>
      <c r="T1075" s="3"/>
      <c r="U1075" s="3" t="str">
        <f t="shared" si="36"/>
        <v/>
      </c>
      <c r="V1075" s="4" t="str">
        <f t="shared" si="37"/>
        <v/>
      </c>
      <c r="W1075" s="21" t="e" cm="1">
        <f t="array" ref="W1075">_xlfn.IFS(
  A1075="BELL", "WHITE",
  A1075="GAMP", "ORANGE",
  A1075="GAMM", "GREEN",
  A1075="BWF", "YELLOW",
  OR(A1075="TNBE", A1075="TNBL", A1075="TNBD", A1075="TNWC", A1075="TNBW", A1075="THBS"), "PINK",
  A1075="CRWD", "BLUE",
  A1075="PASS", "WHITE"
)</f>
        <v>#N/A</v>
      </c>
    </row>
    <row r="1076" spans="1:23" x14ac:dyDescent="0.25">
      <c r="A1076" s="7"/>
      <c r="B1076" s="7"/>
      <c r="C1076" s="41"/>
      <c r="D1076" s="27"/>
      <c r="E1076" s="1"/>
      <c r="G1076" s="3"/>
      <c r="H1076" s="2"/>
      <c r="I1076" s="3"/>
      <c r="J1076" s="17"/>
      <c r="K1076" s="17"/>
      <c r="L1076" s="18"/>
      <c r="M1076" s="18"/>
      <c r="O1076"/>
      <c r="P1076" s="3"/>
      <c r="Q1076" s="4"/>
      <c r="R1076" s="19"/>
      <c r="S1076" s="20"/>
      <c r="T1076" s="3"/>
      <c r="U1076" s="3" t="str">
        <f t="shared" si="36"/>
        <v/>
      </c>
      <c r="V1076" s="4" t="str">
        <f t="shared" si="37"/>
        <v/>
      </c>
      <c r="W1076" s="21" t="e" cm="1">
        <f t="array" ref="W1076">_xlfn.IFS(
  A1076="BELL", "WHITE",
  A1076="GAMP", "ORANGE",
  A1076="GAMM", "GREEN",
  A1076="BWF", "YELLOW",
  OR(A1076="TNBE", A1076="TNBL", A1076="TNBD", A1076="TNWC", A1076="TNBW", A1076="THBS"), "PINK",
  A1076="CRWD", "BLUE",
  A1076="PASS", "WHITE"
)</f>
        <v>#N/A</v>
      </c>
    </row>
    <row r="1077" spans="1:23" x14ac:dyDescent="0.25">
      <c r="A1077" s="7"/>
      <c r="B1077" s="7"/>
      <c r="C1077" s="41"/>
      <c r="D1077" s="27"/>
      <c r="E1077" s="1"/>
      <c r="G1077" s="3"/>
      <c r="H1077" s="2"/>
      <c r="I1077" s="3"/>
      <c r="J1077" s="17"/>
      <c r="K1077" s="17"/>
      <c r="L1077" s="18"/>
      <c r="M1077" s="18"/>
      <c r="O1077"/>
      <c r="P1077" s="3"/>
      <c r="Q1077" s="4"/>
      <c r="R1077" s="19"/>
      <c r="S1077" s="20"/>
      <c r="T1077" s="3"/>
      <c r="U1077" s="3" t="str">
        <f t="shared" si="36"/>
        <v/>
      </c>
      <c r="V1077" s="4" t="str">
        <f t="shared" si="37"/>
        <v/>
      </c>
      <c r="W1077" s="21" t="e" cm="1">
        <f t="array" ref="W1077">_xlfn.IFS(
  A1077="BELL", "WHITE",
  A1077="GAMP", "ORANGE",
  A1077="GAMM", "GREEN",
  A1077="BWF", "YELLOW",
  OR(A1077="TNBE", A1077="TNBL", A1077="TNBD", A1077="TNWC", A1077="TNBW", A1077="THBS"), "PINK",
  A1077="CRWD", "BLUE",
  A1077="PASS", "WHITE"
)</f>
        <v>#N/A</v>
      </c>
    </row>
    <row r="1078" spans="1:23" x14ac:dyDescent="0.25">
      <c r="A1078" s="7"/>
      <c r="B1078" s="7"/>
      <c r="C1078" s="41"/>
      <c r="D1078" s="27"/>
      <c r="E1078" s="1"/>
      <c r="G1078" s="3"/>
      <c r="H1078" s="2"/>
      <c r="I1078" s="3"/>
      <c r="J1078" s="17"/>
      <c r="K1078" s="17"/>
      <c r="L1078" s="18"/>
      <c r="M1078" s="18"/>
      <c r="O1078"/>
      <c r="P1078" s="3"/>
      <c r="Q1078" s="4"/>
      <c r="R1078" s="19"/>
      <c r="S1078" s="20"/>
      <c r="T1078" s="3"/>
      <c r="U1078" s="3" t="str">
        <f t="shared" si="36"/>
        <v/>
      </c>
      <c r="V1078" s="4" t="str">
        <f t="shared" si="37"/>
        <v/>
      </c>
      <c r="W1078" s="21" t="e" cm="1">
        <f t="array" ref="W1078">_xlfn.IFS(
  A1078="BELL", "WHITE",
  A1078="GAMP", "ORANGE",
  A1078="GAMM", "GREEN",
  A1078="BWF", "YELLOW",
  OR(A1078="TNBE", A1078="TNBL", A1078="TNBD", A1078="TNWC", A1078="TNBW", A1078="THBS"), "PINK",
  A1078="CRWD", "BLUE",
  A1078="PASS", "WHITE"
)</f>
        <v>#N/A</v>
      </c>
    </row>
    <row r="1079" spans="1:23" x14ac:dyDescent="0.25">
      <c r="A1079" s="7"/>
      <c r="B1079" s="7"/>
      <c r="C1079" s="41"/>
      <c r="D1079" s="27"/>
      <c r="E1079" s="1"/>
      <c r="G1079" s="3"/>
      <c r="H1079" s="2"/>
      <c r="I1079" s="3"/>
      <c r="J1079" s="17"/>
      <c r="K1079" s="17"/>
      <c r="L1079" s="18"/>
      <c r="M1079" s="18"/>
      <c r="O1079"/>
      <c r="P1079" s="3"/>
      <c r="Q1079" s="4"/>
      <c r="R1079" s="19"/>
      <c r="S1079" s="20"/>
      <c r="T1079" s="3"/>
      <c r="U1079" s="3" t="str">
        <f t="shared" si="36"/>
        <v/>
      </c>
      <c r="V1079" s="4" t="str">
        <f t="shared" si="37"/>
        <v/>
      </c>
      <c r="W1079" s="21" t="e" cm="1">
        <f t="array" ref="W1079">_xlfn.IFS(
  A1079="BELL", "WHITE",
  A1079="GAMP", "ORANGE",
  A1079="GAMM", "GREEN",
  A1079="BWF", "YELLOW",
  OR(A1079="TNBE", A1079="TNBL", A1079="TNBD", A1079="TNWC", A1079="TNBW", A1079="THBS"), "PINK",
  A1079="CRWD", "BLUE",
  A1079="PASS", "WHITE"
)</f>
        <v>#N/A</v>
      </c>
    </row>
    <row r="1080" spans="1:23" x14ac:dyDescent="0.25">
      <c r="A1080" s="7"/>
      <c r="B1080" s="42"/>
      <c r="C1080" s="41"/>
      <c r="D1080" s="42"/>
      <c r="G1080" s="2"/>
      <c r="H1080" s="2"/>
      <c r="J1080" s="2"/>
      <c r="K1080" s="2"/>
      <c r="L1080" s="18"/>
      <c r="M1080" s="3"/>
      <c r="P1080" s="3"/>
      <c r="Q1080" s="4"/>
      <c r="R1080" s="19"/>
      <c r="S1080" s="20"/>
      <c r="T1080" s="2"/>
      <c r="U1080" s="3" t="str">
        <f t="shared" si="36"/>
        <v/>
      </c>
      <c r="V1080" s="4" t="str">
        <f t="shared" si="37"/>
        <v/>
      </c>
      <c r="W1080" s="21" t="e" cm="1">
        <f t="array" ref="W1080">_xlfn.IFS(
  A1080="BELL", "WHITE",
  A1080="GAMP", "ORANGE",
  A1080="GAMM", "GREEN",
  A1080="BWF", "YELLOW",
  OR(A1080="TNBE", A1080="TNBL", A1080="TNBD", A1080="TNWC", A1080="TNBW", A1080="THBS"), "PINK",
  A1080="CRWD", "BLUE",
  A1080="PASS", "WHITE"
)</f>
        <v>#N/A</v>
      </c>
    </row>
    <row r="1081" spans="1:23" x14ac:dyDescent="0.25">
      <c r="A1081" s="7"/>
      <c r="B1081" s="42"/>
      <c r="C1081" s="41"/>
      <c r="D1081" s="42"/>
      <c r="G1081" s="2"/>
      <c r="H1081" s="2"/>
      <c r="J1081" s="2"/>
      <c r="K1081" s="2"/>
      <c r="L1081" s="18"/>
      <c r="M1081" s="3"/>
      <c r="P1081" s="3"/>
      <c r="Q1081" s="4"/>
      <c r="R1081" s="19"/>
      <c r="S1081" s="20"/>
      <c r="T1081" s="2"/>
      <c r="U1081" s="3" t="str">
        <f t="shared" si="36"/>
        <v/>
      </c>
      <c r="V1081" s="4" t="str">
        <f t="shared" si="37"/>
        <v/>
      </c>
      <c r="W1081" s="21" t="e" cm="1">
        <f t="array" ref="W1081">_xlfn.IFS(
  A1081="BELL", "WHITE",
  A1081="GAMP", "ORANGE",
  A1081="GAMM", "GREEN",
  A1081="BWF", "YELLOW",
  OR(A1081="TNBE", A1081="TNBL", A1081="TNBD", A1081="TNWC", A1081="TNBW", A1081="THBS"), "PINK",
  A1081="CRWD", "BLUE",
  A1081="PASS", "WHITE"
)</f>
        <v>#N/A</v>
      </c>
    </row>
    <row r="1082" spans="1:23" x14ac:dyDescent="0.25">
      <c r="A1082" s="7"/>
      <c r="B1082" s="42"/>
      <c r="C1082" s="41"/>
      <c r="D1082" s="42"/>
      <c r="G1082" s="2"/>
      <c r="H1082" s="2"/>
      <c r="J1082" s="2"/>
      <c r="K1082" s="2"/>
      <c r="L1082" s="18"/>
      <c r="M1082" s="3"/>
      <c r="P1082" s="3"/>
      <c r="Q1082" s="4"/>
      <c r="R1082" s="19"/>
      <c r="S1082" s="20"/>
      <c r="T1082" s="2"/>
      <c r="U1082" s="3" t="str">
        <f t="shared" si="36"/>
        <v/>
      </c>
      <c r="V1082" s="4" t="str">
        <f t="shared" si="37"/>
        <v/>
      </c>
      <c r="W1082" s="21" t="e" cm="1">
        <f t="array" ref="W1082">_xlfn.IFS(
  A1082="BELL", "WHITE",
  A1082="GAMP", "ORANGE",
  A1082="GAMM", "GREEN",
  A1082="BWF", "YELLOW",
  OR(A1082="TNBE", A1082="TNBL", A1082="TNBD", A1082="TNWC", A1082="TNBW", A1082="THBS"), "PINK",
  A1082="CRWD", "BLUE",
  A1082="PASS", "WHITE"
)</f>
        <v>#N/A</v>
      </c>
    </row>
    <row r="1083" spans="1:23" x14ac:dyDescent="0.25">
      <c r="A1083" s="7"/>
      <c r="B1083" s="42"/>
      <c r="C1083" s="41"/>
      <c r="D1083" s="42"/>
      <c r="E1083" s="38"/>
      <c r="G1083" s="2"/>
      <c r="H1083" s="2"/>
      <c r="J1083" s="2"/>
      <c r="K1083" s="2"/>
      <c r="L1083" s="18"/>
      <c r="M1083" s="3"/>
      <c r="P1083" s="3"/>
      <c r="Q1083" s="4"/>
      <c r="R1083" s="19"/>
      <c r="S1083" s="20"/>
      <c r="T1083" s="2"/>
      <c r="U1083" s="3" t="str">
        <f t="shared" si="36"/>
        <v/>
      </c>
      <c r="V1083" s="4" t="str">
        <f t="shared" si="37"/>
        <v/>
      </c>
      <c r="W1083" s="21" t="e" cm="1">
        <f t="array" ref="W1083">_xlfn.IFS(
  A1083="BELL", "WHITE",
  A1083="GAMP", "ORANGE",
  A1083="GAMM", "GREEN",
  A1083="BWF", "YELLOW",
  OR(A1083="TNBE", A1083="TNBL", A1083="TNBD", A1083="TNWC", A1083="TNBW", A1083="THBS"), "PINK",
  A1083="CRWD", "BLUE",
  A1083="PASS", "WHITE"
)</f>
        <v>#N/A</v>
      </c>
    </row>
    <row r="1084" spans="1:23" x14ac:dyDescent="0.25">
      <c r="A1084" s="7"/>
      <c r="B1084" s="42"/>
      <c r="C1084" s="41"/>
      <c r="D1084" s="42"/>
      <c r="G1084" s="2"/>
      <c r="H1084" s="2"/>
      <c r="J1084" s="2"/>
      <c r="K1084" s="2"/>
      <c r="L1084" s="18"/>
      <c r="M1084" s="3"/>
      <c r="P1084" s="3"/>
      <c r="Q1084" s="4"/>
      <c r="R1084" s="19"/>
      <c r="S1084" s="20"/>
      <c r="T1084" s="2"/>
      <c r="U1084" s="3" t="str">
        <f t="shared" si="36"/>
        <v/>
      </c>
      <c r="V1084" s="4" t="str">
        <f t="shared" si="37"/>
        <v/>
      </c>
      <c r="W1084" s="21" t="e" cm="1">
        <f t="array" ref="W1084">_xlfn.IFS(
  A1084="BELL", "WHITE",
  A1084="GAMP", "ORANGE",
  A1084="GAMM", "GREEN",
  A1084="BWF", "YELLOW",
  OR(A1084="TNBE", A1084="TNBL", A1084="TNBD", A1084="TNWC", A1084="TNBW", A1084="THBS"), "PINK",
  A1084="CRWD", "BLUE",
  A1084="PASS", "WHITE"
)</f>
        <v>#N/A</v>
      </c>
    </row>
    <row r="1085" spans="1:23" x14ac:dyDescent="0.25">
      <c r="A1085" s="7"/>
      <c r="B1085" s="42"/>
      <c r="C1085" s="41"/>
      <c r="D1085" s="42"/>
      <c r="G1085" s="2"/>
      <c r="H1085" s="2"/>
      <c r="J1085" s="2"/>
      <c r="K1085" s="2"/>
      <c r="L1085" s="18"/>
      <c r="M1085" s="3"/>
      <c r="P1085" s="3"/>
      <c r="Q1085" s="4"/>
      <c r="R1085" s="19"/>
      <c r="S1085" s="20"/>
      <c r="T1085" s="2"/>
      <c r="U1085" s="3" t="str">
        <f t="shared" si="36"/>
        <v/>
      </c>
      <c r="V1085" s="4" t="str">
        <f t="shared" si="37"/>
        <v/>
      </c>
      <c r="W1085" s="21" t="e" cm="1">
        <f t="array" ref="W1085">_xlfn.IFS(
  A1085="BELL", "WHITE",
  A1085="GAMP", "ORANGE",
  A1085="GAMM", "GREEN",
  A1085="BWF", "YELLOW",
  OR(A1085="TNBE", A1085="TNBL", A1085="TNBD", A1085="TNWC", A1085="TNBW", A1085="THBS"), "PINK",
  A1085="CRWD", "BLUE",
  A1085="PASS", "WHITE"
)</f>
        <v>#N/A</v>
      </c>
    </row>
    <row r="1086" spans="1:23" x14ac:dyDescent="0.25">
      <c r="A1086" s="7"/>
      <c r="B1086" s="42"/>
      <c r="C1086" s="41"/>
      <c r="D1086" s="42"/>
      <c r="G1086" s="2"/>
      <c r="H1086" s="2"/>
      <c r="J1086" s="2"/>
      <c r="K1086" s="2"/>
      <c r="L1086" s="18"/>
      <c r="M1086" s="3"/>
      <c r="P1086" s="3"/>
      <c r="Q1086" s="4"/>
      <c r="R1086" s="19"/>
      <c r="S1086" s="20"/>
      <c r="T1086" s="2"/>
      <c r="U1086" s="3" t="str">
        <f t="shared" si="36"/>
        <v/>
      </c>
      <c r="V1086" s="4" t="str">
        <f t="shared" si="37"/>
        <v/>
      </c>
      <c r="W1086" s="21" t="e" cm="1">
        <f t="array" ref="W1086">_xlfn.IFS(
  A1086="BELL", "WHITE",
  A1086="GAMP", "ORANGE",
  A1086="GAMM", "GREEN",
  A1086="BWF", "YELLOW",
  OR(A1086="TNBE", A1086="TNBL", A1086="TNBD", A1086="TNWC", A1086="TNBW", A1086="THBS"), "PINK",
  A1086="CRWD", "BLUE",
  A1086="PASS", "WHITE"
)</f>
        <v>#N/A</v>
      </c>
    </row>
    <row r="1087" spans="1:23" x14ac:dyDescent="0.25">
      <c r="A1087" s="7"/>
      <c r="B1087" s="42"/>
      <c r="C1087" s="41"/>
      <c r="D1087" s="42"/>
      <c r="G1087" s="2"/>
      <c r="H1087" s="2"/>
      <c r="J1087" s="2"/>
      <c r="K1087" s="2"/>
      <c r="L1087" s="18"/>
      <c r="M1087" s="3"/>
      <c r="P1087" s="3"/>
      <c r="Q1087" s="4"/>
      <c r="R1087" s="19"/>
      <c r="S1087" s="20"/>
      <c r="T1087" s="2"/>
      <c r="U1087" s="3" t="str">
        <f t="shared" si="36"/>
        <v/>
      </c>
      <c r="V1087" s="4" t="str">
        <f t="shared" si="37"/>
        <v/>
      </c>
      <c r="W1087" s="21" t="e" cm="1">
        <f t="array" ref="W1087">_xlfn.IFS(
  A1087="BELL", "WHITE",
  A1087="GAMP", "ORANGE",
  A1087="GAMM", "GREEN",
  A1087="BWF", "YELLOW",
  OR(A1087="TNBE", A1087="TNBL", A1087="TNBD", A1087="TNWC", A1087="TNBW", A1087="THBS"), "PINK",
  A1087="CRWD", "BLUE",
  A1087="PASS", "WHITE"
)</f>
        <v>#N/A</v>
      </c>
    </row>
    <row r="1088" spans="1:23" x14ac:dyDescent="0.25">
      <c r="A1088" s="7"/>
      <c r="B1088" s="42"/>
      <c r="C1088" s="41"/>
      <c r="D1088" s="42"/>
      <c r="G1088" s="2"/>
      <c r="H1088" s="2"/>
      <c r="J1088" s="2"/>
      <c r="K1088" s="2"/>
      <c r="L1088" s="18"/>
      <c r="M1088" s="3"/>
      <c r="P1088" s="3"/>
      <c r="Q1088" s="4"/>
      <c r="R1088" s="19"/>
      <c r="S1088" s="20"/>
      <c r="T1088" s="2"/>
      <c r="U1088" s="3" t="str">
        <f t="shared" si="36"/>
        <v/>
      </c>
      <c r="V1088" s="4" t="str">
        <f t="shared" si="37"/>
        <v/>
      </c>
      <c r="W1088" s="21" t="e" cm="1">
        <f t="array" ref="W1088">_xlfn.IFS(
  A1088="BELL", "WHITE",
  A1088="GAMP", "ORANGE",
  A1088="GAMM", "GREEN",
  A1088="BWF", "YELLOW",
  OR(A1088="TNBE", A1088="TNBL", A1088="TNBD", A1088="TNWC", A1088="TNBW", A1088="THBS"), "PINK",
  A1088="CRWD", "BLUE",
  A1088="PASS", "WHITE"
)</f>
        <v>#N/A</v>
      </c>
    </row>
    <row r="1089" spans="1:23" x14ac:dyDescent="0.25">
      <c r="A1089" s="7"/>
      <c r="B1089" s="42"/>
      <c r="C1089" s="41"/>
      <c r="D1089" s="42"/>
      <c r="I1089" s="4"/>
      <c r="J1089" s="4"/>
      <c r="K1089" s="4"/>
      <c r="L1089" s="18"/>
      <c r="M1089" s="3"/>
      <c r="P1089" s="3"/>
      <c r="Q1089" s="4"/>
      <c r="R1089" s="19"/>
      <c r="S1089" s="20"/>
      <c r="U1089" s="3" t="str">
        <f t="shared" si="36"/>
        <v/>
      </c>
      <c r="V1089" s="4" t="str">
        <f t="shared" si="37"/>
        <v/>
      </c>
      <c r="W1089" s="21" t="e" cm="1">
        <f t="array" ref="W1089">_xlfn.IFS(
  A1089="BELL", "WHITE",
  A1089="GAMP", "ORANGE",
  A1089="GAMM", "GREEN",
  A1089="BWF", "YELLOW",
  OR(A1089="TNBE", A1089="TNBL", A1089="TNBD", A1089="TNWC", A1089="TNBW", A1089="THBS"), "PINK",
  A1089="CRWD", "BLUE",
  A1089="PASS", "WHITE"
)</f>
        <v>#N/A</v>
      </c>
    </row>
    <row r="1090" spans="1:23" x14ac:dyDescent="0.25">
      <c r="A1090" s="7"/>
      <c r="B1090" s="42"/>
      <c r="C1090" s="41"/>
      <c r="D1090" s="42"/>
      <c r="G1090" s="2"/>
      <c r="H1090" s="2"/>
      <c r="J1090" s="2"/>
      <c r="K1090" s="2"/>
      <c r="L1090" s="18"/>
      <c r="M1090" s="3"/>
      <c r="P1090" s="3"/>
      <c r="Q1090" s="4"/>
      <c r="R1090" s="19"/>
      <c r="S1090" s="20"/>
      <c r="T1090" s="2"/>
      <c r="U1090" s="3" t="str">
        <f t="shared" si="36"/>
        <v/>
      </c>
      <c r="V1090" s="4" t="str">
        <f t="shared" si="37"/>
        <v/>
      </c>
      <c r="W1090" s="21" t="e" cm="1">
        <f t="array" ref="W1090">_xlfn.IFS(
  A1090="BELL", "WHITE",
  A1090="GAMP", "ORANGE",
  A1090="GAMM", "GREEN",
  A1090="BWF", "YELLOW",
  OR(A1090="TNBE", A1090="TNBL", A1090="TNBD", A1090="TNWC", A1090="TNBW", A1090="THBS"), "PINK",
  A1090="CRWD", "BLUE",
  A1090="PASS", "WHITE"
)</f>
        <v>#N/A</v>
      </c>
    </row>
    <row r="1091" spans="1:23" x14ac:dyDescent="0.25">
      <c r="A1091" s="7"/>
      <c r="B1091" s="42"/>
      <c r="C1091" s="41"/>
      <c r="D1091" s="42"/>
      <c r="G1091" s="2"/>
      <c r="H1091" s="2"/>
      <c r="J1091" s="2"/>
      <c r="K1091" s="2"/>
      <c r="L1091" s="18"/>
      <c r="M1091" s="3"/>
      <c r="P1091" s="3"/>
      <c r="Q1091" s="4"/>
      <c r="R1091" s="19"/>
      <c r="S1091" s="20"/>
      <c r="T1091" s="2"/>
      <c r="U1091" s="3" t="str">
        <f t="shared" si="36"/>
        <v/>
      </c>
      <c r="V1091" s="4" t="str">
        <f t="shared" si="37"/>
        <v/>
      </c>
      <c r="W1091" s="21" t="e" cm="1">
        <f t="array" ref="W1091">_xlfn.IFS(
  A1091="BELL", "WHITE",
  A1091="GAMP", "ORANGE",
  A1091="GAMM", "GREEN",
  A1091="BWF", "YELLOW",
  OR(A1091="TNBE", A1091="TNBL", A1091="TNBD", A1091="TNWC", A1091="TNBW", A1091="THBS"), "PINK",
  A1091="CRWD", "BLUE",
  A1091="PASS", "WHITE"
)</f>
        <v>#N/A</v>
      </c>
    </row>
    <row r="1092" spans="1:23" x14ac:dyDescent="0.25">
      <c r="A1092" s="7"/>
      <c r="B1092" s="42"/>
      <c r="C1092" s="41"/>
      <c r="D1092" s="42"/>
      <c r="G1092" s="2"/>
      <c r="H1092" s="2"/>
      <c r="J1092" s="2"/>
      <c r="K1092" s="2"/>
      <c r="L1092" s="18"/>
      <c r="M1092" s="3"/>
      <c r="P1092" s="3"/>
      <c r="Q1092" s="4"/>
      <c r="R1092" s="19"/>
      <c r="S1092" s="20"/>
      <c r="T1092" s="2"/>
      <c r="U1092" s="3" t="str">
        <f t="shared" ref="U1092:U1155" si="38">IF(T1092="","",IF(T1092&gt;I1092,H1092,T1092/G1092))</f>
        <v/>
      </c>
      <c r="V1092" s="4" t="str">
        <f t="shared" ref="V1092:V1155" si="39">IF(T1092&gt;I1092,T1092-I1092,"")</f>
        <v/>
      </c>
      <c r="W1092" s="21" t="e" cm="1">
        <f t="array" ref="W1092">_xlfn.IFS(
  A1092="BELL", "WHITE",
  A1092="GAMP", "ORANGE",
  A1092="GAMM", "GREEN",
  A1092="BWF", "YELLOW",
  OR(A1092="TNBE", A1092="TNBL", A1092="TNBD", A1092="TNWC", A1092="TNBW", A1092="THBS"), "PINK",
  A1092="CRWD", "BLUE",
  A1092="PASS", "WHITE"
)</f>
        <v>#N/A</v>
      </c>
    </row>
    <row r="1093" spans="1:23" x14ac:dyDescent="0.25">
      <c r="A1093" s="7"/>
      <c r="B1093" s="42"/>
      <c r="C1093" s="41"/>
      <c r="D1093" s="42"/>
      <c r="G1093" s="2"/>
      <c r="H1093" s="2"/>
      <c r="J1093" s="2"/>
      <c r="K1093" s="2"/>
      <c r="L1093" s="18"/>
      <c r="M1093" s="3"/>
      <c r="P1093" s="3"/>
      <c r="Q1093" s="4"/>
      <c r="R1093" s="19"/>
      <c r="S1093" s="20"/>
      <c r="T1093" s="2"/>
      <c r="U1093" s="3" t="str">
        <f t="shared" si="38"/>
        <v/>
      </c>
      <c r="V1093" s="4" t="str">
        <f t="shared" si="39"/>
        <v/>
      </c>
      <c r="W1093" s="21" t="e" cm="1">
        <f t="array" ref="W1093">_xlfn.IFS(
  A1093="BELL", "WHITE",
  A1093="GAMP", "ORANGE",
  A1093="GAMM", "GREEN",
  A1093="BWF", "YELLOW",
  OR(A1093="TNBE", A1093="TNBL", A1093="TNBD", A1093="TNWC", A1093="TNBW", A1093="THBS"), "PINK",
  A1093="CRWD", "BLUE",
  A1093="PASS", "WHITE"
)</f>
        <v>#N/A</v>
      </c>
    </row>
    <row r="1094" spans="1:23" x14ac:dyDescent="0.25">
      <c r="A1094" s="7"/>
      <c r="B1094" s="42"/>
      <c r="C1094" s="41"/>
      <c r="D1094" s="42"/>
      <c r="G1094" s="2"/>
      <c r="H1094" s="2"/>
      <c r="J1094" s="2"/>
      <c r="K1094" s="2"/>
      <c r="L1094" s="18"/>
      <c r="M1094" s="3"/>
      <c r="P1094" s="3"/>
      <c r="Q1094" s="4"/>
      <c r="R1094" s="19"/>
      <c r="S1094" s="20"/>
      <c r="T1094" s="2"/>
      <c r="U1094" s="3" t="str">
        <f t="shared" si="38"/>
        <v/>
      </c>
      <c r="V1094" s="4" t="str">
        <f t="shared" si="39"/>
        <v/>
      </c>
      <c r="W1094" s="21" t="e" cm="1">
        <f t="array" ref="W1094">_xlfn.IFS(
  A1094="BELL", "WHITE",
  A1094="GAMP", "ORANGE",
  A1094="GAMM", "GREEN",
  A1094="BWF", "YELLOW",
  OR(A1094="TNBE", A1094="TNBL", A1094="TNBD", A1094="TNWC", A1094="TNBW", A1094="THBS"), "PINK",
  A1094="CRWD", "BLUE",
  A1094="PASS", "WHITE"
)</f>
        <v>#N/A</v>
      </c>
    </row>
    <row r="1095" spans="1:23" x14ac:dyDescent="0.25">
      <c r="A1095" s="7"/>
      <c r="B1095" s="42"/>
      <c r="C1095" s="41"/>
      <c r="D1095" s="42"/>
      <c r="G1095" s="2"/>
      <c r="H1095" s="2"/>
      <c r="J1095" s="2"/>
      <c r="K1095" s="2"/>
      <c r="L1095" s="18"/>
      <c r="M1095" s="3"/>
      <c r="P1095" s="3"/>
      <c r="Q1095" s="4"/>
      <c r="R1095" s="19"/>
      <c r="S1095" s="20"/>
      <c r="T1095" s="2"/>
      <c r="U1095" s="3" t="str">
        <f t="shared" si="38"/>
        <v/>
      </c>
      <c r="V1095" s="4" t="str">
        <f t="shared" si="39"/>
        <v/>
      </c>
      <c r="W1095" s="21" t="e" cm="1">
        <f t="array" ref="W1095">_xlfn.IFS(
  A1095="BELL", "WHITE",
  A1095="GAMP", "ORANGE",
  A1095="GAMM", "GREEN",
  A1095="BWF", "YELLOW",
  OR(A1095="TNBE", A1095="TNBL", A1095="TNBD", A1095="TNWC", A1095="TNBW", A1095="THBS"), "PINK",
  A1095="CRWD", "BLUE",
  A1095="PASS", "WHITE"
)</f>
        <v>#N/A</v>
      </c>
    </row>
    <row r="1096" spans="1:23" x14ac:dyDescent="0.25">
      <c r="A1096" s="7"/>
      <c r="B1096" s="42"/>
      <c r="C1096" s="41"/>
      <c r="D1096" s="42"/>
      <c r="G1096" s="2"/>
      <c r="H1096" s="2"/>
      <c r="J1096" s="2"/>
      <c r="K1096" s="2"/>
      <c r="L1096" s="18"/>
      <c r="M1096" s="3"/>
      <c r="P1096" s="3"/>
      <c r="Q1096" s="4"/>
      <c r="R1096" s="19"/>
      <c r="S1096" s="20"/>
      <c r="T1096" s="2"/>
      <c r="U1096" s="3" t="str">
        <f t="shared" si="38"/>
        <v/>
      </c>
      <c r="V1096" s="4" t="str">
        <f t="shared" si="39"/>
        <v/>
      </c>
      <c r="W1096" s="21" t="e" cm="1">
        <f t="array" ref="W1096">_xlfn.IFS(
  A1096="BELL", "WHITE",
  A1096="GAMP", "ORANGE",
  A1096="GAMM", "GREEN",
  A1096="BWF", "YELLOW",
  OR(A1096="TNBE", A1096="TNBL", A1096="TNBD", A1096="TNWC", A1096="TNBW", A1096="THBS"), "PINK",
  A1096="CRWD", "BLUE",
  A1096="PASS", "WHITE"
)</f>
        <v>#N/A</v>
      </c>
    </row>
    <row r="1097" spans="1:23" x14ac:dyDescent="0.25">
      <c r="A1097" s="7"/>
      <c r="B1097" s="42"/>
      <c r="C1097" s="41"/>
      <c r="D1097" s="42"/>
      <c r="E1097" s="38"/>
      <c r="G1097" s="2"/>
      <c r="H1097" s="2"/>
      <c r="J1097" s="2"/>
      <c r="K1097" s="2"/>
      <c r="L1097" s="18"/>
      <c r="M1097" s="3"/>
      <c r="P1097" s="3"/>
      <c r="Q1097" s="4"/>
      <c r="R1097" s="19"/>
      <c r="S1097" s="20"/>
      <c r="T1097" s="2"/>
      <c r="U1097" s="3" t="str">
        <f t="shared" si="38"/>
        <v/>
      </c>
      <c r="V1097" s="4" t="str">
        <f t="shared" si="39"/>
        <v/>
      </c>
      <c r="W1097" s="21" t="e" cm="1">
        <f t="array" ref="W1097">_xlfn.IFS(
  A1097="BELL", "WHITE",
  A1097="GAMP", "ORANGE",
  A1097="GAMM", "GREEN",
  A1097="BWF", "YELLOW",
  OR(A1097="TNBE", A1097="TNBL", A1097="TNBD", A1097="TNWC", A1097="TNBW", A1097="THBS"), "PINK",
  A1097="CRWD", "BLUE",
  A1097="PASS", "WHITE"
)</f>
        <v>#N/A</v>
      </c>
    </row>
    <row r="1098" spans="1:23" x14ac:dyDescent="0.25">
      <c r="A1098" s="7"/>
      <c r="B1098" s="42"/>
      <c r="C1098" s="41"/>
      <c r="D1098" s="42"/>
      <c r="G1098" s="2"/>
      <c r="H1098" s="2"/>
      <c r="J1098" s="2"/>
      <c r="K1098" s="2"/>
      <c r="L1098" s="18"/>
      <c r="M1098" s="3"/>
      <c r="P1098" s="3"/>
      <c r="Q1098" s="4"/>
      <c r="R1098" s="19"/>
      <c r="S1098" s="20"/>
      <c r="T1098" s="2"/>
      <c r="U1098" s="3" t="str">
        <f t="shared" si="38"/>
        <v/>
      </c>
      <c r="V1098" s="4" t="str">
        <f t="shared" si="39"/>
        <v/>
      </c>
      <c r="W1098" s="21" t="e" cm="1">
        <f t="array" ref="W1098">_xlfn.IFS(
  A1098="BELL", "WHITE",
  A1098="GAMP", "ORANGE",
  A1098="GAMM", "GREEN",
  A1098="BWF", "YELLOW",
  OR(A1098="TNBE", A1098="TNBL", A1098="TNBD", A1098="TNWC", A1098="TNBW", A1098="THBS"), "PINK",
  A1098="CRWD", "BLUE",
  A1098="PASS", "WHITE"
)</f>
        <v>#N/A</v>
      </c>
    </row>
    <row r="1099" spans="1:23" x14ac:dyDescent="0.25">
      <c r="A1099" s="7"/>
      <c r="B1099" s="42"/>
      <c r="C1099" s="41"/>
      <c r="D1099" s="42"/>
      <c r="G1099" s="2"/>
      <c r="H1099" s="2"/>
      <c r="J1099" s="2"/>
      <c r="K1099" s="2"/>
      <c r="L1099" s="18"/>
      <c r="M1099" s="3"/>
      <c r="P1099" s="3"/>
      <c r="Q1099" s="4"/>
      <c r="R1099" s="19"/>
      <c r="S1099" s="20"/>
      <c r="T1099" s="2"/>
      <c r="U1099" s="3" t="str">
        <f t="shared" si="38"/>
        <v/>
      </c>
      <c r="V1099" s="4" t="str">
        <f t="shared" si="39"/>
        <v/>
      </c>
      <c r="W1099" s="21" t="e" cm="1">
        <f t="array" ref="W1099">_xlfn.IFS(
  A1099="BELL", "WHITE",
  A1099="GAMP", "ORANGE",
  A1099="GAMM", "GREEN",
  A1099="BWF", "YELLOW",
  OR(A1099="TNBE", A1099="TNBL", A1099="TNBD", A1099="TNWC", A1099="TNBW", A1099="THBS"), "PINK",
  A1099="CRWD", "BLUE",
  A1099="PASS", "WHITE"
)</f>
        <v>#N/A</v>
      </c>
    </row>
    <row r="1100" spans="1:23" x14ac:dyDescent="0.25">
      <c r="A1100" s="7"/>
      <c r="B1100" s="42"/>
      <c r="C1100" s="41"/>
      <c r="D1100" s="42"/>
      <c r="G1100" s="2"/>
      <c r="H1100" s="2"/>
      <c r="J1100" s="2"/>
      <c r="K1100" s="2"/>
      <c r="L1100" s="18"/>
      <c r="M1100" s="3"/>
      <c r="P1100" s="3"/>
      <c r="Q1100" s="4"/>
      <c r="R1100" s="19"/>
      <c r="S1100" s="20"/>
      <c r="T1100" s="2"/>
      <c r="U1100" s="3" t="str">
        <f t="shared" si="38"/>
        <v/>
      </c>
      <c r="V1100" s="4" t="str">
        <f t="shared" si="39"/>
        <v/>
      </c>
      <c r="W1100" s="21" t="e" cm="1">
        <f t="array" ref="W1100">_xlfn.IFS(
  A1100="BELL", "WHITE",
  A1100="GAMP", "ORANGE",
  A1100="GAMM", "GREEN",
  A1100="BWF", "YELLOW",
  OR(A1100="TNBE", A1100="TNBL", A1100="TNBD", A1100="TNWC", A1100="TNBW", A1100="THBS"), "PINK",
  A1100="CRWD", "BLUE",
  A1100="PASS", "WHITE"
)</f>
        <v>#N/A</v>
      </c>
    </row>
    <row r="1101" spans="1:23" x14ac:dyDescent="0.25">
      <c r="A1101" s="7"/>
      <c r="B1101" s="42"/>
      <c r="C1101" s="41"/>
      <c r="D1101" s="42"/>
      <c r="G1101" s="2"/>
      <c r="H1101" s="2"/>
      <c r="J1101" s="2"/>
      <c r="K1101" s="2"/>
      <c r="L1101" s="18"/>
      <c r="M1101" s="3"/>
      <c r="P1101" s="3"/>
      <c r="Q1101" s="4"/>
      <c r="R1101" s="19"/>
      <c r="S1101" s="20"/>
      <c r="T1101" s="2"/>
      <c r="U1101" s="3" t="str">
        <f t="shared" si="38"/>
        <v/>
      </c>
      <c r="V1101" s="4" t="str">
        <f t="shared" si="39"/>
        <v/>
      </c>
      <c r="W1101" s="21" t="e" cm="1">
        <f t="array" ref="W1101">_xlfn.IFS(
  A1101="BELL", "WHITE",
  A1101="GAMP", "ORANGE",
  A1101="GAMM", "GREEN",
  A1101="BWF", "YELLOW",
  OR(A1101="TNBE", A1101="TNBL", A1101="TNBD", A1101="TNWC", A1101="TNBW", A1101="THBS"), "PINK",
  A1101="CRWD", "BLUE",
  A1101="PASS", "WHITE"
)</f>
        <v>#N/A</v>
      </c>
    </row>
    <row r="1102" spans="1:23" x14ac:dyDescent="0.25">
      <c r="A1102" s="7"/>
      <c r="B1102" s="42"/>
      <c r="C1102" s="41"/>
      <c r="D1102" s="42"/>
      <c r="G1102" s="2"/>
      <c r="H1102" s="2"/>
      <c r="J1102" s="2"/>
      <c r="K1102" s="2"/>
      <c r="L1102" s="18"/>
      <c r="M1102" s="3"/>
      <c r="P1102" s="3"/>
      <c r="Q1102" s="4"/>
      <c r="R1102" s="19"/>
      <c r="S1102" s="20"/>
      <c r="T1102" s="2"/>
      <c r="U1102" s="3" t="str">
        <f t="shared" si="38"/>
        <v/>
      </c>
      <c r="V1102" s="4" t="str">
        <f t="shared" si="39"/>
        <v/>
      </c>
      <c r="W1102" s="21" t="e" cm="1">
        <f t="array" ref="W1102">_xlfn.IFS(
  A1102="BELL", "WHITE",
  A1102="GAMP", "ORANGE",
  A1102="GAMM", "GREEN",
  A1102="BWF", "YELLOW",
  OR(A1102="TNBE", A1102="TNBL", A1102="TNBD", A1102="TNWC", A1102="TNBW", A1102="THBS"), "PINK",
  A1102="CRWD", "BLUE",
  A1102="PASS", "WHITE"
)</f>
        <v>#N/A</v>
      </c>
    </row>
    <row r="1103" spans="1:23" x14ac:dyDescent="0.25">
      <c r="A1103" s="7"/>
      <c r="B1103" s="42"/>
      <c r="C1103" s="41"/>
      <c r="D1103" s="42"/>
      <c r="G1103" s="2"/>
      <c r="H1103" s="2"/>
      <c r="J1103" s="2"/>
      <c r="K1103" s="2"/>
      <c r="L1103" s="18"/>
      <c r="M1103" s="3"/>
      <c r="P1103" s="3"/>
      <c r="Q1103" s="4"/>
      <c r="R1103" s="19"/>
      <c r="S1103" s="20"/>
      <c r="T1103" s="2"/>
      <c r="U1103" s="3" t="str">
        <f t="shared" si="38"/>
        <v/>
      </c>
      <c r="V1103" s="4" t="str">
        <f t="shared" si="39"/>
        <v/>
      </c>
      <c r="W1103" s="21" t="e" cm="1">
        <f t="array" ref="W1103">_xlfn.IFS(
  A1103="BELL", "WHITE",
  A1103="GAMP", "ORANGE",
  A1103="GAMM", "GREEN",
  A1103="BWF", "YELLOW",
  OR(A1103="TNBE", A1103="TNBL", A1103="TNBD", A1103="TNWC", A1103="TNBW", A1103="THBS"), "PINK",
  A1103="CRWD", "BLUE",
  A1103="PASS", "WHITE"
)</f>
        <v>#N/A</v>
      </c>
    </row>
    <row r="1104" spans="1:23" x14ac:dyDescent="0.25">
      <c r="A1104" s="7"/>
      <c r="B1104" s="42"/>
      <c r="C1104" s="41"/>
      <c r="D1104" s="42"/>
      <c r="G1104" s="2"/>
      <c r="H1104" s="2"/>
      <c r="J1104" s="2"/>
      <c r="K1104" s="2"/>
      <c r="L1104" s="18"/>
      <c r="M1104" s="3"/>
      <c r="P1104" s="3"/>
      <c r="Q1104" s="4"/>
      <c r="R1104" s="19"/>
      <c r="S1104" s="20"/>
      <c r="T1104" s="2"/>
      <c r="U1104" s="3" t="str">
        <f t="shared" si="38"/>
        <v/>
      </c>
      <c r="V1104" s="4" t="str">
        <f t="shared" si="39"/>
        <v/>
      </c>
      <c r="W1104" s="21" t="e" cm="1">
        <f t="array" ref="W1104">_xlfn.IFS(
  A1104="BELL", "WHITE",
  A1104="GAMP", "ORANGE",
  A1104="GAMM", "GREEN",
  A1104="BWF", "YELLOW",
  OR(A1104="TNBE", A1104="TNBL", A1104="TNBD", A1104="TNWC", A1104="TNBW", A1104="THBS"), "PINK",
  A1104="CRWD", "BLUE",
  A1104="PASS", "WHITE"
)</f>
        <v>#N/A</v>
      </c>
    </row>
    <row r="1105" spans="1:23" x14ac:dyDescent="0.25">
      <c r="A1105" s="7"/>
      <c r="B1105" s="42"/>
      <c r="C1105" s="41"/>
      <c r="D1105" s="42"/>
      <c r="G1105" s="2"/>
      <c r="H1105" s="2"/>
      <c r="J1105" s="2"/>
      <c r="K1105" s="2"/>
      <c r="L1105" s="18"/>
      <c r="M1105" s="3"/>
      <c r="P1105" s="3"/>
      <c r="Q1105" s="4"/>
      <c r="R1105" s="19"/>
      <c r="S1105" s="20"/>
      <c r="T1105" s="2"/>
      <c r="U1105" s="3" t="str">
        <f t="shared" si="38"/>
        <v/>
      </c>
      <c r="V1105" s="4" t="str">
        <f t="shared" si="39"/>
        <v/>
      </c>
      <c r="W1105" s="21" t="e" cm="1">
        <f t="array" ref="W1105">_xlfn.IFS(
  A1105="BELL", "WHITE",
  A1105="GAMP", "ORANGE",
  A1105="GAMM", "GREEN",
  A1105="BWF", "YELLOW",
  OR(A1105="TNBE", A1105="TNBL", A1105="TNBD", A1105="TNWC", A1105="TNBW", A1105="THBS"), "PINK",
  A1105="CRWD", "BLUE",
  A1105="PASS", "WHITE"
)</f>
        <v>#N/A</v>
      </c>
    </row>
    <row r="1106" spans="1:23" x14ac:dyDescent="0.25">
      <c r="A1106" s="7"/>
      <c r="B1106" s="42"/>
      <c r="C1106" s="41"/>
      <c r="D1106" s="42"/>
      <c r="G1106" s="2"/>
      <c r="H1106" s="2"/>
      <c r="J1106" s="2"/>
      <c r="K1106" s="2"/>
      <c r="L1106" s="18"/>
      <c r="M1106" s="3"/>
      <c r="P1106" s="3"/>
      <c r="Q1106" s="4"/>
      <c r="R1106" s="19"/>
      <c r="S1106" s="20"/>
      <c r="T1106" s="2"/>
      <c r="U1106" s="3" t="str">
        <f t="shared" si="38"/>
        <v/>
      </c>
      <c r="V1106" s="4" t="str">
        <f t="shared" si="39"/>
        <v/>
      </c>
      <c r="W1106" s="21" t="e" cm="1">
        <f t="array" ref="W1106">_xlfn.IFS(
  A1106="BELL", "WHITE",
  A1106="GAMP", "ORANGE",
  A1106="GAMM", "GREEN",
  A1106="BWF", "YELLOW",
  OR(A1106="TNBE", A1106="TNBL", A1106="TNBD", A1106="TNWC", A1106="TNBW", A1106="THBS"), "PINK",
  A1106="CRWD", "BLUE",
  A1106="PASS", "WHITE"
)</f>
        <v>#N/A</v>
      </c>
    </row>
    <row r="1107" spans="1:23" x14ac:dyDescent="0.25">
      <c r="A1107" s="7"/>
      <c r="B1107" s="42"/>
      <c r="C1107" s="41"/>
      <c r="D1107" s="42"/>
      <c r="G1107" s="2"/>
      <c r="H1107" s="2"/>
      <c r="J1107" s="2"/>
      <c r="K1107" s="2"/>
      <c r="L1107" s="18"/>
      <c r="M1107" s="3"/>
      <c r="P1107" s="3"/>
      <c r="Q1107" s="4"/>
      <c r="R1107" s="19"/>
      <c r="S1107" s="20"/>
      <c r="T1107" s="2"/>
      <c r="U1107" s="3" t="str">
        <f t="shared" si="38"/>
        <v/>
      </c>
      <c r="V1107" s="4" t="str">
        <f t="shared" si="39"/>
        <v/>
      </c>
      <c r="W1107" s="21" t="e" cm="1">
        <f t="array" ref="W1107">_xlfn.IFS(
  A1107="BELL", "WHITE",
  A1107="GAMP", "ORANGE",
  A1107="GAMM", "GREEN",
  A1107="BWF", "YELLOW",
  OR(A1107="TNBE", A1107="TNBL", A1107="TNBD", A1107="TNWC", A1107="TNBW", A1107="THBS"), "PINK",
  A1107="CRWD", "BLUE",
  A1107="PASS", "WHITE"
)</f>
        <v>#N/A</v>
      </c>
    </row>
    <row r="1108" spans="1:23" x14ac:dyDescent="0.25">
      <c r="A1108" s="7"/>
      <c r="B1108" s="42"/>
      <c r="C1108" s="41"/>
      <c r="D1108" s="42"/>
      <c r="G1108" s="2"/>
      <c r="H1108" s="2"/>
      <c r="J1108" s="2"/>
      <c r="K1108" s="2"/>
      <c r="L1108" s="18"/>
      <c r="M1108" s="3"/>
      <c r="P1108" s="3"/>
      <c r="Q1108" s="4"/>
      <c r="R1108" s="19"/>
      <c r="S1108" s="20"/>
      <c r="T1108" s="2"/>
      <c r="U1108" s="3" t="str">
        <f t="shared" si="38"/>
        <v/>
      </c>
      <c r="V1108" s="4" t="str">
        <f t="shared" si="39"/>
        <v/>
      </c>
      <c r="W1108" s="21" t="e" cm="1">
        <f t="array" ref="W1108">_xlfn.IFS(
  A1108="BELL", "WHITE",
  A1108="GAMP", "ORANGE",
  A1108="GAMM", "GREEN",
  A1108="BWF", "YELLOW",
  OR(A1108="TNBE", A1108="TNBL", A1108="TNBD", A1108="TNWC", A1108="TNBW", A1108="THBS"), "PINK",
  A1108="CRWD", "BLUE",
  A1108="PASS", "WHITE"
)</f>
        <v>#N/A</v>
      </c>
    </row>
    <row r="1109" spans="1:23" x14ac:dyDescent="0.25">
      <c r="A1109" s="7"/>
      <c r="B1109" s="42"/>
      <c r="C1109" s="41"/>
      <c r="D1109" s="42"/>
      <c r="G1109" s="2"/>
      <c r="H1109" s="2"/>
      <c r="J1109" s="2"/>
      <c r="K1109" s="2"/>
      <c r="L1109" s="18"/>
      <c r="M1109" s="3"/>
      <c r="P1109" s="3"/>
      <c r="Q1109" s="4"/>
      <c r="R1109" s="19"/>
      <c r="S1109" s="20"/>
      <c r="T1109" s="2"/>
      <c r="U1109" s="3" t="str">
        <f t="shared" si="38"/>
        <v/>
      </c>
      <c r="V1109" s="4" t="str">
        <f t="shared" si="39"/>
        <v/>
      </c>
      <c r="W1109" s="21" t="e" cm="1">
        <f t="array" ref="W1109">_xlfn.IFS(
  A1109="BELL", "WHITE",
  A1109="GAMP", "ORANGE",
  A1109="GAMM", "GREEN",
  A1109="BWF", "YELLOW",
  OR(A1109="TNBE", A1109="TNBL", A1109="TNBD", A1109="TNWC", A1109="TNBW", A1109="THBS"), "PINK",
  A1109="CRWD", "BLUE",
  A1109="PASS", "WHITE"
)</f>
        <v>#N/A</v>
      </c>
    </row>
    <row r="1110" spans="1:23" x14ac:dyDescent="0.25">
      <c r="A1110" s="7"/>
      <c r="B1110" s="42"/>
      <c r="C1110" s="41"/>
      <c r="D1110" s="42"/>
      <c r="G1110" s="2"/>
      <c r="H1110" s="2"/>
      <c r="J1110" s="2"/>
      <c r="K1110" s="2"/>
      <c r="L1110" s="18"/>
      <c r="M1110" s="3"/>
      <c r="P1110" s="3"/>
      <c r="Q1110" s="4"/>
      <c r="R1110" s="19"/>
      <c r="S1110" s="20"/>
      <c r="T1110" s="2"/>
      <c r="U1110" s="3" t="str">
        <f t="shared" si="38"/>
        <v/>
      </c>
      <c r="V1110" s="4" t="str">
        <f t="shared" si="39"/>
        <v/>
      </c>
      <c r="W1110" s="21" t="e" cm="1">
        <f t="array" ref="W1110">_xlfn.IFS(
  A1110="BELL", "WHITE",
  A1110="GAMP", "ORANGE",
  A1110="GAMM", "GREEN",
  A1110="BWF", "YELLOW",
  OR(A1110="TNBE", A1110="TNBL", A1110="TNBD", A1110="TNWC", A1110="TNBW", A1110="THBS"), "PINK",
  A1110="CRWD", "BLUE",
  A1110="PASS", "WHITE"
)</f>
        <v>#N/A</v>
      </c>
    </row>
    <row r="1111" spans="1:23" x14ac:dyDescent="0.25">
      <c r="A1111" s="7"/>
      <c r="B1111" s="42"/>
      <c r="C1111" s="41"/>
      <c r="D1111" s="42"/>
      <c r="G1111" s="2"/>
      <c r="H1111" s="2"/>
      <c r="J1111" s="2"/>
      <c r="K1111" s="2"/>
      <c r="L1111" s="18"/>
      <c r="M1111" s="3"/>
      <c r="P1111" s="3"/>
      <c r="Q1111" s="4"/>
      <c r="R1111" s="19"/>
      <c r="S1111" s="20"/>
      <c r="T1111" s="2"/>
      <c r="U1111" s="3" t="str">
        <f t="shared" si="38"/>
        <v/>
      </c>
      <c r="V1111" s="4" t="str">
        <f t="shared" si="39"/>
        <v/>
      </c>
      <c r="W1111" s="21" t="e" cm="1">
        <f t="array" ref="W1111">_xlfn.IFS(
  A1111="BELL", "WHITE",
  A1111="GAMP", "ORANGE",
  A1111="GAMM", "GREEN",
  A1111="BWF", "YELLOW",
  OR(A1111="TNBE", A1111="TNBL", A1111="TNBD", A1111="TNWC", A1111="TNBW", A1111="THBS"), "PINK",
  A1111="CRWD", "BLUE",
  A1111="PASS", "WHITE"
)</f>
        <v>#N/A</v>
      </c>
    </row>
    <row r="1112" spans="1:23" x14ac:dyDescent="0.25">
      <c r="A1112" s="7"/>
      <c r="B1112" s="42"/>
      <c r="C1112" s="41"/>
      <c r="D1112" s="42"/>
      <c r="G1112" s="2"/>
      <c r="H1112" s="2"/>
      <c r="J1112" s="2"/>
      <c r="K1112" s="2"/>
      <c r="L1112" s="18"/>
      <c r="M1112" s="3"/>
      <c r="P1112" s="3"/>
      <c r="Q1112" s="4"/>
      <c r="R1112" s="19"/>
      <c r="S1112" s="20"/>
      <c r="T1112" s="2"/>
      <c r="U1112" s="3" t="str">
        <f t="shared" si="38"/>
        <v/>
      </c>
      <c r="V1112" s="4" t="str">
        <f t="shared" si="39"/>
        <v/>
      </c>
      <c r="W1112" s="21" t="e" cm="1">
        <f t="array" ref="W1112">_xlfn.IFS(
  A1112="BELL", "WHITE",
  A1112="GAMP", "ORANGE",
  A1112="GAMM", "GREEN",
  A1112="BWF", "YELLOW",
  OR(A1112="TNBE", A1112="TNBL", A1112="TNBD", A1112="TNWC", A1112="TNBW", A1112="THBS"), "PINK",
  A1112="CRWD", "BLUE",
  A1112="PASS", "WHITE"
)</f>
        <v>#N/A</v>
      </c>
    </row>
    <row r="1113" spans="1:23" x14ac:dyDescent="0.25">
      <c r="A1113" s="7"/>
      <c r="B1113" s="42"/>
      <c r="C1113" s="41"/>
      <c r="D1113" s="42"/>
      <c r="G1113" s="2"/>
      <c r="H1113" s="2"/>
      <c r="J1113" s="2"/>
      <c r="K1113" s="2"/>
      <c r="L1113" s="18"/>
      <c r="M1113" s="3"/>
      <c r="P1113" s="3"/>
      <c r="Q1113" s="4"/>
      <c r="R1113" s="19"/>
      <c r="S1113" s="20"/>
      <c r="T1113" s="2"/>
      <c r="U1113" s="3" t="str">
        <f t="shared" si="38"/>
        <v/>
      </c>
      <c r="V1113" s="4" t="str">
        <f t="shared" si="39"/>
        <v/>
      </c>
      <c r="W1113" s="21" t="e" cm="1">
        <f t="array" ref="W1113">_xlfn.IFS(
  A1113="BELL", "WHITE",
  A1113="GAMP", "ORANGE",
  A1113="GAMM", "GREEN",
  A1113="BWF", "YELLOW",
  OR(A1113="TNBE", A1113="TNBL", A1113="TNBD", A1113="TNWC", A1113="TNBW", A1113="THBS"), "PINK",
  A1113="CRWD", "BLUE",
  A1113="PASS", "WHITE"
)</f>
        <v>#N/A</v>
      </c>
    </row>
    <row r="1114" spans="1:23" x14ac:dyDescent="0.25">
      <c r="A1114" s="7"/>
      <c r="B1114" s="42"/>
      <c r="C1114" s="41"/>
      <c r="D1114" s="42"/>
      <c r="G1114" s="2"/>
      <c r="H1114" s="2"/>
      <c r="J1114" s="2"/>
      <c r="K1114" s="2"/>
      <c r="L1114" s="18"/>
      <c r="M1114" s="3"/>
      <c r="P1114" s="3"/>
      <c r="Q1114" s="4"/>
      <c r="R1114" s="19"/>
      <c r="S1114" s="20"/>
      <c r="T1114" s="2"/>
      <c r="U1114" s="3" t="str">
        <f t="shared" si="38"/>
        <v/>
      </c>
      <c r="V1114" s="4" t="str">
        <f t="shared" si="39"/>
        <v/>
      </c>
      <c r="W1114" s="21" t="e" cm="1">
        <f t="array" ref="W1114">_xlfn.IFS(
  A1114="BELL", "WHITE",
  A1114="GAMP", "ORANGE",
  A1114="GAMM", "GREEN",
  A1114="BWF", "YELLOW",
  OR(A1114="TNBE", A1114="TNBL", A1114="TNBD", A1114="TNWC", A1114="TNBW", A1114="THBS"), "PINK",
  A1114="CRWD", "BLUE",
  A1114="PASS", "WHITE"
)</f>
        <v>#N/A</v>
      </c>
    </row>
    <row r="1115" spans="1:23" x14ac:dyDescent="0.25">
      <c r="A1115" s="7"/>
      <c r="B1115" s="42"/>
      <c r="C1115" s="41"/>
      <c r="D1115" s="42"/>
      <c r="G1115" s="2"/>
      <c r="H1115" s="2"/>
      <c r="J1115" s="2"/>
      <c r="K1115" s="2"/>
      <c r="L1115" s="18"/>
      <c r="M1115" s="3"/>
      <c r="P1115" s="3"/>
      <c r="Q1115" s="4"/>
      <c r="R1115" s="19"/>
      <c r="S1115" s="20"/>
      <c r="T1115" s="2"/>
      <c r="U1115" s="3" t="str">
        <f t="shared" si="38"/>
        <v/>
      </c>
      <c r="V1115" s="4" t="str">
        <f t="shared" si="39"/>
        <v/>
      </c>
      <c r="W1115" s="21" t="e" cm="1">
        <f t="array" ref="W1115">_xlfn.IFS(
  A1115="BELL", "WHITE",
  A1115="GAMP", "ORANGE",
  A1115="GAMM", "GREEN",
  A1115="BWF", "YELLOW",
  OR(A1115="TNBE", A1115="TNBL", A1115="TNBD", A1115="TNWC", A1115="TNBW", A1115="THBS"), "PINK",
  A1115="CRWD", "BLUE",
  A1115="PASS", "WHITE"
)</f>
        <v>#N/A</v>
      </c>
    </row>
    <row r="1116" spans="1:23" x14ac:dyDescent="0.25">
      <c r="A1116" s="7"/>
      <c r="B1116" s="42"/>
      <c r="C1116" s="41"/>
      <c r="D1116" s="42"/>
      <c r="G1116" s="2"/>
      <c r="H1116" s="2"/>
      <c r="J1116" s="2"/>
      <c r="K1116" s="2"/>
      <c r="L1116" s="18"/>
      <c r="M1116" s="3"/>
      <c r="P1116" s="3"/>
      <c r="Q1116" s="4"/>
      <c r="R1116" s="19"/>
      <c r="S1116" s="20"/>
      <c r="T1116" s="2"/>
      <c r="U1116" s="3" t="str">
        <f t="shared" si="38"/>
        <v/>
      </c>
      <c r="V1116" s="4" t="str">
        <f t="shared" si="39"/>
        <v/>
      </c>
      <c r="W1116" s="21" t="e" cm="1">
        <f t="array" ref="W1116">_xlfn.IFS(
  A1116="BELL", "WHITE",
  A1116="GAMP", "ORANGE",
  A1116="GAMM", "GREEN",
  A1116="BWF", "YELLOW",
  OR(A1116="TNBE", A1116="TNBL", A1116="TNBD", A1116="TNWC", A1116="TNBW", A1116="THBS"), "PINK",
  A1116="CRWD", "BLUE",
  A1116="PASS", "WHITE"
)</f>
        <v>#N/A</v>
      </c>
    </row>
    <row r="1117" spans="1:23" x14ac:dyDescent="0.25">
      <c r="A1117" s="7"/>
      <c r="B1117" s="42"/>
      <c r="C1117" s="41"/>
      <c r="D1117" s="42"/>
      <c r="G1117" s="2"/>
      <c r="H1117" s="2"/>
      <c r="J1117" s="2"/>
      <c r="K1117" s="2"/>
      <c r="L1117" s="18"/>
      <c r="M1117" s="3"/>
      <c r="P1117" s="3"/>
      <c r="Q1117" s="4"/>
      <c r="R1117" s="19"/>
      <c r="S1117" s="20"/>
      <c r="T1117" s="2"/>
      <c r="U1117" s="3" t="str">
        <f t="shared" si="38"/>
        <v/>
      </c>
      <c r="V1117" s="4" t="str">
        <f t="shared" si="39"/>
        <v/>
      </c>
      <c r="W1117" s="21" t="e" cm="1">
        <f t="array" ref="W1117">_xlfn.IFS(
  A1117="BELL", "WHITE",
  A1117="GAMP", "ORANGE",
  A1117="GAMM", "GREEN",
  A1117="BWF", "YELLOW",
  OR(A1117="TNBE", A1117="TNBL", A1117="TNBD", A1117="TNWC", A1117="TNBW", A1117="THBS"), "PINK",
  A1117="CRWD", "BLUE",
  A1117="PASS", "WHITE"
)</f>
        <v>#N/A</v>
      </c>
    </row>
    <row r="1118" spans="1:23" x14ac:dyDescent="0.25">
      <c r="A1118" s="7"/>
      <c r="B1118" s="42"/>
      <c r="C1118" s="41"/>
      <c r="D1118" s="42"/>
      <c r="E1118" s="21"/>
      <c r="G1118" s="2"/>
      <c r="H1118" s="2"/>
      <c r="J1118" s="2"/>
      <c r="K1118" s="2"/>
      <c r="L1118" s="18"/>
      <c r="M1118" s="3"/>
      <c r="P1118" s="3"/>
      <c r="Q1118" s="4"/>
      <c r="R1118" s="19"/>
      <c r="S1118" s="20"/>
      <c r="T1118" s="2"/>
      <c r="U1118" s="3" t="str">
        <f t="shared" si="38"/>
        <v/>
      </c>
      <c r="V1118" s="4" t="str">
        <f t="shared" si="39"/>
        <v/>
      </c>
      <c r="W1118" s="21" t="e" cm="1">
        <f t="array" ref="W1118">_xlfn.IFS(
  A1118="BELL", "WHITE",
  A1118="GAMP", "ORANGE",
  A1118="GAMM", "GREEN",
  A1118="BWF", "YELLOW",
  OR(A1118="TNBE", A1118="TNBL", A1118="TNBD", A1118="TNWC", A1118="TNBW", A1118="THBS"), "PINK",
  A1118="CRWD", "BLUE",
  A1118="PASS", "WHITE"
)</f>
        <v>#N/A</v>
      </c>
    </row>
    <row r="1119" spans="1:23" x14ac:dyDescent="0.25">
      <c r="A1119" s="7"/>
      <c r="B1119" s="42"/>
      <c r="C1119" s="41"/>
      <c r="D1119" s="42"/>
      <c r="G1119" s="2"/>
      <c r="H1119" s="2"/>
      <c r="J1119" s="2"/>
      <c r="K1119" s="2"/>
      <c r="L1119" s="18"/>
      <c r="M1119" s="3"/>
      <c r="P1119" s="3"/>
      <c r="Q1119" s="4"/>
      <c r="R1119" s="19"/>
      <c r="S1119" s="20"/>
      <c r="T1119" s="2"/>
      <c r="U1119" s="3" t="str">
        <f t="shared" si="38"/>
        <v/>
      </c>
      <c r="V1119" s="4" t="str">
        <f t="shared" si="39"/>
        <v/>
      </c>
      <c r="W1119" s="21" t="e" cm="1">
        <f t="array" ref="W1119">_xlfn.IFS(
  A1119="BELL", "WHITE",
  A1119="GAMP", "ORANGE",
  A1119="GAMM", "GREEN",
  A1119="BWF", "YELLOW",
  OR(A1119="TNBE", A1119="TNBL", A1119="TNBD", A1119="TNWC", A1119="TNBW", A1119="THBS"), "PINK",
  A1119="CRWD", "BLUE",
  A1119="PASS", "WHITE"
)</f>
        <v>#N/A</v>
      </c>
    </row>
    <row r="1120" spans="1:23" x14ac:dyDescent="0.25">
      <c r="A1120" s="7"/>
      <c r="B1120" s="42"/>
      <c r="C1120" s="41"/>
      <c r="D1120" s="42"/>
      <c r="G1120" s="2"/>
      <c r="H1120" s="2"/>
      <c r="J1120" s="2"/>
      <c r="K1120" s="2"/>
      <c r="L1120" s="18"/>
      <c r="M1120" s="3"/>
      <c r="P1120" s="3"/>
      <c r="Q1120" s="4"/>
      <c r="R1120" s="19"/>
      <c r="S1120" s="20"/>
      <c r="T1120" s="2"/>
      <c r="U1120" s="3" t="str">
        <f t="shared" si="38"/>
        <v/>
      </c>
      <c r="V1120" s="4" t="str">
        <f t="shared" si="39"/>
        <v/>
      </c>
      <c r="W1120" s="21" t="e" cm="1">
        <f t="array" ref="W1120">_xlfn.IFS(
  A1120="BELL", "WHITE",
  A1120="GAMP", "ORANGE",
  A1120="GAMM", "GREEN",
  A1120="BWF", "YELLOW",
  OR(A1120="TNBE", A1120="TNBL", A1120="TNBD", A1120="TNWC", A1120="TNBW", A1120="THBS"), "PINK",
  A1120="CRWD", "BLUE",
  A1120="PASS", "WHITE"
)</f>
        <v>#N/A</v>
      </c>
    </row>
    <row r="1121" spans="1:23" x14ac:dyDescent="0.25">
      <c r="A1121" s="7"/>
      <c r="B1121" s="42"/>
      <c r="C1121" s="41"/>
      <c r="D1121" s="42"/>
      <c r="G1121" s="2"/>
      <c r="H1121" s="2"/>
      <c r="J1121" s="2"/>
      <c r="K1121" s="2"/>
      <c r="L1121" s="18"/>
      <c r="M1121" s="3"/>
      <c r="P1121" s="3"/>
      <c r="Q1121" s="4"/>
      <c r="R1121" s="19"/>
      <c r="S1121" s="20"/>
      <c r="T1121" s="2"/>
      <c r="U1121" s="3" t="str">
        <f t="shared" si="38"/>
        <v/>
      </c>
      <c r="V1121" s="4" t="str">
        <f t="shared" si="39"/>
        <v/>
      </c>
      <c r="W1121" s="21" t="e" cm="1">
        <f t="array" ref="W1121">_xlfn.IFS(
  A1121="BELL", "WHITE",
  A1121="GAMP", "ORANGE",
  A1121="GAMM", "GREEN",
  A1121="BWF", "YELLOW",
  OR(A1121="TNBE", A1121="TNBL", A1121="TNBD", A1121="TNWC", A1121="TNBW", A1121="THBS"), "PINK",
  A1121="CRWD", "BLUE",
  A1121="PASS", "WHITE"
)</f>
        <v>#N/A</v>
      </c>
    </row>
    <row r="1122" spans="1:23" x14ac:dyDescent="0.25">
      <c r="A1122" s="7"/>
      <c r="B1122" s="42"/>
      <c r="C1122" s="41"/>
      <c r="D1122" s="42"/>
      <c r="G1122" s="2"/>
      <c r="H1122" s="2"/>
      <c r="J1122" s="2"/>
      <c r="K1122" s="2"/>
      <c r="L1122" s="18"/>
      <c r="M1122" s="3"/>
      <c r="P1122" s="3"/>
      <c r="Q1122" s="4"/>
      <c r="R1122" s="19"/>
      <c r="S1122" s="20"/>
      <c r="T1122" s="2"/>
      <c r="U1122" s="3" t="str">
        <f t="shared" si="38"/>
        <v/>
      </c>
      <c r="V1122" s="4" t="str">
        <f t="shared" si="39"/>
        <v/>
      </c>
      <c r="W1122" s="21" t="e" cm="1">
        <f t="array" ref="W1122">_xlfn.IFS(
  A1122="BELL", "WHITE",
  A1122="GAMP", "ORANGE",
  A1122="GAMM", "GREEN",
  A1122="BWF", "YELLOW",
  OR(A1122="TNBE", A1122="TNBL", A1122="TNBD", A1122="TNWC", A1122="TNBW", A1122="THBS"), "PINK",
  A1122="CRWD", "BLUE",
  A1122="PASS", "WHITE"
)</f>
        <v>#N/A</v>
      </c>
    </row>
    <row r="1123" spans="1:23" x14ac:dyDescent="0.25">
      <c r="A1123" s="7"/>
      <c r="B1123" s="42"/>
      <c r="C1123" s="41"/>
      <c r="D1123" s="42"/>
      <c r="G1123" s="2"/>
      <c r="H1123" s="2"/>
      <c r="J1123" s="2"/>
      <c r="K1123" s="2"/>
      <c r="L1123" s="18"/>
      <c r="M1123" s="3"/>
      <c r="P1123" s="3"/>
      <c r="Q1123" s="4"/>
      <c r="R1123" s="19"/>
      <c r="S1123" s="20"/>
      <c r="T1123" s="2"/>
      <c r="U1123" s="3" t="str">
        <f t="shared" si="38"/>
        <v/>
      </c>
      <c r="V1123" s="4" t="str">
        <f t="shared" si="39"/>
        <v/>
      </c>
      <c r="W1123" s="21" t="e" cm="1">
        <f t="array" ref="W1123">_xlfn.IFS(
  A1123="BELL", "WHITE",
  A1123="GAMP", "ORANGE",
  A1123="GAMM", "GREEN",
  A1123="BWF", "YELLOW",
  OR(A1123="TNBE", A1123="TNBL", A1123="TNBD", A1123="TNWC", A1123="TNBW", A1123="THBS"), "PINK",
  A1123="CRWD", "BLUE",
  A1123="PASS", "WHITE"
)</f>
        <v>#N/A</v>
      </c>
    </row>
    <row r="1124" spans="1:23" x14ac:dyDescent="0.25">
      <c r="A1124" s="7"/>
      <c r="B1124" s="42"/>
      <c r="C1124" s="41"/>
      <c r="D1124" s="42"/>
      <c r="G1124" s="2"/>
      <c r="H1124" s="2"/>
      <c r="J1124" s="2"/>
      <c r="K1124" s="2"/>
      <c r="L1124" s="18"/>
      <c r="M1124" s="3"/>
      <c r="P1124" s="3"/>
      <c r="Q1124" s="4"/>
      <c r="R1124" s="19"/>
      <c r="S1124" s="20"/>
      <c r="T1124" s="2"/>
      <c r="U1124" s="3" t="str">
        <f t="shared" si="38"/>
        <v/>
      </c>
      <c r="V1124" s="4" t="str">
        <f t="shared" si="39"/>
        <v/>
      </c>
      <c r="W1124" s="21" t="e" cm="1">
        <f t="array" ref="W1124">_xlfn.IFS(
  A1124="BELL", "WHITE",
  A1124="GAMP", "ORANGE",
  A1124="GAMM", "GREEN",
  A1124="BWF", "YELLOW",
  OR(A1124="TNBE", A1124="TNBL", A1124="TNBD", A1124="TNWC", A1124="TNBW", A1124="THBS"), "PINK",
  A1124="CRWD", "BLUE",
  A1124="PASS", "WHITE"
)</f>
        <v>#N/A</v>
      </c>
    </row>
    <row r="1125" spans="1:23" x14ac:dyDescent="0.25">
      <c r="A1125" s="7"/>
      <c r="B1125" s="42"/>
      <c r="C1125" s="41"/>
      <c r="D1125" s="42"/>
      <c r="I1125" s="4"/>
      <c r="J1125" s="4"/>
      <c r="K1125" s="4"/>
      <c r="L1125" s="18"/>
      <c r="M1125" s="3"/>
      <c r="P1125" s="3"/>
      <c r="Q1125" s="4"/>
      <c r="R1125" s="19"/>
      <c r="S1125" s="20"/>
      <c r="U1125" s="3" t="str">
        <f t="shared" si="38"/>
        <v/>
      </c>
      <c r="V1125" s="4" t="str">
        <f t="shared" si="39"/>
        <v/>
      </c>
      <c r="W1125" s="21" t="e" cm="1">
        <f t="array" ref="W1125">_xlfn.IFS(
  A1125="BELL", "WHITE",
  A1125="GAMP", "ORANGE",
  A1125="GAMM", "GREEN",
  A1125="BWF", "YELLOW",
  OR(A1125="TNBE", A1125="TNBL", A1125="TNBD", A1125="TNWC", A1125="TNBW", A1125="THBS"), "PINK",
  A1125="CRWD", "BLUE",
  A1125="PASS", "WHITE"
)</f>
        <v>#N/A</v>
      </c>
    </row>
    <row r="1126" spans="1:23" x14ac:dyDescent="0.25">
      <c r="A1126" s="7"/>
      <c r="B1126" s="42"/>
      <c r="C1126" s="41"/>
      <c r="D1126" s="40"/>
      <c r="E1126" s="40"/>
      <c r="I1126" s="4"/>
      <c r="J1126" s="4"/>
      <c r="K1126" s="4"/>
      <c r="L1126" s="18"/>
      <c r="M1126" s="3"/>
      <c r="P1126" s="3"/>
      <c r="Q1126" s="4"/>
      <c r="R1126" s="19"/>
      <c r="S1126" s="20"/>
      <c r="U1126" s="3" t="str">
        <f t="shared" si="38"/>
        <v/>
      </c>
      <c r="V1126" s="4" t="str">
        <f t="shared" si="39"/>
        <v/>
      </c>
      <c r="W1126" s="21" t="e" cm="1">
        <f t="array" ref="W1126">_xlfn.IFS(
  A1126="BELL", "WHITE",
  A1126="GAMP", "ORANGE",
  A1126="GAMM", "GREEN",
  A1126="BWF", "YELLOW",
  OR(A1126="TNBE", A1126="TNBL", A1126="TNBD", A1126="TNWC", A1126="TNBW", A1126="THBS"), "PINK",
  A1126="CRWD", "BLUE",
  A1126="PASS", "WHITE"
)</f>
        <v>#N/A</v>
      </c>
    </row>
    <row r="1127" spans="1:23" x14ac:dyDescent="0.25">
      <c r="A1127" s="7"/>
      <c r="B1127" s="43"/>
      <c r="C1127" s="41"/>
      <c r="D1127" s="43"/>
      <c r="E1127" s="29"/>
      <c r="G1127" s="3"/>
      <c r="I1127" s="4"/>
      <c r="J1127" s="4"/>
      <c r="K1127" s="4"/>
      <c r="L1127" s="18"/>
      <c r="M1127" s="3"/>
      <c r="P1127" s="3"/>
      <c r="Q1127" s="4"/>
      <c r="R1127" s="19"/>
      <c r="S1127" s="20"/>
      <c r="T1127" s="3"/>
      <c r="U1127" s="3" t="str">
        <f t="shared" si="38"/>
        <v/>
      </c>
      <c r="V1127" s="4" t="str">
        <f t="shared" si="39"/>
        <v/>
      </c>
      <c r="W1127" s="21" t="e" cm="1">
        <f t="array" ref="W1127">_xlfn.IFS(
  A1127="BELL", "WHITE",
  A1127="GAMP", "ORANGE",
  A1127="GAMM", "GREEN",
  A1127="BWF", "YELLOW",
  OR(A1127="TNBE", A1127="TNBL", A1127="TNBD", A1127="TNWC", A1127="TNBW", A1127="THBS"), "PINK",
  A1127="CRWD", "BLUE",
  A1127="PASS", "WHITE"
)</f>
        <v>#N/A</v>
      </c>
    </row>
    <row r="1128" spans="1:23" x14ac:dyDescent="0.25">
      <c r="A1128" s="7"/>
      <c r="B1128" s="43"/>
      <c r="C1128" s="41"/>
      <c r="D1128" s="43"/>
      <c r="E1128" s="29"/>
      <c r="G1128" s="3"/>
      <c r="I1128" s="4"/>
      <c r="J1128" s="4"/>
      <c r="K1128" s="4"/>
      <c r="L1128" s="18"/>
      <c r="M1128" s="3"/>
      <c r="P1128" s="3"/>
      <c r="Q1128" s="4"/>
      <c r="R1128" s="19"/>
      <c r="S1128" s="20"/>
      <c r="T1128" s="3"/>
      <c r="U1128" s="3" t="str">
        <f t="shared" si="38"/>
        <v/>
      </c>
      <c r="V1128" s="4" t="str">
        <f t="shared" si="39"/>
        <v/>
      </c>
      <c r="W1128" s="21" t="e" cm="1">
        <f t="array" ref="W1128">_xlfn.IFS(
  A1128="BELL", "WHITE",
  A1128="GAMP", "ORANGE",
  A1128="GAMM", "GREEN",
  A1128="BWF", "YELLOW",
  OR(A1128="TNBE", A1128="TNBL", A1128="TNBD", A1128="TNWC", A1128="TNBW", A1128="THBS"), "PINK",
  A1128="CRWD", "BLUE",
  A1128="PASS", "WHITE"
)</f>
        <v>#N/A</v>
      </c>
    </row>
    <row r="1129" spans="1:23" x14ac:dyDescent="0.25">
      <c r="A1129" s="7"/>
      <c r="B1129" s="43"/>
      <c r="C1129" s="41"/>
      <c r="D1129" s="43"/>
      <c r="E1129" s="29"/>
      <c r="G1129" s="3"/>
      <c r="I1129" s="4"/>
      <c r="J1129" s="4"/>
      <c r="K1129" s="4"/>
      <c r="L1129" s="18"/>
      <c r="M1129" s="3"/>
      <c r="P1129" s="3"/>
      <c r="Q1129" s="4"/>
      <c r="R1129" s="19"/>
      <c r="S1129" s="20"/>
      <c r="T1129" s="3"/>
      <c r="U1129" s="3" t="str">
        <f t="shared" si="38"/>
        <v/>
      </c>
      <c r="V1129" s="4" t="str">
        <f t="shared" si="39"/>
        <v/>
      </c>
      <c r="W1129" s="21" t="e" cm="1">
        <f t="array" ref="W1129">_xlfn.IFS(
  A1129="BELL", "WHITE",
  A1129="GAMP", "ORANGE",
  A1129="GAMM", "GREEN",
  A1129="BWF", "YELLOW",
  OR(A1129="TNBE", A1129="TNBL", A1129="TNBD", A1129="TNWC", A1129="TNBW", A1129="THBS"), "PINK",
  A1129="CRWD", "BLUE",
  A1129="PASS", "WHITE"
)</f>
        <v>#N/A</v>
      </c>
    </row>
    <row r="1130" spans="1:23" x14ac:dyDescent="0.25">
      <c r="A1130" s="7"/>
      <c r="B1130" s="43"/>
      <c r="C1130" s="41"/>
      <c r="D1130" s="43"/>
      <c r="E1130" s="29"/>
      <c r="G1130" s="3"/>
      <c r="I1130" s="4"/>
      <c r="J1130" s="4"/>
      <c r="K1130" s="4"/>
      <c r="L1130" s="18"/>
      <c r="M1130" s="18"/>
      <c r="P1130" s="3"/>
      <c r="Q1130" s="4"/>
      <c r="R1130" s="19"/>
      <c r="S1130" s="20"/>
      <c r="T1130" s="3"/>
      <c r="U1130" s="3" t="str">
        <f t="shared" si="38"/>
        <v/>
      </c>
      <c r="V1130" s="4" t="str">
        <f t="shared" si="39"/>
        <v/>
      </c>
      <c r="W1130" s="21" t="e" cm="1">
        <f t="array" ref="W1130">_xlfn.IFS(
  A1130="BELL", "WHITE",
  A1130="GAMP", "ORANGE",
  A1130="GAMM", "GREEN",
  A1130="BWF", "YELLOW",
  OR(A1130="TNBE", A1130="TNBL", A1130="TNBD", A1130="TNWC", A1130="TNBW", A1130="THBS"), "PINK",
  A1130="CRWD", "BLUE",
  A1130="PASS", "WHITE"
)</f>
        <v>#N/A</v>
      </c>
    </row>
    <row r="1131" spans="1:23" x14ac:dyDescent="0.25">
      <c r="A1131" s="7"/>
      <c r="B1131" s="43"/>
      <c r="C1131" s="41"/>
      <c r="D1131" s="43"/>
      <c r="E1131" s="29"/>
      <c r="G1131" s="3"/>
      <c r="I1131" s="4"/>
      <c r="J1131" s="4"/>
      <c r="K1131" s="4"/>
      <c r="L1131" s="18"/>
      <c r="M1131" s="3"/>
      <c r="P1131" s="3"/>
      <c r="Q1131" s="4"/>
      <c r="R1131" s="19"/>
      <c r="S1131" s="20"/>
      <c r="T1131" s="3"/>
      <c r="U1131" s="3" t="str">
        <f t="shared" si="38"/>
        <v/>
      </c>
      <c r="V1131" s="4" t="str">
        <f t="shared" si="39"/>
        <v/>
      </c>
      <c r="W1131" s="21" t="e" cm="1">
        <f t="array" ref="W1131">_xlfn.IFS(
  A1131="BELL", "WHITE",
  A1131="GAMP", "ORANGE",
  A1131="GAMM", "GREEN",
  A1131="BWF", "YELLOW",
  OR(A1131="TNBE", A1131="TNBL", A1131="TNBD", A1131="TNWC", A1131="TNBW", A1131="THBS"), "PINK",
  A1131="CRWD", "BLUE",
  A1131="PASS", "WHITE"
)</f>
        <v>#N/A</v>
      </c>
    </row>
    <row r="1132" spans="1:23" x14ac:dyDescent="0.25">
      <c r="A1132" s="7"/>
      <c r="B1132" s="43"/>
      <c r="C1132" s="41"/>
      <c r="D1132" s="43"/>
      <c r="E1132" s="29"/>
      <c r="G1132" s="3"/>
      <c r="I1132" s="4"/>
      <c r="J1132" s="4"/>
      <c r="K1132" s="4"/>
      <c r="L1132" s="18"/>
      <c r="M1132" s="3"/>
      <c r="P1132" s="3"/>
      <c r="Q1132" s="4"/>
      <c r="R1132" s="19"/>
      <c r="S1132" s="20"/>
      <c r="T1132" s="3"/>
      <c r="U1132" s="3" t="str">
        <f t="shared" si="38"/>
        <v/>
      </c>
      <c r="V1132" s="4" t="str">
        <f t="shared" si="39"/>
        <v/>
      </c>
      <c r="W1132" s="21" t="e" cm="1">
        <f t="array" ref="W1132">_xlfn.IFS(
  A1132="BELL", "WHITE",
  A1132="GAMP", "ORANGE",
  A1132="GAMM", "GREEN",
  A1132="BWF", "YELLOW",
  OR(A1132="TNBE", A1132="TNBL", A1132="TNBD", A1132="TNWC", A1132="TNBW", A1132="THBS"), "PINK",
  A1132="CRWD", "BLUE",
  A1132="PASS", "WHITE"
)</f>
        <v>#N/A</v>
      </c>
    </row>
    <row r="1133" spans="1:23" x14ac:dyDescent="0.25">
      <c r="A1133" s="7"/>
      <c r="B1133" s="43"/>
      <c r="C1133" s="41"/>
      <c r="D1133" s="43"/>
      <c r="E1133" s="29"/>
      <c r="G1133" s="3"/>
      <c r="I1133" s="4"/>
      <c r="J1133" s="4"/>
      <c r="K1133" s="4"/>
      <c r="L1133" s="18"/>
      <c r="M1133" s="3"/>
      <c r="P1133" s="3"/>
      <c r="Q1133" s="4"/>
      <c r="R1133" s="19"/>
      <c r="S1133" s="20"/>
      <c r="T1133" s="3"/>
      <c r="U1133" s="3" t="str">
        <f t="shared" si="38"/>
        <v/>
      </c>
      <c r="V1133" s="4" t="str">
        <f t="shared" si="39"/>
        <v/>
      </c>
      <c r="W1133" s="21" t="e" cm="1">
        <f t="array" ref="W1133">_xlfn.IFS(
  A1133="BELL", "WHITE",
  A1133="GAMP", "ORANGE",
  A1133="GAMM", "GREEN",
  A1133="BWF", "YELLOW",
  OR(A1133="TNBE", A1133="TNBL", A1133="TNBD", A1133="TNWC", A1133="TNBW", A1133="THBS"), "PINK",
  A1133="CRWD", "BLUE",
  A1133="PASS", "WHITE"
)</f>
        <v>#N/A</v>
      </c>
    </row>
    <row r="1134" spans="1:23" x14ac:dyDescent="0.25">
      <c r="A1134" s="7"/>
      <c r="B1134" s="43"/>
      <c r="C1134" s="41"/>
      <c r="D1134" s="43"/>
      <c r="E1134" s="29"/>
      <c r="G1134" s="3"/>
      <c r="I1134" s="4"/>
      <c r="J1134" s="4"/>
      <c r="K1134" s="4"/>
      <c r="L1134" s="18"/>
      <c r="M1134" s="3"/>
      <c r="P1134" s="3"/>
      <c r="Q1134" s="4"/>
      <c r="R1134" s="19"/>
      <c r="S1134" s="20"/>
      <c r="T1134" s="3"/>
      <c r="U1134" s="3" t="str">
        <f t="shared" si="38"/>
        <v/>
      </c>
      <c r="V1134" s="4" t="str">
        <f t="shared" si="39"/>
        <v/>
      </c>
      <c r="W1134" s="21" t="e" cm="1">
        <f t="array" ref="W1134">_xlfn.IFS(
  A1134="BELL", "WHITE",
  A1134="GAMP", "ORANGE",
  A1134="GAMM", "GREEN",
  A1134="BWF", "YELLOW",
  OR(A1134="TNBE", A1134="TNBL", A1134="TNBD", A1134="TNWC", A1134="TNBW", A1134="THBS"), "PINK",
  A1134="CRWD", "BLUE",
  A1134="PASS", "WHITE"
)</f>
        <v>#N/A</v>
      </c>
    </row>
    <row r="1135" spans="1:23" x14ac:dyDescent="0.25">
      <c r="A1135" s="7"/>
      <c r="B1135" s="43"/>
      <c r="C1135" s="41"/>
      <c r="D1135" s="43"/>
      <c r="E1135" s="29"/>
      <c r="G1135" s="3"/>
      <c r="I1135" s="4"/>
      <c r="J1135" s="4"/>
      <c r="K1135" s="4"/>
      <c r="L1135" s="18"/>
      <c r="M1135" s="3"/>
      <c r="P1135" s="3"/>
      <c r="Q1135" s="4"/>
      <c r="R1135" s="19"/>
      <c r="S1135" s="20"/>
      <c r="T1135" s="3"/>
      <c r="U1135" s="3" t="str">
        <f t="shared" si="38"/>
        <v/>
      </c>
      <c r="V1135" s="4" t="str">
        <f t="shared" si="39"/>
        <v/>
      </c>
      <c r="W1135" s="21" t="e" cm="1">
        <f t="array" ref="W1135">_xlfn.IFS(
  A1135="BELL", "WHITE",
  A1135="GAMP", "ORANGE",
  A1135="GAMM", "GREEN",
  A1135="BWF", "YELLOW",
  OR(A1135="TNBE", A1135="TNBL", A1135="TNBD", A1135="TNWC", A1135="TNBW", A1135="THBS"), "PINK",
  A1135="CRWD", "BLUE",
  A1135="PASS", "WHITE"
)</f>
        <v>#N/A</v>
      </c>
    </row>
    <row r="1136" spans="1:23" x14ac:dyDescent="0.25">
      <c r="A1136" s="7"/>
      <c r="B1136" s="43"/>
      <c r="C1136" s="41"/>
      <c r="D1136" s="43"/>
      <c r="E1136" s="43"/>
      <c r="G1136" s="3"/>
      <c r="I1136" s="4"/>
      <c r="J1136" s="4"/>
      <c r="K1136" s="4"/>
      <c r="L1136" s="18"/>
      <c r="M1136" s="18"/>
      <c r="P1136" s="3"/>
      <c r="Q1136" s="4"/>
      <c r="R1136" s="19"/>
      <c r="S1136" s="20"/>
      <c r="T1136" s="3"/>
      <c r="U1136" s="3" t="str">
        <f t="shared" si="38"/>
        <v/>
      </c>
      <c r="V1136" s="4" t="str">
        <f t="shared" si="39"/>
        <v/>
      </c>
      <c r="W1136" s="21" t="e" cm="1">
        <f t="array" ref="W1136">_xlfn.IFS(
  A1136="BELL", "WHITE",
  A1136="GAMP", "ORANGE",
  A1136="GAMM", "GREEN",
  A1136="BWF", "YELLOW",
  OR(A1136="TNBE", A1136="TNBL", A1136="TNBD", A1136="TNWC", A1136="TNBW", A1136="THBS"), "PINK",
  A1136="CRWD", "BLUE",
  A1136="PASS", "WHITE"
)</f>
        <v>#N/A</v>
      </c>
    </row>
    <row r="1137" spans="1:23" x14ac:dyDescent="0.25">
      <c r="A1137" s="7"/>
      <c r="B1137" s="43"/>
      <c r="C1137" s="41"/>
      <c r="D1137" s="43"/>
      <c r="E1137" s="43"/>
      <c r="G1137" s="3"/>
      <c r="I1137" s="4"/>
      <c r="J1137" s="4"/>
      <c r="K1137" s="4"/>
      <c r="L1137" s="18"/>
      <c r="M1137" s="18"/>
      <c r="P1137" s="3"/>
      <c r="Q1137" s="4"/>
      <c r="R1137" s="19"/>
      <c r="S1137" s="20"/>
      <c r="T1137" s="3"/>
      <c r="U1137" s="3" t="str">
        <f t="shared" si="38"/>
        <v/>
      </c>
      <c r="V1137" s="4" t="str">
        <f t="shared" si="39"/>
        <v/>
      </c>
      <c r="W1137" s="21" t="e" cm="1">
        <f t="array" ref="W1137">_xlfn.IFS(
  A1137="BELL", "WHITE",
  A1137="GAMP", "ORANGE",
  A1137="GAMM", "GREEN",
  A1137="BWF", "YELLOW",
  OR(A1137="TNBE", A1137="TNBL", A1137="TNBD", A1137="TNWC", A1137="TNBW", A1137="THBS"), "PINK",
  A1137="CRWD", "BLUE",
  A1137="PASS", "WHITE"
)</f>
        <v>#N/A</v>
      </c>
    </row>
    <row r="1138" spans="1:23" x14ac:dyDescent="0.25">
      <c r="A1138" s="7"/>
      <c r="B1138" s="43"/>
      <c r="C1138" s="41"/>
      <c r="D1138" s="43"/>
      <c r="G1138" s="3"/>
      <c r="I1138" s="4"/>
      <c r="J1138" s="4"/>
      <c r="K1138" s="4"/>
      <c r="L1138" s="18"/>
      <c r="M1138" s="18"/>
      <c r="P1138" s="3"/>
      <c r="Q1138" s="4"/>
      <c r="R1138" s="19"/>
      <c r="S1138" s="20"/>
      <c r="T1138" s="3"/>
      <c r="U1138" s="3" t="str">
        <f t="shared" si="38"/>
        <v/>
      </c>
      <c r="V1138" s="4" t="str">
        <f t="shared" si="39"/>
        <v/>
      </c>
      <c r="W1138" s="21" t="e" cm="1">
        <f t="array" ref="W1138">_xlfn.IFS(
  A1138="BELL", "WHITE",
  A1138="GAMP", "ORANGE",
  A1138="GAMM", "GREEN",
  A1138="BWF", "YELLOW",
  OR(A1138="TNBE", A1138="TNBL", A1138="TNBD", A1138="TNWC", A1138="TNBW", A1138="THBS"), "PINK",
  A1138="CRWD", "BLUE",
  A1138="PASS", "WHITE"
)</f>
        <v>#N/A</v>
      </c>
    </row>
    <row r="1139" spans="1:23" x14ac:dyDescent="0.25">
      <c r="A1139" s="7"/>
      <c r="B1139" s="43"/>
      <c r="C1139" s="41"/>
      <c r="D1139" s="43"/>
      <c r="E1139" s="29"/>
      <c r="G1139" s="3"/>
      <c r="I1139" s="4"/>
      <c r="J1139" s="4"/>
      <c r="K1139" s="4"/>
      <c r="L1139" s="18"/>
      <c r="M1139" s="3"/>
      <c r="P1139" s="3"/>
      <c r="Q1139" s="4"/>
      <c r="R1139" s="19"/>
      <c r="S1139" s="20"/>
      <c r="T1139" s="3"/>
      <c r="U1139" s="3" t="str">
        <f t="shared" si="38"/>
        <v/>
      </c>
      <c r="V1139" s="4" t="str">
        <f t="shared" si="39"/>
        <v/>
      </c>
      <c r="W1139" s="21" t="e" cm="1">
        <f t="array" ref="W1139">_xlfn.IFS(
  A1139="BELL", "WHITE",
  A1139="GAMP", "ORANGE",
  A1139="GAMM", "GREEN",
  A1139="BWF", "YELLOW",
  OR(A1139="TNBE", A1139="TNBL", A1139="TNBD", A1139="TNWC", A1139="TNBW", A1139="THBS"), "PINK",
  A1139="CRWD", "BLUE",
  A1139="PASS", "WHITE"
)</f>
        <v>#N/A</v>
      </c>
    </row>
    <row r="1140" spans="1:23" x14ac:dyDescent="0.25">
      <c r="A1140" s="7"/>
      <c r="B1140" s="43"/>
      <c r="C1140" s="41"/>
      <c r="D1140" s="43"/>
      <c r="E1140" s="29"/>
      <c r="G1140" s="3"/>
      <c r="I1140" s="4"/>
      <c r="J1140" s="4"/>
      <c r="K1140" s="4"/>
      <c r="L1140" s="18"/>
      <c r="M1140" s="3"/>
      <c r="P1140" s="3"/>
      <c r="Q1140" s="4"/>
      <c r="R1140" s="19"/>
      <c r="S1140" s="20"/>
      <c r="T1140" s="3"/>
      <c r="U1140" s="3" t="str">
        <f t="shared" si="38"/>
        <v/>
      </c>
      <c r="V1140" s="4" t="str">
        <f t="shared" si="39"/>
        <v/>
      </c>
      <c r="W1140" s="21" t="e" cm="1">
        <f t="array" ref="W1140">_xlfn.IFS(
  A1140="BELL", "WHITE",
  A1140="GAMP", "ORANGE",
  A1140="GAMM", "GREEN",
  A1140="BWF", "YELLOW",
  OR(A1140="TNBE", A1140="TNBL", A1140="TNBD", A1140="TNWC", A1140="TNBW", A1140="THBS"), "PINK",
  A1140="CRWD", "BLUE",
  A1140="PASS", "WHITE"
)</f>
        <v>#N/A</v>
      </c>
    </row>
    <row r="1141" spans="1:23" x14ac:dyDescent="0.25">
      <c r="A1141" s="7"/>
      <c r="B1141" s="43"/>
      <c r="C1141" s="41"/>
      <c r="D1141" s="43"/>
      <c r="E1141" s="29"/>
      <c r="G1141" s="3"/>
      <c r="I1141" s="4"/>
      <c r="J1141" s="4"/>
      <c r="K1141" s="4"/>
      <c r="L1141" s="18"/>
      <c r="M1141" s="3"/>
      <c r="P1141" s="3"/>
      <c r="Q1141" s="4"/>
      <c r="R1141" s="19"/>
      <c r="S1141" s="20"/>
      <c r="T1141" s="3"/>
      <c r="U1141" s="3" t="str">
        <f t="shared" si="38"/>
        <v/>
      </c>
      <c r="V1141" s="4" t="str">
        <f t="shared" si="39"/>
        <v/>
      </c>
      <c r="W1141" s="21" t="e" cm="1">
        <f t="array" ref="W1141">_xlfn.IFS(
  A1141="BELL", "WHITE",
  A1141="GAMP", "ORANGE",
  A1141="GAMM", "GREEN",
  A1141="BWF", "YELLOW",
  OR(A1141="TNBE", A1141="TNBL", A1141="TNBD", A1141="TNWC", A1141="TNBW", A1141="THBS"), "PINK",
  A1141="CRWD", "BLUE",
  A1141="PASS", "WHITE"
)</f>
        <v>#N/A</v>
      </c>
    </row>
    <row r="1142" spans="1:23" x14ac:dyDescent="0.25">
      <c r="A1142" s="7"/>
      <c r="B1142" s="43"/>
      <c r="C1142" s="41"/>
      <c r="D1142" s="43"/>
      <c r="E1142" s="29"/>
      <c r="G1142" s="3"/>
      <c r="I1142" s="4"/>
      <c r="J1142" s="4"/>
      <c r="K1142" s="4"/>
      <c r="L1142" s="18"/>
      <c r="M1142" s="3"/>
      <c r="P1142" s="3"/>
      <c r="Q1142" s="4"/>
      <c r="R1142" s="19"/>
      <c r="S1142" s="20"/>
      <c r="T1142" s="3"/>
      <c r="U1142" s="3" t="str">
        <f t="shared" si="38"/>
        <v/>
      </c>
      <c r="V1142" s="4" t="str">
        <f t="shared" si="39"/>
        <v/>
      </c>
      <c r="W1142" s="21" t="e" cm="1">
        <f t="array" ref="W1142">_xlfn.IFS(
  A1142="BELL", "WHITE",
  A1142="GAMP", "ORANGE",
  A1142="GAMM", "GREEN",
  A1142="BWF", "YELLOW",
  OR(A1142="TNBE", A1142="TNBL", A1142="TNBD", A1142="TNWC", A1142="TNBW", A1142="THBS"), "PINK",
  A1142="CRWD", "BLUE",
  A1142="PASS", "WHITE"
)</f>
        <v>#N/A</v>
      </c>
    </row>
    <row r="1143" spans="1:23" x14ac:dyDescent="0.25">
      <c r="A1143" s="7"/>
      <c r="B1143" s="43"/>
      <c r="C1143" s="41"/>
      <c r="D1143" s="43"/>
      <c r="E1143" s="29"/>
      <c r="G1143" s="3"/>
      <c r="I1143" s="4"/>
      <c r="J1143" s="4"/>
      <c r="K1143" s="4"/>
      <c r="L1143" s="18"/>
      <c r="M1143" s="3"/>
      <c r="P1143" s="3"/>
      <c r="Q1143" s="4"/>
      <c r="R1143" s="19"/>
      <c r="S1143" s="20"/>
      <c r="T1143" s="3"/>
      <c r="U1143" s="3" t="str">
        <f t="shared" si="38"/>
        <v/>
      </c>
      <c r="V1143" s="4" t="str">
        <f t="shared" si="39"/>
        <v/>
      </c>
      <c r="W1143" s="21" t="e" cm="1">
        <f t="array" ref="W1143">_xlfn.IFS(
  A1143="BELL", "WHITE",
  A1143="GAMP", "ORANGE",
  A1143="GAMM", "GREEN",
  A1143="BWF", "YELLOW",
  OR(A1143="TNBE", A1143="TNBL", A1143="TNBD", A1143="TNWC", A1143="TNBW", A1143="THBS"), "PINK",
  A1143="CRWD", "BLUE",
  A1143="PASS", "WHITE"
)</f>
        <v>#N/A</v>
      </c>
    </row>
    <row r="1144" spans="1:23" x14ac:dyDescent="0.25">
      <c r="A1144" s="7"/>
      <c r="B1144" s="43"/>
      <c r="C1144" s="41"/>
      <c r="D1144" s="43"/>
      <c r="E1144" s="29"/>
      <c r="G1144" s="3"/>
      <c r="I1144" s="4"/>
      <c r="J1144" s="4"/>
      <c r="K1144" s="4"/>
      <c r="L1144" s="18"/>
      <c r="M1144" s="3"/>
      <c r="P1144" s="3"/>
      <c r="Q1144" s="4"/>
      <c r="R1144" s="19"/>
      <c r="S1144" s="20"/>
      <c r="T1144" s="3"/>
      <c r="U1144" s="3" t="str">
        <f t="shared" si="38"/>
        <v/>
      </c>
      <c r="V1144" s="4" t="str">
        <f t="shared" si="39"/>
        <v/>
      </c>
      <c r="W1144" s="21" t="e" cm="1">
        <f t="array" ref="W1144">_xlfn.IFS(
  A1144="BELL", "WHITE",
  A1144="GAMP", "ORANGE",
  A1144="GAMM", "GREEN",
  A1144="BWF", "YELLOW",
  OR(A1144="TNBE", A1144="TNBL", A1144="TNBD", A1144="TNWC", A1144="TNBW", A1144="THBS"), "PINK",
  A1144="CRWD", "BLUE",
  A1144="PASS", "WHITE"
)</f>
        <v>#N/A</v>
      </c>
    </row>
    <row r="1145" spans="1:23" x14ac:dyDescent="0.25">
      <c r="A1145" s="7"/>
      <c r="B1145" s="43"/>
      <c r="C1145" s="41"/>
      <c r="D1145" s="43"/>
      <c r="E1145" s="43"/>
      <c r="G1145" s="3"/>
      <c r="I1145" s="4"/>
      <c r="J1145" s="4"/>
      <c r="K1145" s="4"/>
      <c r="L1145" s="18"/>
      <c r="M1145" s="18"/>
      <c r="P1145" s="3"/>
      <c r="Q1145" s="4"/>
      <c r="R1145" s="19"/>
      <c r="S1145" s="20"/>
      <c r="T1145" s="3"/>
      <c r="U1145" s="3" t="str">
        <f t="shared" si="38"/>
        <v/>
      </c>
      <c r="V1145" s="4" t="str">
        <f t="shared" si="39"/>
        <v/>
      </c>
      <c r="W1145" s="21" t="e" cm="1">
        <f t="array" ref="W1145">_xlfn.IFS(
  A1145="BELL", "WHITE",
  A1145="GAMP", "ORANGE",
  A1145="GAMM", "GREEN",
  A1145="BWF", "YELLOW",
  OR(A1145="TNBE", A1145="TNBL", A1145="TNBD", A1145="TNWC", A1145="TNBW", A1145="THBS"), "PINK",
  A1145="CRWD", "BLUE",
  A1145="PASS", "WHITE"
)</f>
        <v>#N/A</v>
      </c>
    </row>
    <row r="1146" spans="1:23" x14ac:dyDescent="0.25">
      <c r="A1146" s="7"/>
      <c r="B1146" s="43"/>
      <c r="C1146" s="41"/>
      <c r="D1146" s="43"/>
      <c r="E1146" s="43"/>
      <c r="G1146" s="3"/>
      <c r="I1146" s="4"/>
      <c r="J1146" s="4"/>
      <c r="K1146" s="4"/>
      <c r="L1146" s="18"/>
      <c r="M1146" s="3"/>
      <c r="P1146" s="3"/>
      <c r="Q1146" s="4"/>
      <c r="R1146" s="19"/>
      <c r="S1146" s="20"/>
      <c r="T1146" s="3"/>
      <c r="U1146" s="3" t="str">
        <f t="shared" si="38"/>
        <v/>
      </c>
      <c r="V1146" s="4" t="str">
        <f t="shared" si="39"/>
        <v/>
      </c>
      <c r="W1146" s="21" t="e" cm="1">
        <f t="array" ref="W1146">_xlfn.IFS(
  A1146="BELL", "WHITE",
  A1146="GAMP", "ORANGE",
  A1146="GAMM", "GREEN",
  A1146="BWF", "YELLOW",
  OR(A1146="TNBE", A1146="TNBL", A1146="TNBD", A1146="TNWC", A1146="TNBW", A1146="THBS"), "PINK",
  A1146="CRWD", "BLUE",
  A1146="PASS", "WHITE"
)</f>
        <v>#N/A</v>
      </c>
    </row>
    <row r="1147" spans="1:23" x14ac:dyDescent="0.25">
      <c r="A1147" s="7"/>
      <c r="B1147"/>
      <c r="C1147" s="41"/>
      <c r="I1147" s="3"/>
      <c r="J1147" s="17"/>
      <c r="K1147" s="17"/>
      <c r="L1147" s="18"/>
      <c r="M1147" s="3"/>
      <c r="P1147" s="3"/>
      <c r="Q1147" s="4"/>
      <c r="R1147" s="19"/>
      <c r="S1147" s="20"/>
      <c r="U1147" s="3" t="str">
        <f t="shared" si="38"/>
        <v/>
      </c>
      <c r="V1147" s="4" t="str">
        <f t="shared" si="39"/>
        <v/>
      </c>
      <c r="W1147" s="21" t="e" cm="1">
        <f t="array" ref="W1147">_xlfn.IFS(
  A1147="BELL", "WHITE",
  A1147="GAMP", "ORANGE",
  A1147="GAMM", "GREEN",
  A1147="BWF", "YELLOW",
  OR(A1147="TNBE", A1147="TNBL", A1147="TNBD", A1147="TNWC", A1147="TNBW", A1147="THBS"), "PINK",
  A1147="CRWD", "BLUE",
  A1147="PASS", "WHITE"
)</f>
        <v>#N/A</v>
      </c>
    </row>
    <row r="1148" spans="1:23" x14ac:dyDescent="0.25">
      <c r="A1148" s="7"/>
      <c r="B1148"/>
      <c r="I1148" s="3"/>
      <c r="J1148" s="17"/>
      <c r="K1148" s="17"/>
      <c r="L1148" s="18"/>
      <c r="M1148" s="3"/>
      <c r="P1148" s="3"/>
      <c r="Q1148" s="4"/>
      <c r="R1148" s="19"/>
      <c r="S1148" s="20"/>
      <c r="U1148" s="3" t="str">
        <f t="shared" si="38"/>
        <v/>
      </c>
      <c r="V1148" s="4" t="str">
        <f t="shared" si="39"/>
        <v/>
      </c>
      <c r="W1148" s="21" t="e" cm="1">
        <f t="array" ref="W1148">_xlfn.IFS(
  A1148="BELL", "WHITE",
  A1148="GAMP", "ORANGE",
  A1148="GAMM", "GREEN",
  A1148="BWF", "YELLOW",
  OR(A1148="TNBE", A1148="TNBL", A1148="TNBD", A1148="TNWC", A1148="TNBW", A1148="THBS"), "PINK",
  A1148="CRWD", "BLUE",
  A1148="PASS", "WHITE"
)</f>
        <v>#N/A</v>
      </c>
    </row>
    <row r="1149" spans="1:23" x14ac:dyDescent="0.25">
      <c r="A1149" s="7"/>
      <c r="B1149" s="7"/>
      <c r="C1149" s="41"/>
      <c r="D1149" s="27"/>
      <c r="E1149" s="1"/>
      <c r="G1149" s="3"/>
      <c r="H1149" s="2"/>
      <c r="I1149" s="3"/>
      <c r="J1149" s="17"/>
      <c r="K1149" s="17"/>
      <c r="L1149" s="18"/>
      <c r="M1149" s="18"/>
      <c r="O1149"/>
      <c r="P1149" s="3"/>
      <c r="Q1149" s="4"/>
      <c r="R1149" s="19"/>
      <c r="S1149" s="20"/>
      <c r="T1149" s="3"/>
      <c r="U1149" s="3" t="str">
        <f t="shared" si="38"/>
        <v/>
      </c>
      <c r="V1149" s="4" t="str">
        <f t="shared" si="39"/>
        <v/>
      </c>
      <c r="W1149" s="21" t="e" cm="1">
        <f t="array" ref="W1149">_xlfn.IFS(
  A1149="BELL", "WHITE",
  A1149="GAMP", "ORANGE",
  A1149="GAMM", "GREEN",
  A1149="BWF", "YELLOW",
  OR(A1149="TNBE", A1149="TNBL", A1149="TNBD", A1149="TNWC", A1149="TNBW", A1149="THBS"), "PINK",
  A1149="CRWD", "BLUE",
  A1149="PASS", "WHITE"
)</f>
        <v>#N/A</v>
      </c>
    </row>
    <row r="1150" spans="1:23" x14ac:dyDescent="0.25">
      <c r="A1150" s="7"/>
      <c r="B1150" s="7"/>
      <c r="D1150" s="27"/>
      <c r="E1150" s="1"/>
      <c r="G1150" s="3"/>
      <c r="H1150" s="2"/>
      <c r="I1150" s="3"/>
      <c r="J1150" s="17"/>
      <c r="K1150" s="17"/>
      <c r="L1150" s="18"/>
      <c r="M1150" s="3"/>
      <c r="O1150"/>
      <c r="P1150" s="3"/>
      <c r="Q1150" s="4"/>
      <c r="R1150" s="19"/>
      <c r="S1150" s="20"/>
      <c r="T1150" s="3"/>
      <c r="U1150" s="3" t="str">
        <f t="shared" si="38"/>
        <v/>
      </c>
      <c r="V1150" s="4" t="str">
        <f t="shared" si="39"/>
        <v/>
      </c>
      <c r="W1150" s="21" t="e" cm="1">
        <f t="array" ref="W1150">_xlfn.IFS(
  A1150="BELL", "WHITE",
  A1150="GAMP", "ORANGE",
  A1150="GAMM", "GREEN",
  A1150="BWF", "YELLOW",
  OR(A1150="TNBE", A1150="TNBL", A1150="TNBD", A1150="TNWC", A1150="TNBW", A1150="THBS"), "PINK",
  A1150="CRWD", "BLUE",
  A1150="PASS", "WHITE"
)</f>
        <v>#N/A</v>
      </c>
    </row>
    <row r="1151" spans="1:23" x14ac:dyDescent="0.25">
      <c r="A1151" s="7"/>
      <c r="B1151" s="7"/>
      <c r="C1151" s="41"/>
      <c r="D1151" s="27"/>
      <c r="E1151" s="1"/>
      <c r="G1151" s="3"/>
      <c r="H1151" s="2"/>
      <c r="I1151" s="3"/>
      <c r="J1151" s="17"/>
      <c r="K1151" s="17"/>
      <c r="L1151" s="18"/>
      <c r="M1151" s="3"/>
      <c r="O1151"/>
      <c r="P1151" s="3"/>
      <c r="Q1151" s="4"/>
      <c r="R1151" s="19"/>
      <c r="S1151" s="20"/>
      <c r="T1151" s="3"/>
      <c r="U1151" s="3" t="str">
        <f t="shared" si="38"/>
        <v/>
      </c>
      <c r="V1151" s="4" t="str">
        <f t="shared" si="39"/>
        <v/>
      </c>
      <c r="W1151" s="21" t="e" cm="1">
        <f t="array" ref="W1151">_xlfn.IFS(
  A1151="BELL", "WHITE",
  A1151="GAMP", "ORANGE",
  A1151="GAMM", "GREEN",
  A1151="BWF", "YELLOW",
  OR(A1151="TNBE", A1151="TNBL", A1151="TNBD", A1151="TNWC", A1151="TNBW", A1151="THBS"), "PINK",
  A1151="CRWD", "BLUE",
  A1151="PASS", "WHITE"
)</f>
        <v>#N/A</v>
      </c>
    </row>
    <row r="1152" spans="1:23" x14ac:dyDescent="0.25">
      <c r="A1152" s="7"/>
      <c r="B1152" s="7"/>
      <c r="D1152" s="27"/>
      <c r="E1152" s="1"/>
      <c r="G1152" s="3"/>
      <c r="H1152" s="2"/>
      <c r="I1152" s="3"/>
      <c r="J1152" s="17"/>
      <c r="K1152" s="17"/>
      <c r="L1152" s="18"/>
      <c r="M1152" s="18"/>
      <c r="O1152"/>
      <c r="P1152" s="3"/>
      <c r="Q1152" s="4"/>
      <c r="R1152" s="19"/>
      <c r="S1152" s="20"/>
      <c r="T1152" s="3"/>
      <c r="U1152" s="3" t="str">
        <f t="shared" si="38"/>
        <v/>
      </c>
      <c r="V1152" s="4" t="str">
        <f t="shared" si="39"/>
        <v/>
      </c>
      <c r="W1152" s="21" t="e" cm="1">
        <f t="array" ref="W1152">_xlfn.IFS(
  A1152="BELL", "WHITE",
  A1152="GAMP", "ORANGE",
  A1152="GAMM", "GREEN",
  A1152="BWF", "YELLOW",
  OR(A1152="TNBE", A1152="TNBL", A1152="TNBD", A1152="TNWC", A1152="TNBW", A1152="THBS"), "PINK",
  A1152="CRWD", "BLUE",
  A1152="PASS", "WHITE"
)</f>
        <v>#N/A</v>
      </c>
    </row>
    <row r="1153" spans="1:23" x14ac:dyDescent="0.25">
      <c r="A1153" s="7"/>
      <c r="B1153" s="7"/>
      <c r="C1153" s="41"/>
      <c r="D1153" s="27"/>
      <c r="E1153" s="1"/>
      <c r="G1153" s="3"/>
      <c r="H1153" s="2"/>
      <c r="I1153" s="3"/>
      <c r="J1153" s="17"/>
      <c r="K1153" s="17"/>
      <c r="L1153" s="18"/>
      <c r="M1153" s="3"/>
      <c r="O1153"/>
      <c r="P1153" s="3"/>
      <c r="Q1153" s="4"/>
      <c r="R1153" s="19"/>
      <c r="S1153" s="20"/>
      <c r="T1153" s="3"/>
      <c r="U1153" s="3" t="str">
        <f t="shared" si="38"/>
        <v/>
      </c>
      <c r="V1153" s="4" t="str">
        <f t="shared" si="39"/>
        <v/>
      </c>
      <c r="W1153" s="21" t="e" cm="1">
        <f t="array" ref="W1153">_xlfn.IFS(
  A1153="BELL", "WHITE",
  A1153="GAMP", "ORANGE",
  A1153="GAMM", "GREEN",
  A1153="BWF", "YELLOW",
  OR(A1153="TNBE", A1153="TNBL", A1153="TNBD", A1153="TNWC", A1153="TNBW", A1153="THBS"), "PINK",
  A1153="CRWD", "BLUE",
  A1153="PASS", "WHITE"
)</f>
        <v>#N/A</v>
      </c>
    </row>
    <row r="1154" spans="1:23" x14ac:dyDescent="0.25">
      <c r="A1154" s="7"/>
      <c r="B1154" s="7"/>
      <c r="D1154" s="27"/>
      <c r="E1154" s="1"/>
      <c r="G1154" s="3"/>
      <c r="H1154" s="2"/>
      <c r="I1154" s="3"/>
      <c r="J1154" s="17"/>
      <c r="K1154" s="17"/>
      <c r="L1154" s="18"/>
      <c r="M1154" s="3"/>
      <c r="O1154"/>
      <c r="P1154" s="3"/>
      <c r="Q1154" s="4"/>
      <c r="R1154" s="19"/>
      <c r="S1154" s="20"/>
      <c r="T1154" s="3"/>
      <c r="U1154" s="3" t="str">
        <f t="shared" si="38"/>
        <v/>
      </c>
      <c r="V1154" s="4" t="str">
        <f t="shared" si="39"/>
        <v/>
      </c>
      <c r="W1154" s="21" t="e" cm="1">
        <f t="array" ref="W1154">_xlfn.IFS(
  A1154="BELL", "WHITE",
  A1154="GAMP", "ORANGE",
  A1154="GAMM", "GREEN",
  A1154="BWF", "YELLOW",
  OR(A1154="TNBE", A1154="TNBL", A1154="TNBD", A1154="TNWC", A1154="TNBW", A1154="THBS"), "PINK",
  A1154="CRWD", "BLUE",
  A1154="PASS", "WHITE"
)</f>
        <v>#N/A</v>
      </c>
    </row>
    <row r="1155" spans="1:23" x14ac:dyDescent="0.25">
      <c r="A1155" s="7"/>
      <c r="B1155" s="7"/>
      <c r="C1155" s="41"/>
      <c r="D1155" s="27"/>
      <c r="E1155" s="1"/>
      <c r="G1155" s="3"/>
      <c r="H1155" s="2"/>
      <c r="I1155" s="3"/>
      <c r="J1155" s="17"/>
      <c r="K1155" s="17"/>
      <c r="L1155" s="18"/>
      <c r="M1155" s="3"/>
      <c r="O1155"/>
      <c r="P1155" s="3"/>
      <c r="Q1155" s="4"/>
      <c r="R1155" s="19"/>
      <c r="S1155" s="20"/>
      <c r="T1155" s="3"/>
      <c r="U1155" s="3" t="str">
        <f t="shared" si="38"/>
        <v/>
      </c>
      <c r="V1155" s="4" t="str">
        <f t="shared" si="39"/>
        <v/>
      </c>
      <c r="W1155" s="21" t="e" cm="1">
        <f t="array" ref="W1155">_xlfn.IFS(
  A1155="BELL", "WHITE",
  A1155="GAMP", "ORANGE",
  A1155="GAMM", "GREEN",
  A1155="BWF", "YELLOW",
  OR(A1155="TNBE", A1155="TNBL", A1155="TNBD", A1155="TNWC", A1155="TNBW", A1155="THBS"), "PINK",
  A1155="CRWD", "BLUE",
  A1155="PASS", "WHITE"
)</f>
        <v>#N/A</v>
      </c>
    </row>
    <row r="1156" spans="1:23" x14ac:dyDescent="0.25">
      <c r="A1156" s="7"/>
      <c r="B1156" s="7"/>
      <c r="D1156" s="27"/>
      <c r="E1156" s="1"/>
      <c r="G1156" s="3"/>
      <c r="H1156" s="2"/>
      <c r="I1156" s="3"/>
      <c r="J1156" s="17"/>
      <c r="K1156" s="17"/>
      <c r="L1156" s="18"/>
      <c r="M1156" s="3"/>
      <c r="O1156"/>
      <c r="P1156" s="3"/>
      <c r="Q1156" s="4"/>
      <c r="R1156" s="19"/>
      <c r="S1156" s="20"/>
      <c r="T1156" s="3"/>
      <c r="U1156" s="3" t="str">
        <f t="shared" ref="U1156:U1219" si="40">IF(T1156="","",IF(T1156&gt;I1156,H1156,T1156/G1156))</f>
        <v/>
      </c>
      <c r="V1156" s="4" t="str">
        <f t="shared" ref="V1156:V1219" si="41">IF(T1156&gt;I1156,T1156-I1156,"")</f>
        <v/>
      </c>
      <c r="W1156" s="21" t="e" cm="1">
        <f t="array" ref="W1156">_xlfn.IFS(
  A1156="BELL", "WHITE",
  A1156="GAMP", "ORANGE",
  A1156="GAMM", "GREEN",
  A1156="BWF", "YELLOW",
  OR(A1156="TNBE", A1156="TNBL", A1156="TNBD", A1156="TNWC", A1156="TNBW", A1156="THBS"), "PINK",
  A1156="CRWD", "BLUE",
  A1156="PASS", "WHITE"
)</f>
        <v>#N/A</v>
      </c>
    </row>
    <row r="1157" spans="1:23" x14ac:dyDescent="0.25">
      <c r="A1157" s="7"/>
      <c r="B1157" s="7"/>
      <c r="C1157" s="41"/>
      <c r="D1157" s="27"/>
      <c r="E1157" s="1"/>
      <c r="G1157" s="3"/>
      <c r="H1157" s="2"/>
      <c r="I1157" s="3"/>
      <c r="J1157" s="17"/>
      <c r="K1157" s="17"/>
      <c r="L1157" s="18"/>
      <c r="M1157" s="3"/>
      <c r="O1157"/>
      <c r="P1157" s="3"/>
      <c r="Q1157" s="4"/>
      <c r="R1157" s="19"/>
      <c r="S1157" s="20"/>
      <c r="T1157" s="3"/>
      <c r="U1157" s="3" t="str">
        <f t="shared" si="40"/>
        <v/>
      </c>
      <c r="V1157" s="4" t="str">
        <f t="shared" si="41"/>
        <v/>
      </c>
      <c r="W1157" s="21" t="e" cm="1">
        <f t="array" ref="W1157">_xlfn.IFS(
  A1157="BELL", "WHITE",
  A1157="GAMP", "ORANGE",
  A1157="GAMM", "GREEN",
  A1157="BWF", "YELLOW",
  OR(A1157="TNBE", A1157="TNBL", A1157="TNBD", A1157="TNWC", A1157="TNBW", A1157="THBS"), "PINK",
  A1157="CRWD", "BLUE",
  A1157="PASS", "WHITE"
)</f>
        <v>#N/A</v>
      </c>
    </row>
    <row r="1158" spans="1:23" x14ac:dyDescent="0.25">
      <c r="A1158" s="7"/>
      <c r="B1158" s="7"/>
      <c r="D1158" s="27"/>
      <c r="E1158" s="1"/>
      <c r="G1158" s="3"/>
      <c r="H1158" s="2"/>
      <c r="I1158" s="3"/>
      <c r="J1158" s="17"/>
      <c r="K1158" s="17"/>
      <c r="L1158" s="18"/>
      <c r="M1158" s="18"/>
      <c r="O1158"/>
      <c r="P1158" s="3"/>
      <c r="Q1158" s="4"/>
      <c r="R1158" s="19"/>
      <c r="S1158" s="20"/>
      <c r="T1158" s="3"/>
      <c r="U1158" s="3" t="str">
        <f t="shared" si="40"/>
        <v/>
      </c>
      <c r="V1158" s="4" t="str">
        <f t="shared" si="41"/>
        <v/>
      </c>
      <c r="W1158" s="21" t="e" cm="1">
        <f t="array" ref="W1158">_xlfn.IFS(
  A1158="BELL", "WHITE",
  A1158="GAMP", "ORANGE",
  A1158="GAMM", "GREEN",
  A1158="BWF", "YELLOW",
  OR(A1158="TNBE", A1158="TNBL", A1158="TNBD", A1158="TNWC", A1158="TNBW", A1158="THBS"), "PINK",
  A1158="CRWD", "BLUE",
  A1158="PASS", "WHITE"
)</f>
        <v>#N/A</v>
      </c>
    </row>
    <row r="1159" spans="1:23" x14ac:dyDescent="0.25">
      <c r="A1159" s="7"/>
      <c r="B1159" s="7"/>
      <c r="C1159" s="41"/>
      <c r="D1159" s="27"/>
      <c r="E1159" s="1"/>
      <c r="G1159" s="3"/>
      <c r="H1159" s="2"/>
      <c r="I1159" s="3"/>
      <c r="J1159" s="17"/>
      <c r="K1159" s="17"/>
      <c r="L1159" s="18"/>
      <c r="M1159" s="18"/>
      <c r="O1159"/>
      <c r="P1159" s="3"/>
      <c r="Q1159" s="4"/>
      <c r="R1159" s="19"/>
      <c r="S1159" s="20"/>
      <c r="T1159" s="3"/>
      <c r="U1159" s="3" t="str">
        <f t="shared" si="40"/>
        <v/>
      </c>
      <c r="V1159" s="4" t="str">
        <f t="shared" si="41"/>
        <v/>
      </c>
      <c r="W1159" s="21" t="e" cm="1">
        <f t="array" ref="W1159">_xlfn.IFS(
  A1159="BELL", "WHITE",
  A1159="GAMP", "ORANGE",
  A1159="GAMM", "GREEN",
  A1159="BWF", "YELLOW",
  OR(A1159="TNBE", A1159="TNBL", A1159="TNBD", A1159="TNWC", A1159="TNBW", A1159="THBS"), "PINK",
  A1159="CRWD", "BLUE",
  A1159="PASS", "WHITE"
)</f>
        <v>#N/A</v>
      </c>
    </row>
    <row r="1160" spans="1:23" x14ac:dyDescent="0.25">
      <c r="A1160" s="7"/>
      <c r="B1160" s="7"/>
      <c r="D1160" s="27"/>
      <c r="E1160" s="1"/>
      <c r="G1160" s="3"/>
      <c r="H1160" s="2"/>
      <c r="I1160" s="3"/>
      <c r="J1160" s="17"/>
      <c r="K1160" s="17"/>
      <c r="L1160" s="18"/>
      <c r="M1160" s="3"/>
      <c r="O1160"/>
      <c r="P1160" s="3"/>
      <c r="Q1160" s="4"/>
      <c r="R1160" s="19"/>
      <c r="S1160" s="20"/>
      <c r="T1160" s="3"/>
      <c r="U1160" s="3" t="str">
        <f t="shared" si="40"/>
        <v/>
      </c>
      <c r="V1160" s="4" t="str">
        <f t="shared" si="41"/>
        <v/>
      </c>
      <c r="W1160" s="21" t="e" cm="1">
        <f t="array" ref="W1160">_xlfn.IFS(
  A1160="BELL", "WHITE",
  A1160="GAMP", "ORANGE",
  A1160="GAMM", "GREEN",
  A1160="BWF", "YELLOW",
  OR(A1160="TNBE", A1160="TNBL", A1160="TNBD", A1160="TNWC", A1160="TNBW", A1160="THBS"), "PINK",
  A1160="CRWD", "BLUE",
  A1160="PASS", "WHITE"
)</f>
        <v>#N/A</v>
      </c>
    </row>
    <row r="1161" spans="1:23" x14ac:dyDescent="0.25">
      <c r="A1161" s="7"/>
      <c r="B1161" s="7"/>
      <c r="C1161" s="41"/>
      <c r="D1161" s="27"/>
      <c r="E1161" s="1"/>
      <c r="G1161" s="3"/>
      <c r="H1161" s="2"/>
      <c r="I1161" s="3"/>
      <c r="J1161" s="17"/>
      <c r="K1161" s="17"/>
      <c r="L1161" s="18"/>
      <c r="M1161" s="18"/>
      <c r="O1161"/>
      <c r="P1161" s="3"/>
      <c r="Q1161" s="4"/>
      <c r="R1161" s="19"/>
      <c r="S1161" s="20"/>
      <c r="T1161" s="3"/>
      <c r="U1161" s="3" t="str">
        <f t="shared" si="40"/>
        <v/>
      </c>
      <c r="V1161" s="4" t="str">
        <f t="shared" si="41"/>
        <v/>
      </c>
      <c r="W1161" s="21" t="e" cm="1">
        <f t="array" ref="W1161">_xlfn.IFS(
  A1161="BELL", "WHITE",
  A1161="GAMP", "ORANGE",
  A1161="GAMM", "GREEN",
  A1161="BWF", "YELLOW",
  OR(A1161="TNBE", A1161="TNBL", A1161="TNBD", A1161="TNWC", A1161="TNBW", A1161="THBS"), "PINK",
  A1161="CRWD", "BLUE",
  A1161="PASS", "WHITE"
)</f>
        <v>#N/A</v>
      </c>
    </row>
    <row r="1162" spans="1:23" x14ac:dyDescent="0.25">
      <c r="A1162" s="7"/>
      <c r="B1162" s="7"/>
      <c r="D1162" s="27"/>
      <c r="E1162" s="1"/>
      <c r="G1162" s="3"/>
      <c r="H1162" s="2"/>
      <c r="I1162" s="3"/>
      <c r="J1162" s="17"/>
      <c r="K1162" s="17"/>
      <c r="L1162" s="18"/>
      <c r="M1162" s="18"/>
      <c r="O1162"/>
      <c r="P1162" s="3"/>
      <c r="Q1162" s="4"/>
      <c r="R1162" s="19"/>
      <c r="S1162" s="20"/>
      <c r="T1162" s="3"/>
      <c r="U1162" s="3" t="str">
        <f t="shared" si="40"/>
        <v/>
      </c>
      <c r="V1162" s="4" t="str">
        <f t="shared" si="41"/>
        <v/>
      </c>
      <c r="W1162" s="21" t="e" cm="1">
        <f t="array" ref="W1162">_xlfn.IFS(
  A1162="BELL", "WHITE",
  A1162="GAMP", "ORANGE",
  A1162="GAMM", "GREEN",
  A1162="BWF", "YELLOW",
  OR(A1162="TNBE", A1162="TNBL", A1162="TNBD", A1162="TNWC", A1162="TNBW", A1162="THBS"), "PINK",
  A1162="CRWD", "BLUE",
  A1162="PASS", "WHITE"
)</f>
        <v>#N/A</v>
      </c>
    </row>
    <row r="1163" spans="1:23" x14ac:dyDescent="0.25">
      <c r="A1163" s="7"/>
      <c r="B1163" s="7"/>
      <c r="C1163" s="41"/>
      <c r="D1163" s="27"/>
      <c r="E1163" s="1"/>
      <c r="G1163" s="3"/>
      <c r="H1163" s="2"/>
      <c r="I1163" s="3"/>
      <c r="J1163" s="17"/>
      <c r="K1163" s="17"/>
      <c r="L1163" s="18"/>
      <c r="M1163" s="3"/>
      <c r="O1163"/>
      <c r="P1163" s="3"/>
      <c r="Q1163" s="4"/>
      <c r="R1163" s="19"/>
      <c r="S1163" s="20"/>
      <c r="T1163" s="3"/>
      <c r="U1163" s="3" t="str">
        <f t="shared" si="40"/>
        <v/>
      </c>
      <c r="V1163" s="4" t="str">
        <f t="shared" si="41"/>
        <v/>
      </c>
      <c r="W1163" s="21" t="e" cm="1">
        <f t="array" ref="W1163">_xlfn.IFS(
  A1163="BELL", "WHITE",
  A1163="GAMP", "ORANGE",
  A1163="GAMM", "GREEN",
  A1163="BWF", "YELLOW",
  OR(A1163="TNBE", A1163="TNBL", A1163="TNBD", A1163="TNWC", A1163="TNBW", A1163="THBS"), "PINK",
  A1163="CRWD", "BLUE",
  A1163="PASS", "WHITE"
)</f>
        <v>#N/A</v>
      </c>
    </row>
    <row r="1164" spans="1:23" x14ac:dyDescent="0.25">
      <c r="A1164" s="7"/>
      <c r="B1164" s="7"/>
      <c r="D1164" s="27"/>
      <c r="E1164" s="1"/>
      <c r="G1164" s="3"/>
      <c r="H1164" s="2"/>
      <c r="I1164" s="3"/>
      <c r="J1164" s="17"/>
      <c r="K1164" s="17"/>
      <c r="L1164" s="18"/>
      <c r="M1164" s="3"/>
      <c r="O1164"/>
      <c r="P1164" s="3"/>
      <c r="Q1164" s="4"/>
      <c r="R1164" s="19"/>
      <c r="S1164" s="20"/>
      <c r="T1164" s="3"/>
      <c r="U1164" s="3" t="str">
        <f t="shared" si="40"/>
        <v/>
      </c>
      <c r="V1164" s="4" t="str">
        <f t="shared" si="41"/>
        <v/>
      </c>
      <c r="W1164" s="21" t="e" cm="1">
        <f t="array" ref="W1164">_xlfn.IFS(
  A1164="BELL", "WHITE",
  A1164="GAMP", "ORANGE",
  A1164="GAMM", "GREEN",
  A1164="BWF", "YELLOW",
  OR(A1164="TNBE", A1164="TNBL", A1164="TNBD", A1164="TNWC", A1164="TNBW", A1164="THBS"), "PINK",
  A1164="CRWD", "BLUE",
  A1164="PASS", "WHITE"
)</f>
        <v>#N/A</v>
      </c>
    </row>
    <row r="1165" spans="1:23" x14ac:dyDescent="0.25">
      <c r="A1165" s="7"/>
      <c r="B1165" s="7"/>
      <c r="C1165" s="41"/>
      <c r="D1165" s="27"/>
      <c r="E1165" s="1"/>
      <c r="G1165" s="3"/>
      <c r="H1165" s="2"/>
      <c r="I1165" s="3"/>
      <c r="J1165" s="17"/>
      <c r="K1165" s="17"/>
      <c r="L1165" s="18"/>
      <c r="M1165" s="18"/>
      <c r="O1165"/>
      <c r="P1165" s="3"/>
      <c r="Q1165" s="4"/>
      <c r="R1165" s="19"/>
      <c r="S1165" s="20"/>
      <c r="T1165" s="3"/>
      <c r="U1165" s="3" t="str">
        <f t="shared" si="40"/>
        <v/>
      </c>
      <c r="V1165" s="4" t="str">
        <f t="shared" si="41"/>
        <v/>
      </c>
      <c r="W1165" s="21" t="e" cm="1">
        <f t="array" ref="W1165">_xlfn.IFS(
  A1165="BELL", "WHITE",
  A1165="GAMP", "ORANGE",
  A1165="GAMM", "GREEN",
  A1165="BWF", "YELLOW",
  OR(A1165="TNBE", A1165="TNBL", A1165="TNBD", A1165="TNWC", A1165="TNBW", A1165="THBS"), "PINK",
  A1165="CRWD", "BLUE",
  A1165="PASS", "WHITE"
)</f>
        <v>#N/A</v>
      </c>
    </row>
    <row r="1166" spans="1:23" x14ac:dyDescent="0.25">
      <c r="A1166" s="7"/>
      <c r="B1166" s="7"/>
      <c r="D1166" s="27"/>
      <c r="E1166" s="1"/>
      <c r="G1166" s="3"/>
      <c r="H1166" s="2"/>
      <c r="I1166" s="3"/>
      <c r="J1166" s="17"/>
      <c r="K1166" s="17"/>
      <c r="L1166" s="18"/>
      <c r="M1166" s="3"/>
      <c r="O1166"/>
      <c r="P1166" s="3"/>
      <c r="Q1166" s="4"/>
      <c r="R1166" s="19"/>
      <c r="S1166" s="20"/>
      <c r="T1166" s="3"/>
      <c r="U1166" s="3" t="str">
        <f t="shared" si="40"/>
        <v/>
      </c>
      <c r="V1166" s="4" t="str">
        <f t="shared" si="41"/>
        <v/>
      </c>
      <c r="W1166" s="21" t="e" cm="1">
        <f t="array" ref="W1166">_xlfn.IFS(
  A1166="BELL", "WHITE",
  A1166="GAMP", "ORANGE",
  A1166="GAMM", "GREEN",
  A1166="BWF", "YELLOW",
  OR(A1166="TNBE", A1166="TNBL", A1166="TNBD", A1166="TNWC", A1166="TNBW", A1166="THBS"), "PINK",
  A1166="CRWD", "BLUE",
  A1166="PASS", "WHITE"
)</f>
        <v>#N/A</v>
      </c>
    </row>
    <row r="1167" spans="1:23" x14ac:dyDescent="0.25">
      <c r="A1167" s="7"/>
      <c r="B1167" s="7"/>
      <c r="C1167" s="41"/>
      <c r="D1167" s="27"/>
      <c r="E1167" s="1"/>
      <c r="G1167" s="3"/>
      <c r="H1167" s="2"/>
      <c r="I1167" s="3"/>
      <c r="J1167" s="17"/>
      <c r="K1167" s="17"/>
      <c r="L1167" s="18"/>
      <c r="M1167" s="18"/>
      <c r="O1167"/>
      <c r="P1167" s="3"/>
      <c r="Q1167" s="4"/>
      <c r="R1167" s="19"/>
      <c r="S1167" s="20"/>
      <c r="T1167" s="3"/>
      <c r="U1167" s="3" t="str">
        <f t="shared" si="40"/>
        <v/>
      </c>
      <c r="V1167" s="4" t="str">
        <f t="shared" si="41"/>
        <v/>
      </c>
      <c r="W1167" s="21" t="e" cm="1">
        <f t="array" ref="W1167">_xlfn.IFS(
  A1167="BELL", "WHITE",
  A1167="GAMP", "ORANGE",
  A1167="GAMM", "GREEN",
  A1167="BWF", "YELLOW",
  OR(A1167="TNBE", A1167="TNBL", A1167="TNBD", A1167="TNWC", A1167="TNBW", A1167="THBS"), "PINK",
  A1167="CRWD", "BLUE",
  A1167="PASS", "WHITE"
)</f>
        <v>#N/A</v>
      </c>
    </row>
    <row r="1168" spans="1:23" x14ac:dyDescent="0.25">
      <c r="A1168" s="7"/>
      <c r="B1168" s="7"/>
      <c r="D1168" s="27"/>
      <c r="E1168" s="1"/>
      <c r="G1168" s="3"/>
      <c r="H1168" s="2"/>
      <c r="I1168" s="3"/>
      <c r="J1168" s="17"/>
      <c r="K1168" s="17"/>
      <c r="L1168" s="18"/>
      <c r="M1168" s="3"/>
      <c r="O1168"/>
      <c r="P1168" s="3"/>
      <c r="Q1168" s="4"/>
      <c r="R1168" s="19"/>
      <c r="S1168" s="20"/>
      <c r="T1168" s="3"/>
      <c r="U1168" s="3" t="str">
        <f t="shared" si="40"/>
        <v/>
      </c>
      <c r="V1168" s="4" t="str">
        <f t="shared" si="41"/>
        <v/>
      </c>
      <c r="W1168" s="21" t="e" cm="1">
        <f t="array" ref="W1168">_xlfn.IFS(
  A1168="BELL", "WHITE",
  A1168="GAMP", "ORANGE",
  A1168="GAMM", "GREEN",
  A1168="BWF", "YELLOW",
  OR(A1168="TNBE", A1168="TNBL", A1168="TNBD", A1168="TNWC", A1168="TNBW", A1168="THBS"), "PINK",
  A1168="CRWD", "BLUE",
  A1168="PASS", "WHITE"
)</f>
        <v>#N/A</v>
      </c>
    </row>
    <row r="1169" spans="1:23" x14ac:dyDescent="0.25">
      <c r="A1169" s="7"/>
      <c r="B1169" s="7"/>
      <c r="C1169" s="41"/>
      <c r="D1169" s="27"/>
      <c r="E1169" s="1"/>
      <c r="G1169" s="3"/>
      <c r="H1169" s="2"/>
      <c r="I1169" s="3"/>
      <c r="J1169" s="17"/>
      <c r="K1169" s="17"/>
      <c r="L1169" s="18"/>
      <c r="M1169" s="18"/>
      <c r="O1169"/>
      <c r="P1169" s="3"/>
      <c r="Q1169" s="4"/>
      <c r="R1169" s="19"/>
      <c r="S1169" s="20"/>
      <c r="T1169" s="3"/>
      <c r="U1169" s="3" t="str">
        <f t="shared" si="40"/>
        <v/>
      </c>
      <c r="V1169" s="4" t="str">
        <f t="shared" si="41"/>
        <v/>
      </c>
      <c r="W1169" s="21" t="e" cm="1">
        <f t="array" ref="W1169">_xlfn.IFS(
  A1169="BELL", "WHITE",
  A1169="GAMP", "ORANGE",
  A1169="GAMM", "GREEN",
  A1169="BWF", "YELLOW",
  OR(A1169="TNBE", A1169="TNBL", A1169="TNBD", A1169="TNWC", A1169="TNBW", A1169="THBS"), "PINK",
  A1169="CRWD", "BLUE",
  A1169="PASS", "WHITE"
)</f>
        <v>#N/A</v>
      </c>
    </row>
    <row r="1170" spans="1:23" x14ac:dyDescent="0.25">
      <c r="A1170" s="7"/>
      <c r="B1170" s="7"/>
      <c r="D1170" s="27"/>
      <c r="E1170" s="1"/>
      <c r="G1170" s="3"/>
      <c r="H1170" s="2"/>
      <c r="I1170" s="3"/>
      <c r="J1170" s="17"/>
      <c r="K1170" s="17"/>
      <c r="L1170" s="18"/>
      <c r="M1170" s="3"/>
      <c r="O1170"/>
      <c r="P1170" s="3"/>
      <c r="Q1170" s="4"/>
      <c r="R1170" s="19"/>
      <c r="S1170" s="20"/>
      <c r="T1170" s="3"/>
      <c r="U1170" s="3" t="str">
        <f t="shared" si="40"/>
        <v/>
      </c>
      <c r="V1170" s="4" t="str">
        <f t="shared" si="41"/>
        <v/>
      </c>
      <c r="W1170" s="21" t="e" cm="1">
        <f t="array" ref="W1170">_xlfn.IFS(
  A1170="BELL", "WHITE",
  A1170="GAMP", "ORANGE",
  A1170="GAMM", "GREEN",
  A1170="BWF", "YELLOW",
  OR(A1170="TNBE", A1170="TNBL", A1170="TNBD", A1170="TNWC", A1170="TNBW", A1170="THBS"), "PINK",
  A1170="CRWD", "BLUE",
  A1170="PASS", "WHITE"
)</f>
        <v>#N/A</v>
      </c>
    </row>
    <row r="1171" spans="1:23" x14ac:dyDescent="0.25">
      <c r="A1171" s="7"/>
      <c r="B1171" s="7"/>
      <c r="C1171" s="41"/>
      <c r="D1171" s="27"/>
      <c r="E1171" s="1"/>
      <c r="G1171" s="3"/>
      <c r="H1171" s="2"/>
      <c r="I1171" s="3"/>
      <c r="J1171" s="17"/>
      <c r="K1171" s="17"/>
      <c r="L1171" s="18"/>
      <c r="M1171" s="3"/>
      <c r="O1171"/>
      <c r="P1171" s="3"/>
      <c r="Q1171" s="4"/>
      <c r="R1171" s="19"/>
      <c r="S1171" s="20"/>
      <c r="T1171" s="3"/>
      <c r="U1171" s="3" t="str">
        <f t="shared" si="40"/>
        <v/>
      </c>
      <c r="V1171" s="4" t="str">
        <f t="shared" si="41"/>
        <v/>
      </c>
      <c r="W1171" s="21" t="e" cm="1">
        <f t="array" ref="W1171">_xlfn.IFS(
  A1171="BELL", "WHITE",
  A1171="GAMP", "ORANGE",
  A1171="GAMM", "GREEN",
  A1171="BWF", "YELLOW",
  OR(A1171="TNBE", A1171="TNBL", A1171="TNBD", A1171="TNWC", A1171="TNBW", A1171="THBS"), "PINK",
  A1171="CRWD", "BLUE",
  A1171="PASS", "WHITE"
)</f>
        <v>#N/A</v>
      </c>
    </row>
    <row r="1172" spans="1:23" x14ac:dyDescent="0.25">
      <c r="A1172" s="7"/>
      <c r="B1172" s="7"/>
      <c r="D1172" s="27"/>
      <c r="E1172" s="1"/>
      <c r="G1172" s="3"/>
      <c r="H1172" s="2"/>
      <c r="I1172" s="3"/>
      <c r="J1172" s="17"/>
      <c r="K1172" s="17"/>
      <c r="L1172" s="18"/>
      <c r="M1172" s="3"/>
      <c r="O1172"/>
      <c r="P1172" s="3"/>
      <c r="Q1172" s="4"/>
      <c r="R1172" s="19"/>
      <c r="S1172" s="20"/>
      <c r="T1172" s="3"/>
      <c r="U1172" s="3" t="str">
        <f t="shared" si="40"/>
        <v/>
      </c>
      <c r="V1172" s="4" t="str">
        <f t="shared" si="41"/>
        <v/>
      </c>
      <c r="W1172" s="21" t="e" cm="1">
        <f t="array" ref="W1172">_xlfn.IFS(
  A1172="BELL", "WHITE",
  A1172="GAMP", "ORANGE",
  A1172="GAMM", "GREEN",
  A1172="BWF", "YELLOW",
  OR(A1172="TNBE", A1172="TNBL", A1172="TNBD", A1172="TNWC", A1172="TNBW", A1172="THBS"), "PINK",
  A1172="CRWD", "BLUE",
  A1172="PASS", "WHITE"
)</f>
        <v>#N/A</v>
      </c>
    </row>
    <row r="1173" spans="1:23" x14ac:dyDescent="0.25">
      <c r="A1173" s="7"/>
      <c r="B1173" s="7"/>
      <c r="C1173" s="41"/>
      <c r="D1173" s="27"/>
      <c r="E1173" s="1"/>
      <c r="G1173" s="3"/>
      <c r="H1173" s="2"/>
      <c r="I1173" s="3"/>
      <c r="J1173" s="17"/>
      <c r="K1173" s="17"/>
      <c r="L1173" s="18"/>
      <c r="M1173" s="3"/>
      <c r="O1173"/>
      <c r="P1173" s="3"/>
      <c r="Q1173" s="4"/>
      <c r="R1173" s="19"/>
      <c r="S1173" s="20"/>
      <c r="T1173" s="3"/>
      <c r="U1173" s="3" t="str">
        <f t="shared" si="40"/>
        <v/>
      </c>
      <c r="V1173" s="4" t="str">
        <f t="shared" si="41"/>
        <v/>
      </c>
      <c r="W1173" s="21" t="e" cm="1">
        <f t="array" ref="W1173">_xlfn.IFS(
  A1173="BELL", "WHITE",
  A1173="GAMP", "ORANGE",
  A1173="GAMM", "GREEN",
  A1173="BWF", "YELLOW",
  OR(A1173="TNBE", A1173="TNBL", A1173="TNBD", A1173="TNWC", A1173="TNBW", A1173="THBS"), "PINK",
  A1173="CRWD", "BLUE",
  A1173="PASS", "WHITE"
)</f>
        <v>#N/A</v>
      </c>
    </row>
    <row r="1174" spans="1:23" x14ac:dyDescent="0.25">
      <c r="A1174" s="7"/>
      <c r="B1174" s="7"/>
      <c r="D1174" s="27"/>
      <c r="E1174" s="1"/>
      <c r="G1174" s="3"/>
      <c r="H1174" s="2"/>
      <c r="I1174" s="3"/>
      <c r="J1174" s="17"/>
      <c r="K1174" s="17"/>
      <c r="L1174" s="18"/>
      <c r="M1174" s="3"/>
      <c r="O1174"/>
      <c r="P1174" s="3"/>
      <c r="Q1174" s="4"/>
      <c r="R1174" s="19"/>
      <c r="S1174" s="20"/>
      <c r="T1174" s="3"/>
      <c r="U1174" s="3" t="str">
        <f t="shared" si="40"/>
        <v/>
      </c>
      <c r="V1174" s="4" t="str">
        <f t="shared" si="41"/>
        <v/>
      </c>
      <c r="W1174" s="21" t="e" cm="1">
        <f t="array" ref="W1174">_xlfn.IFS(
  A1174="BELL", "WHITE",
  A1174="GAMP", "ORANGE",
  A1174="GAMM", "GREEN",
  A1174="BWF", "YELLOW",
  OR(A1174="TNBE", A1174="TNBL", A1174="TNBD", A1174="TNWC", A1174="TNBW", A1174="THBS"), "PINK",
  A1174="CRWD", "BLUE",
  A1174="PASS", "WHITE"
)</f>
        <v>#N/A</v>
      </c>
    </row>
    <row r="1175" spans="1:23" x14ac:dyDescent="0.25">
      <c r="A1175" s="7"/>
      <c r="B1175" s="7"/>
      <c r="C1175" s="41"/>
      <c r="D1175" s="27"/>
      <c r="E1175" s="1"/>
      <c r="G1175" s="3"/>
      <c r="H1175" s="2"/>
      <c r="I1175" s="3"/>
      <c r="J1175" s="17"/>
      <c r="K1175" s="17"/>
      <c r="L1175" s="18"/>
      <c r="M1175" s="18"/>
      <c r="O1175"/>
      <c r="P1175" s="3"/>
      <c r="Q1175" s="4"/>
      <c r="R1175" s="19"/>
      <c r="S1175" s="20"/>
      <c r="T1175" s="3"/>
      <c r="U1175" s="3" t="str">
        <f t="shared" si="40"/>
        <v/>
      </c>
      <c r="V1175" s="4" t="str">
        <f t="shared" si="41"/>
        <v/>
      </c>
      <c r="W1175" s="21" t="e" cm="1">
        <f t="array" ref="W1175">_xlfn.IFS(
  A1175="BELL", "WHITE",
  A1175="GAMP", "ORANGE",
  A1175="GAMM", "GREEN",
  A1175="BWF", "YELLOW",
  OR(A1175="TNBE", A1175="TNBL", A1175="TNBD", A1175="TNWC", A1175="TNBW", A1175="THBS"), "PINK",
  A1175="CRWD", "BLUE",
  A1175="PASS", "WHITE"
)</f>
        <v>#N/A</v>
      </c>
    </row>
    <row r="1176" spans="1:23" x14ac:dyDescent="0.25">
      <c r="A1176" s="7"/>
      <c r="B1176" s="7"/>
      <c r="D1176" s="27"/>
      <c r="E1176" s="1"/>
      <c r="G1176" s="3"/>
      <c r="H1176" s="2"/>
      <c r="I1176" s="3"/>
      <c r="J1176" s="17"/>
      <c r="K1176" s="17"/>
      <c r="L1176" s="18"/>
      <c r="M1176" s="3"/>
      <c r="O1176"/>
      <c r="P1176" s="3"/>
      <c r="Q1176" s="4"/>
      <c r="R1176" s="19"/>
      <c r="S1176" s="20"/>
      <c r="T1176" s="3"/>
      <c r="U1176" s="3" t="str">
        <f t="shared" si="40"/>
        <v/>
      </c>
      <c r="V1176" s="4" t="str">
        <f t="shared" si="41"/>
        <v/>
      </c>
      <c r="W1176" s="21" t="e" cm="1">
        <f t="array" ref="W1176">_xlfn.IFS(
  A1176="BELL", "WHITE",
  A1176="GAMP", "ORANGE",
  A1176="GAMM", "GREEN",
  A1176="BWF", "YELLOW",
  OR(A1176="TNBE", A1176="TNBL", A1176="TNBD", A1176="TNWC", A1176="TNBW", A1176="THBS"), "PINK",
  A1176="CRWD", "BLUE",
  A1176="PASS", "WHITE"
)</f>
        <v>#N/A</v>
      </c>
    </row>
    <row r="1177" spans="1:23" x14ac:dyDescent="0.25">
      <c r="A1177" s="7"/>
      <c r="B1177" s="7"/>
      <c r="C1177" s="41"/>
      <c r="D1177" s="27"/>
      <c r="E1177" s="1"/>
      <c r="G1177" s="3"/>
      <c r="H1177" s="2"/>
      <c r="I1177" s="3"/>
      <c r="J1177" s="17"/>
      <c r="K1177" s="17"/>
      <c r="L1177" s="18"/>
      <c r="M1177" s="3"/>
      <c r="O1177"/>
      <c r="P1177" s="3"/>
      <c r="Q1177" s="4"/>
      <c r="R1177" s="19"/>
      <c r="S1177" s="20"/>
      <c r="T1177" s="3"/>
      <c r="U1177" s="3" t="str">
        <f t="shared" si="40"/>
        <v/>
      </c>
      <c r="V1177" s="4" t="str">
        <f t="shared" si="41"/>
        <v/>
      </c>
      <c r="W1177" s="21" t="e" cm="1">
        <f t="array" ref="W1177">_xlfn.IFS(
  A1177="BELL", "WHITE",
  A1177="GAMP", "ORANGE",
  A1177="GAMM", "GREEN",
  A1177="BWF", "YELLOW",
  OR(A1177="TNBE", A1177="TNBL", A1177="TNBD", A1177="TNWC", A1177="TNBW", A1177="THBS"), "PINK",
  A1177="CRWD", "BLUE",
  A1177="PASS", "WHITE"
)</f>
        <v>#N/A</v>
      </c>
    </row>
    <row r="1178" spans="1:23" x14ac:dyDescent="0.25">
      <c r="A1178" s="7"/>
      <c r="B1178" s="7"/>
      <c r="D1178" s="27"/>
      <c r="E1178" s="1"/>
      <c r="G1178" s="3"/>
      <c r="H1178" s="2"/>
      <c r="I1178" s="3"/>
      <c r="J1178" s="17"/>
      <c r="K1178" s="17"/>
      <c r="L1178" s="18"/>
      <c r="M1178" s="18"/>
      <c r="O1178"/>
      <c r="P1178" s="3"/>
      <c r="Q1178" s="4"/>
      <c r="R1178" s="19"/>
      <c r="S1178" s="20"/>
      <c r="T1178" s="3"/>
      <c r="U1178" s="3" t="str">
        <f t="shared" si="40"/>
        <v/>
      </c>
      <c r="V1178" s="4" t="str">
        <f t="shared" si="41"/>
        <v/>
      </c>
      <c r="W1178" s="21" t="e" cm="1">
        <f t="array" ref="W1178">_xlfn.IFS(
  A1178="BELL", "WHITE",
  A1178="GAMP", "ORANGE",
  A1178="GAMM", "GREEN",
  A1178="BWF", "YELLOW",
  OR(A1178="TNBE", A1178="TNBL", A1178="TNBD", A1178="TNWC", A1178="TNBW", A1178="THBS"), "PINK",
  A1178="CRWD", "BLUE",
  A1178="PASS", "WHITE"
)</f>
        <v>#N/A</v>
      </c>
    </row>
    <row r="1179" spans="1:23" x14ac:dyDescent="0.25">
      <c r="A1179" s="7"/>
      <c r="B1179" s="7"/>
      <c r="C1179" s="41"/>
      <c r="D1179" s="27"/>
      <c r="E1179" s="1"/>
      <c r="G1179" s="3"/>
      <c r="H1179" s="2"/>
      <c r="I1179" s="3"/>
      <c r="J1179" s="17"/>
      <c r="K1179" s="17"/>
      <c r="L1179" s="18"/>
      <c r="M1179" s="3"/>
      <c r="O1179"/>
      <c r="P1179" s="3"/>
      <c r="Q1179" s="4"/>
      <c r="R1179" s="19"/>
      <c r="S1179" s="20"/>
      <c r="T1179" s="3"/>
      <c r="U1179" s="3" t="str">
        <f t="shared" si="40"/>
        <v/>
      </c>
      <c r="V1179" s="4" t="str">
        <f t="shared" si="41"/>
        <v/>
      </c>
      <c r="W1179" s="21" t="e" cm="1">
        <f t="array" ref="W1179">_xlfn.IFS(
  A1179="BELL", "WHITE",
  A1179="GAMP", "ORANGE",
  A1179="GAMM", "GREEN",
  A1179="BWF", "YELLOW",
  OR(A1179="TNBE", A1179="TNBL", A1179="TNBD", A1179="TNWC", A1179="TNBW", A1179="THBS"), "PINK",
  A1179="CRWD", "BLUE",
  A1179="PASS", "WHITE"
)</f>
        <v>#N/A</v>
      </c>
    </row>
    <row r="1180" spans="1:23" x14ac:dyDescent="0.25">
      <c r="A1180" s="7"/>
      <c r="B1180" s="7"/>
      <c r="D1180" s="27"/>
      <c r="E1180" s="1"/>
      <c r="G1180" s="3"/>
      <c r="H1180" s="2"/>
      <c r="I1180" s="3"/>
      <c r="J1180" s="17"/>
      <c r="K1180" s="17"/>
      <c r="L1180" s="18"/>
      <c r="M1180" s="3"/>
      <c r="O1180"/>
      <c r="P1180" s="3"/>
      <c r="Q1180" s="4"/>
      <c r="R1180" s="19"/>
      <c r="S1180" s="20"/>
      <c r="T1180" s="3"/>
      <c r="U1180" s="3" t="str">
        <f t="shared" si="40"/>
        <v/>
      </c>
      <c r="V1180" s="4" t="str">
        <f t="shared" si="41"/>
        <v/>
      </c>
      <c r="W1180" s="21" t="e" cm="1">
        <f t="array" ref="W1180">_xlfn.IFS(
  A1180="BELL", "WHITE",
  A1180="GAMP", "ORANGE",
  A1180="GAMM", "GREEN",
  A1180="BWF", "YELLOW",
  OR(A1180="TNBE", A1180="TNBL", A1180="TNBD", A1180="TNWC", A1180="TNBW", A1180="THBS"), "PINK",
  A1180="CRWD", "BLUE",
  A1180="PASS", "WHITE"
)</f>
        <v>#N/A</v>
      </c>
    </row>
    <row r="1181" spans="1:23" x14ac:dyDescent="0.25">
      <c r="A1181" s="7"/>
      <c r="B1181" s="7"/>
      <c r="C1181" s="41"/>
      <c r="D1181" s="27"/>
      <c r="E1181" s="1"/>
      <c r="G1181" s="3"/>
      <c r="H1181" s="2"/>
      <c r="I1181" s="3"/>
      <c r="J1181" s="17"/>
      <c r="K1181" s="17"/>
      <c r="L1181" s="18"/>
      <c r="M1181" s="18"/>
      <c r="O1181"/>
      <c r="P1181" s="3"/>
      <c r="Q1181" s="4"/>
      <c r="R1181" s="19"/>
      <c r="S1181" s="20"/>
      <c r="T1181" s="3"/>
      <c r="U1181" s="3" t="str">
        <f t="shared" si="40"/>
        <v/>
      </c>
      <c r="V1181" s="4" t="str">
        <f t="shared" si="41"/>
        <v/>
      </c>
      <c r="W1181" s="21" t="e" cm="1">
        <f t="array" ref="W1181">_xlfn.IFS(
  A1181="BELL", "WHITE",
  A1181="GAMP", "ORANGE",
  A1181="GAMM", "GREEN",
  A1181="BWF", "YELLOW",
  OR(A1181="TNBE", A1181="TNBL", A1181="TNBD", A1181="TNWC", A1181="TNBW", A1181="THBS"), "PINK",
  A1181="CRWD", "BLUE",
  A1181="PASS", "WHITE"
)</f>
        <v>#N/A</v>
      </c>
    </row>
    <row r="1182" spans="1:23" x14ac:dyDescent="0.25">
      <c r="A1182" s="7"/>
      <c r="B1182" s="7"/>
      <c r="D1182" s="27"/>
      <c r="E1182" s="1"/>
      <c r="G1182" s="3"/>
      <c r="H1182" s="2"/>
      <c r="I1182" s="3"/>
      <c r="J1182" s="17"/>
      <c r="K1182" s="17"/>
      <c r="L1182" s="18"/>
      <c r="M1182" s="3"/>
      <c r="O1182"/>
      <c r="P1182" s="3"/>
      <c r="Q1182" s="4"/>
      <c r="R1182" s="19"/>
      <c r="S1182" s="20"/>
      <c r="T1182" s="3"/>
      <c r="U1182" s="3" t="str">
        <f t="shared" si="40"/>
        <v/>
      </c>
      <c r="V1182" s="4" t="str">
        <f t="shared" si="41"/>
        <v/>
      </c>
      <c r="W1182" s="21" t="e" cm="1">
        <f t="array" ref="W1182">_xlfn.IFS(
  A1182="BELL", "WHITE",
  A1182="GAMP", "ORANGE",
  A1182="GAMM", "GREEN",
  A1182="BWF", "YELLOW",
  OR(A1182="TNBE", A1182="TNBL", A1182="TNBD", A1182="TNWC", A1182="TNBW", A1182="THBS"), "PINK",
  A1182="CRWD", "BLUE",
  A1182="PASS", "WHITE"
)</f>
        <v>#N/A</v>
      </c>
    </row>
    <row r="1183" spans="1:23" x14ac:dyDescent="0.25">
      <c r="A1183" s="7"/>
      <c r="B1183" s="7"/>
      <c r="C1183" s="41"/>
      <c r="D1183" s="27"/>
      <c r="E1183" s="1"/>
      <c r="G1183" s="3"/>
      <c r="H1183" s="2"/>
      <c r="I1183" s="3"/>
      <c r="J1183" s="17"/>
      <c r="K1183" s="17"/>
      <c r="L1183" s="18"/>
      <c r="M1183" s="18"/>
      <c r="O1183"/>
      <c r="P1183" s="3"/>
      <c r="Q1183" s="4"/>
      <c r="R1183" s="19"/>
      <c r="S1183" s="20"/>
      <c r="T1183" s="3"/>
      <c r="U1183" s="3" t="str">
        <f t="shared" si="40"/>
        <v/>
      </c>
      <c r="V1183" s="4" t="str">
        <f t="shared" si="41"/>
        <v/>
      </c>
      <c r="W1183" s="21" t="e" cm="1">
        <f t="array" ref="W1183">_xlfn.IFS(
  A1183="BELL", "WHITE",
  A1183="GAMP", "ORANGE",
  A1183="GAMM", "GREEN",
  A1183="BWF", "YELLOW",
  OR(A1183="TNBE", A1183="TNBL", A1183="TNBD", A1183="TNWC", A1183="TNBW", A1183="THBS"), "PINK",
  A1183="CRWD", "BLUE",
  A1183="PASS", "WHITE"
)</f>
        <v>#N/A</v>
      </c>
    </row>
    <row r="1184" spans="1:23" x14ac:dyDescent="0.25">
      <c r="A1184" s="7"/>
      <c r="B1184" s="7"/>
      <c r="D1184" s="27"/>
      <c r="E1184" s="1"/>
      <c r="G1184" s="3"/>
      <c r="H1184" s="2"/>
      <c r="I1184" s="3"/>
      <c r="J1184" s="17"/>
      <c r="K1184" s="17"/>
      <c r="L1184" s="18"/>
      <c r="M1184" s="18"/>
      <c r="O1184"/>
      <c r="P1184" s="3"/>
      <c r="Q1184" s="4"/>
      <c r="R1184" s="19"/>
      <c r="S1184" s="20"/>
      <c r="T1184" s="3"/>
      <c r="U1184" s="3" t="str">
        <f t="shared" si="40"/>
        <v/>
      </c>
      <c r="V1184" s="4" t="str">
        <f t="shared" si="41"/>
        <v/>
      </c>
      <c r="W1184" s="21" t="e" cm="1">
        <f t="array" ref="W1184">_xlfn.IFS(
  A1184="BELL", "WHITE",
  A1184="GAMP", "ORANGE",
  A1184="GAMM", "GREEN",
  A1184="BWF", "YELLOW",
  OR(A1184="TNBE", A1184="TNBL", A1184="TNBD", A1184="TNWC", A1184="TNBW", A1184="THBS"), "PINK",
  A1184="CRWD", "BLUE",
  A1184="PASS", "WHITE"
)</f>
        <v>#N/A</v>
      </c>
    </row>
    <row r="1185" spans="1:23" x14ac:dyDescent="0.25">
      <c r="A1185" s="7"/>
      <c r="B1185" s="7"/>
      <c r="C1185" s="41"/>
      <c r="D1185" s="27"/>
      <c r="E1185" s="1"/>
      <c r="G1185" s="3"/>
      <c r="H1185" s="2"/>
      <c r="I1185" s="3"/>
      <c r="J1185" s="17"/>
      <c r="K1185" s="17"/>
      <c r="L1185" s="18"/>
      <c r="M1185" s="3"/>
      <c r="O1185"/>
      <c r="P1185" s="3"/>
      <c r="Q1185" s="4"/>
      <c r="R1185" s="19"/>
      <c r="S1185" s="20"/>
      <c r="T1185" s="3"/>
      <c r="U1185" s="3" t="str">
        <f t="shared" si="40"/>
        <v/>
      </c>
      <c r="V1185" s="4" t="str">
        <f t="shared" si="41"/>
        <v/>
      </c>
      <c r="W1185" s="21" t="e" cm="1">
        <f t="array" ref="W1185">_xlfn.IFS(
  A1185="BELL", "WHITE",
  A1185="GAMP", "ORANGE",
  A1185="GAMM", "GREEN",
  A1185="BWF", "YELLOW",
  OR(A1185="TNBE", A1185="TNBL", A1185="TNBD", A1185="TNWC", A1185="TNBW", A1185="THBS"), "PINK",
  A1185="CRWD", "BLUE",
  A1185="PASS", "WHITE"
)</f>
        <v>#N/A</v>
      </c>
    </row>
    <row r="1186" spans="1:23" x14ac:dyDescent="0.25">
      <c r="A1186" s="7"/>
      <c r="B1186" s="7"/>
      <c r="D1186" s="27"/>
      <c r="E1186" s="1"/>
      <c r="G1186" s="3"/>
      <c r="H1186" s="2"/>
      <c r="I1186" s="3"/>
      <c r="J1186" s="17"/>
      <c r="K1186" s="17"/>
      <c r="L1186" s="18"/>
      <c r="M1186" s="18"/>
      <c r="O1186"/>
      <c r="P1186" s="3"/>
      <c r="Q1186" s="4"/>
      <c r="R1186" s="19"/>
      <c r="S1186" s="20"/>
      <c r="T1186" s="3"/>
      <c r="U1186" s="3" t="str">
        <f t="shared" si="40"/>
        <v/>
      </c>
      <c r="V1186" s="4" t="str">
        <f t="shared" si="41"/>
        <v/>
      </c>
      <c r="W1186" s="21" t="e" cm="1">
        <f t="array" ref="W1186">_xlfn.IFS(
  A1186="BELL", "WHITE",
  A1186="GAMP", "ORANGE",
  A1186="GAMM", "GREEN",
  A1186="BWF", "YELLOW",
  OR(A1186="TNBE", A1186="TNBL", A1186="TNBD", A1186="TNWC", A1186="TNBW", A1186="THBS"), "PINK",
  A1186="CRWD", "BLUE",
  A1186="PASS", "WHITE"
)</f>
        <v>#N/A</v>
      </c>
    </row>
    <row r="1187" spans="1:23" x14ac:dyDescent="0.25">
      <c r="A1187" s="7"/>
      <c r="B1187" s="7"/>
      <c r="C1187" s="41"/>
      <c r="D1187" s="27"/>
      <c r="E1187" s="1"/>
      <c r="G1187" s="3"/>
      <c r="H1187" s="2"/>
      <c r="I1187" s="3"/>
      <c r="J1187" s="17"/>
      <c r="K1187" s="17"/>
      <c r="L1187" s="18"/>
      <c r="M1187" s="18"/>
      <c r="O1187"/>
      <c r="P1187" s="3"/>
      <c r="Q1187" s="4"/>
      <c r="R1187" s="19"/>
      <c r="S1187" s="20"/>
      <c r="T1187" s="3"/>
      <c r="U1187" s="3" t="str">
        <f t="shared" si="40"/>
        <v/>
      </c>
      <c r="V1187" s="4" t="str">
        <f t="shared" si="41"/>
        <v/>
      </c>
      <c r="W1187" s="21" t="e" cm="1">
        <f t="array" ref="W1187">_xlfn.IFS(
  A1187="BELL", "WHITE",
  A1187="GAMP", "ORANGE",
  A1187="GAMM", "GREEN",
  A1187="BWF", "YELLOW",
  OR(A1187="TNBE", A1187="TNBL", A1187="TNBD", A1187="TNWC", A1187="TNBW", A1187="THBS"), "PINK",
  A1187="CRWD", "BLUE",
  A1187="PASS", "WHITE"
)</f>
        <v>#N/A</v>
      </c>
    </row>
    <row r="1188" spans="1:23" x14ac:dyDescent="0.25">
      <c r="A1188" s="7"/>
      <c r="B1188" s="7"/>
      <c r="D1188" s="27"/>
      <c r="E1188" s="1"/>
      <c r="G1188" s="3"/>
      <c r="H1188" s="2"/>
      <c r="I1188" s="3"/>
      <c r="J1188" s="17"/>
      <c r="K1188" s="17"/>
      <c r="L1188" s="18"/>
      <c r="M1188" s="3"/>
      <c r="O1188"/>
      <c r="P1188" s="3"/>
      <c r="Q1188" s="4"/>
      <c r="R1188" s="19"/>
      <c r="S1188" s="20"/>
      <c r="T1188" s="3"/>
      <c r="U1188" s="3" t="str">
        <f t="shared" si="40"/>
        <v/>
      </c>
      <c r="V1188" s="4" t="str">
        <f t="shared" si="41"/>
        <v/>
      </c>
      <c r="W1188" s="21" t="e" cm="1">
        <f t="array" ref="W1188">_xlfn.IFS(
  A1188="BELL", "WHITE",
  A1188="GAMP", "ORANGE",
  A1188="GAMM", "GREEN",
  A1188="BWF", "YELLOW",
  OR(A1188="TNBE", A1188="TNBL", A1188="TNBD", A1188="TNWC", A1188="TNBW", A1188="THBS"), "PINK",
  A1188="CRWD", "BLUE",
  A1188="PASS", "WHITE"
)</f>
        <v>#N/A</v>
      </c>
    </row>
    <row r="1189" spans="1:23" x14ac:dyDescent="0.25">
      <c r="A1189" s="7"/>
      <c r="B1189" s="7"/>
      <c r="C1189" s="41"/>
      <c r="D1189" s="27"/>
      <c r="E1189" s="1"/>
      <c r="G1189" s="3"/>
      <c r="H1189" s="2"/>
      <c r="I1189" s="3"/>
      <c r="J1189" s="17"/>
      <c r="K1189" s="17"/>
      <c r="L1189" s="18"/>
      <c r="M1189" s="18"/>
      <c r="O1189"/>
      <c r="P1189" s="3"/>
      <c r="Q1189" s="4"/>
      <c r="R1189" s="19"/>
      <c r="S1189" s="20"/>
      <c r="T1189" s="3"/>
      <c r="U1189" s="3" t="str">
        <f t="shared" si="40"/>
        <v/>
      </c>
      <c r="V1189" s="4" t="str">
        <f t="shared" si="41"/>
        <v/>
      </c>
      <c r="W1189" s="21" t="e" cm="1">
        <f t="array" ref="W1189">_xlfn.IFS(
  A1189="BELL", "WHITE",
  A1189="GAMP", "ORANGE",
  A1189="GAMM", "GREEN",
  A1189="BWF", "YELLOW",
  OR(A1189="TNBE", A1189="TNBL", A1189="TNBD", A1189="TNWC", A1189="TNBW", A1189="THBS"), "PINK",
  A1189="CRWD", "BLUE",
  A1189="PASS", "WHITE"
)</f>
        <v>#N/A</v>
      </c>
    </row>
    <row r="1190" spans="1:23" x14ac:dyDescent="0.25">
      <c r="A1190" s="7"/>
      <c r="B1190" s="7"/>
      <c r="D1190" s="27"/>
      <c r="E1190" s="1"/>
      <c r="G1190" s="3"/>
      <c r="H1190" s="2"/>
      <c r="I1190" s="3"/>
      <c r="J1190" s="17"/>
      <c r="K1190" s="17"/>
      <c r="L1190" s="18"/>
      <c r="M1190" s="18"/>
      <c r="O1190"/>
      <c r="P1190" s="3"/>
      <c r="Q1190" s="4"/>
      <c r="R1190" s="19"/>
      <c r="S1190" s="20"/>
      <c r="T1190" s="3"/>
      <c r="U1190" s="3" t="str">
        <f t="shared" si="40"/>
        <v/>
      </c>
      <c r="V1190" s="4" t="str">
        <f t="shared" si="41"/>
        <v/>
      </c>
      <c r="W1190" s="21" t="e" cm="1">
        <f t="array" ref="W1190">_xlfn.IFS(
  A1190="BELL", "WHITE",
  A1190="GAMP", "ORANGE",
  A1190="GAMM", "GREEN",
  A1190="BWF", "YELLOW",
  OR(A1190="TNBE", A1190="TNBL", A1190="TNBD", A1190="TNWC", A1190="TNBW", A1190="THBS"), "PINK",
  A1190="CRWD", "BLUE",
  A1190="PASS", "WHITE"
)</f>
        <v>#N/A</v>
      </c>
    </row>
    <row r="1191" spans="1:23" x14ac:dyDescent="0.25">
      <c r="A1191" s="7"/>
      <c r="B1191" s="7"/>
      <c r="C1191" s="41"/>
      <c r="D1191" s="27"/>
      <c r="E1191" s="1"/>
      <c r="G1191" s="3"/>
      <c r="H1191" s="2"/>
      <c r="I1191" s="3"/>
      <c r="J1191" s="17"/>
      <c r="K1191" s="17"/>
      <c r="L1191" s="18"/>
      <c r="M1191" s="3"/>
      <c r="O1191"/>
      <c r="P1191" s="3"/>
      <c r="Q1191" s="4"/>
      <c r="R1191" s="19"/>
      <c r="S1191" s="20"/>
      <c r="T1191" s="3"/>
      <c r="U1191" s="3" t="str">
        <f t="shared" si="40"/>
        <v/>
      </c>
      <c r="V1191" s="4" t="str">
        <f t="shared" si="41"/>
        <v/>
      </c>
      <c r="W1191" s="21" t="e" cm="1">
        <f t="array" ref="W1191">_xlfn.IFS(
  A1191="BELL", "WHITE",
  A1191="GAMP", "ORANGE",
  A1191="GAMM", "GREEN",
  A1191="BWF", "YELLOW",
  OR(A1191="TNBE", A1191="TNBL", A1191="TNBD", A1191="TNWC", A1191="TNBW", A1191="THBS"), "PINK",
  A1191="CRWD", "BLUE",
  A1191="PASS", "WHITE"
)</f>
        <v>#N/A</v>
      </c>
    </row>
    <row r="1192" spans="1:23" x14ac:dyDescent="0.25">
      <c r="A1192" s="7"/>
      <c r="B1192" s="7"/>
      <c r="D1192" s="27"/>
      <c r="E1192" s="1"/>
      <c r="G1192" s="3"/>
      <c r="H1192" s="2"/>
      <c r="I1192" s="3"/>
      <c r="J1192" s="17"/>
      <c r="K1192" s="17"/>
      <c r="L1192" s="18"/>
      <c r="M1192" s="18"/>
      <c r="O1192"/>
      <c r="P1192" s="3"/>
      <c r="Q1192" s="4"/>
      <c r="R1192" s="19"/>
      <c r="S1192" s="20"/>
      <c r="T1192" s="3"/>
      <c r="U1192" s="3" t="str">
        <f t="shared" si="40"/>
        <v/>
      </c>
      <c r="V1192" s="4" t="str">
        <f t="shared" si="41"/>
        <v/>
      </c>
      <c r="W1192" s="21" t="e" cm="1">
        <f t="array" ref="W1192">_xlfn.IFS(
  A1192="BELL", "WHITE",
  A1192="GAMP", "ORANGE",
  A1192="GAMM", "GREEN",
  A1192="BWF", "YELLOW",
  OR(A1192="TNBE", A1192="TNBL", A1192="TNBD", A1192="TNWC", A1192="TNBW", A1192="THBS"), "PINK",
  A1192="CRWD", "BLUE",
  A1192="PASS", "WHITE"
)</f>
        <v>#N/A</v>
      </c>
    </row>
    <row r="1193" spans="1:23" x14ac:dyDescent="0.25">
      <c r="A1193" s="7"/>
      <c r="B1193" s="7"/>
      <c r="C1193" s="41"/>
      <c r="D1193" s="27"/>
      <c r="E1193" s="1"/>
      <c r="G1193" s="3"/>
      <c r="H1193" s="2"/>
      <c r="I1193" s="3"/>
      <c r="J1193" s="17"/>
      <c r="K1193" s="17"/>
      <c r="L1193" s="18"/>
      <c r="M1193" s="18"/>
      <c r="O1193"/>
      <c r="P1193" s="3"/>
      <c r="Q1193" s="4"/>
      <c r="R1193" s="19"/>
      <c r="S1193" s="20"/>
      <c r="T1193" s="3"/>
      <c r="U1193" s="3" t="str">
        <f t="shared" si="40"/>
        <v/>
      </c>
      <c r="V1193" s="4" t="str">
        <f t="shared" si="41"/>
        <v/>
      </c>
      <c r="W1193" s="21" t="e" cm="1">
        <f t="array" ref="W1193">_xlfn.IFS(
  A1193="BELL", "WHITE",
  A1193="GAMP", "ORANGE",
  A1193="GAMM", "GREEN",
  A1193="BWF", "YELLOW",
  OR(A1193="TNBE", A1193="TNBL", A1193="TNBD", A1193="TNWC", A1193="TNBW", A1193="THBS"), "PINK",
  A1193="CRWD", "BLUE",
  A1193="PASS", "WHITE"
)</f>
        <v>#N/A</v>
      </c>
    </row>
    <row r="1194" spans="1:23" x14ac:dyDescent="0.25">
      <c r="A1194" s="7"/>
      <c r="B1194" s="7"/>
      <c r="D1194" s="27"/>
      <c r="E1194" s="1"/>
      <c r="G1194" s="3"/>
      <c r="H1194" s="2"/>
      <c r="I1194" s="3"/>
      <c r="J1194" s="17"/>
      <c r="K1194" s="17"/>
      <c r="L1194" s="18"/>
      <c r="M1194" s="3"/>
      <c r="O1194"/>
      <c r="P1194" s="3"/>
      <c r="Q1194" s="4"/>
      <c r="R1194" s="19"/>
      <c r="S1194" s="20"/>
      <c r="T1194" s="3"/>
      <c r="U1194" s="3" t="str">
        <f t="shared" si="40"/>
        <v/>
      </c>
      <c r="V1194" s="4" t="str">
        <f t="shared" si="41"/>
        <v/>
      </c>
      <c r="W1194" s="21" t="e" cm="1">
        <f t="array" ref="W1194">_xlfn.IFS(
  A1194="BELL", "WHITE",
  A1194="GAMP", "ORANGE",
  A1194="GAMM", "GREEN",
  A1194="BWF", "YELLOW",
  OR(A1194="TNBE", A1194="TNBL", A1194="TNBD", A1194="TNWC", A1194="TNBW", A1194="THBS"), "PINK",
  A1194="CRWD", "BLUE",
  A1194="PASS", "WHITE"
)</f>
        <v>#N/A</v>
      </c>
    </row>
    <row r="1195" spans="1:23" x14ac:dyDescent="0.25">
      <c r="A1195" s="7"/>
      <c r="B1195" s="7"/>
      <c r="C1195" s="41"/>
      <c r="D1195" s="27"/>
      <c r="E1195" s="1"/>
      <c r="G1195" s="3"/>
      <c r="H1195" s="2"/>
      <c r="I1195" s="3"/>
      <c r="J1195" s="17"/>
      <c r="K1195" s="17"/>
      <c r="L1195" s="18"/>
      <c r="M1195" s="18"/>
      <c r="O1195"/>
      <c r="P1195" s="3"/>
      <c r="Q1195" s="4"/>
      <c r="R1195" s="19"/>
      <c r="S1195" s="20"/>
      <c r="T1195" s="3"/>
      <c r="U1195" s="3" t="str">
        <f t="shared" si="40"/>
        <v/>
      </c>
      <c r="V1195" s="4" t="str">
        <f t="shared" si="41"/>
        <v/>
      </c>
      <c r="W1195" s="21" t="e" cm="1">
        <f t="array" ref="W1195">_xlfn.IFS(
  A1195="BELL", "WHITE",
  A1195="GAMP", "ORANGE",
  A1195="GAMM", "GREEN",
  A1195="BWF", "YELLOW",
  OR(A1195="TNBE", A1195="TNBL", A1195="TNBD", A1195="TNWC", A1195="TNBW", A1195="THBS"), "PINK",
  A1195="CRWD", "BLUE",
  A1195="PASS", "WHITE"
)</f>
        <v>#N/A</v>
      </c>
    </row>
    <row r="1196" spans="1:23" x14ac:dyDescent="0.25">
      <c r="A1196" s="7"/>
      <c r="B1196" s="7"/>
      <c r="D1196" s="27"/>
      <c r="E1196" s="1"/>
      <c r="G1196" s="3"/>
      <c r="H1196" s="2"/>
      <c r="I1196" s="3"/>
      <c r="J1196" s="17"/>
      <c r="K1196" s="17"/>
      <c r="L1196" s="18"/>
      <c r="M1196" s="18"/>
      <c r="O1196"/>
      <c r="P1196" s="3"/>
      <c r="Q1196" s="4"/>
      <c r="R1196" s="19"/>
      <c r="S1196" s="20"/>
      <c r="T1196" s="3"/>
      <c r="U1196" s="3" t="str">
        <f t="shared" si="40"/>
        <v/>
      </c>
      <c r="V1196" s="4" t="str">
        <f t="shared" si="41"/>
        <v/>
      </c>
      <c r="W1196" s="21" t="e" cm="1">
        <f t="array" ref="W1196">_xlfn.IFS(
  A1196="BELL", "WHITE",
  A1196="GAMP", "ORANGE",
  A1196="GAMM", "GREEN",
  A1196="BWF", "YELLOW",
  OR(A1196="TNBE", A1196="TNBL", A1196="TNBD", A1196="TNWC", A1196="TNBW", A1196="THBS"), "PINK",
  A1196="CRWD", "BLUE",
  A1196="PASS", "WHITE"
)</f>
        <v>#N/A</v>
      </c>
    </row>
    <row r="1197" spans="1:23" x14ac:dyDescent="0.25">
      <c r="A1197" s="7"/>
      <c r="B1197" s="7"/>
      <c r="C1197" s="41"/>
      <c r="D1197" s="27"/>
      <c r="E1197" s="1"/>
      <c r="G1197" s="3"/>
      <c r="H1197" s="2"/>
      <c r="I1197" s="3"/>
      <c r="J1197" s="17"/>
      <c r="K1197" s="17"/>
      <c r="L1197" s="18"/>
      <c r="M1197" s="3"/>
      <c r="O1197"/>
      <c r="P1197" s="3"/>
      <c r="Q1197" s="4"/>
      <c r="R1197" s="19"/>
      <c r="S1197" s="20"/>
      <c r="T1197" s="3"/>
      <c r="U1197" s="3" t="str">
        <f t="shared" si="40"/>
        <v/>
      </c>
      <c r="V1197" s="4" t="str">
        <f t="shared" si="41"/>
        <v/>
      </c>
      <c r="W1197" s="21" t="e" cm="1">
        <f t="array" ref="W1197">_xlfn.IFS(
  A1197="BELL", "WHITE",
  A1197="GAMP", "ORANGE",
  A1197="GAMM", "GREEN",
  A1197="BWF", "YELLOW",
  OR(A1197="TNBE", A1197="TNBL", A1197="TNBD", A1197="TNWC", A1197="TNBW", A1197="THBS"), "PINK",
  A1197="CRWD", "BLUE",
  A1197="PASS", "WHITE"
)</f>
        <v>#N/A</v>
      </c>
    </row>
    <row r="1198" spans="1:23" x14ac:dyDescent="0.25">
      <c r="A1198" s="7"/>
      <c r="B1198" s="7"/>
      <c r="D1198" s="27"/>
      <c r="E1198" s="1"/>
      <c r="G1198" s="3"/>
      <c r="H1198" s="2"/>
      <c r="I1198" s="3"/>
      <c r="J1198" s="17"/>
      <c r="K1198" s="17"/>
      <c r="L1198" s="18"/>
      <c r="M1198" s="18"/>
      <c r="O1198"/>
      <c r="P1198" s="3"/>
      <c r="Q1198" s="4"/>
      <c r="R1198" s="19"/>
      <c r="S1198" s="20"/>
      <c r="T1198" s="3"/>
      <c r="U1198" s="3" t="str">
        <f t="shared" si="40"/>
        <v/>
      </c>
      <c r="V1198" s="4" t="str">
        <f t="shared" si="41"/>
        <v/>
      </c>
      <c r="W1198" s="21" t="e" cm="1">
        <f t="array" ref="W1198">_xlfn.IFS(
  A1198="BELL", "WHITE",
  A1198="GAMP", "ORANGE",
  A1198="GAMM", "GREEN",
  A1198="BWF", "YELLOW",
  OR(A1198="TNBE", A1198="TNBL", A1198="TNBD", A1198="TNWC", A1198="TNBW", A1198="THBS"), "PINK",
  A1198="CRWD", "BLUE",
  A1198="PASS", "WHITE"
)</f>
        <v>#N/A</v>
      </c>
    </row>
    <row r="1199" spans="1:23" x14ac:dyDescent="0.25">
      <c r="A1199" s="7"/>
      <c r="B1199" s="7"/>
      <c r="C1199" s="41"/>
      <c r="D1199" s="27"/>
      <c r="E1199" s="1"/>
      <c r="G1199" s="3"/>
      <c r="H1199" s="2"/>
      <c r="I1199" s="3"/>
      <c r="J1199" s="17"/>
      <c r="K1199" s="17"/>
      <c r="L1199" s="18"/>
      <c r="M1199" s="18"/>
      <c r="O1199"/>
      <c r="P1199" s="3"/>
      <c r="Q1199" s="4"/>
      <c r="R1199" s="19"/>
      <c r="S1199" s="20"/>
      <c r="T1199" s="3"/>
      <c r="U1199" s="3" t="str">
        <f t="shared" si="40"/>
        <v/>
      </c>
      <c r="V1199" s="4" t="str">
        <f t="shared" si="41"/>
        <v/>
      </c>
      <c r="W1199" s="21" t="e" cm="1">
        <f t="array" ref="W1199">_xlfn.IFS(
  A1199="BELL", "WHITE",
  A1199="GAMP", "ORANGE",
  A1199="GAMM", "GREEN",
  A1199="BWF", "YELLOW",
  OR(A1199="TNBE", A1199="TNBL", A1199="TNBD", A1199="TNWC", A1199="TNBW", A1199="THBS"), "PINK",
  A1199="CRWD", "BLUE",
  A1199="PASS", "WHITE"
)</f>
        <v>#N/A</v>
      </c>
    </row>
    <row r="1200" spans="1:23" x14ac:dyDescent="0.25">
      <c r="A1200" s="7"/>
      <c r="B1200" s="7"/>
      <c r="D1200" s="27"/>
      <c r="E1200" s="1"/>
      <c r="G1200" s="3"/>
      <c r="H1200" s="2"/>
      <c r="I1200" s="3"/>
      <c r="J1200" s="17"/>
      <c r="K1200" s="17"/>
      <c r="L1200" s="18"/>
      <c r="M1200" s="3"/>
      <c r="O1200"/>
      <c r="P1200" s="3"/>
      <c r="Q1200" s="4"/>
      <c r="R1200" s="19"/>
      <c r="S1200" s="20"/>
      <c r="T1200" s="3"/>
      <c r="U1200" s="3" t="str">
        <f t="shared" si="40"/>
        <v/>
      </c>
      <c r="V1200" s="4" t="str">
        <f t="shared" si="41"/>
        <v/>
      </c>
      <c r="W1200" s="21" t="e" cm="1">
        <f t="array" ref="W1200">_xlfn.IFS(
  A1200="BELL", "WHITE",
  A1200="GAMP", "ORANGE",
  A1200="GAMM", "GREEN",
  A1200="BWF", "YELLOW",
  OR(A1200="TNBE", A1200="TNBL", A1200="TNBD", A1200="TNWC", A1200="TNBW", A1200="THBS"), "PINK",
  A1200="CRWD", "BLUE",
  A1200="PASS", "WHITE"
)</f>
        <v>#N/A</v>
      </c>
    </row>
    <row r="1201" spans="1:23" x14ac:dyDescent="0.25">
      <c r="A1201" s="7"/>
      <c r="B1201" s="7"/>
      <c r="C1201" s="41"/>
      <c r="D1201" s="27"/>
      <c r="E1201" s="1"/>
      <c r="G1201" s="3"/>
      <c r="H1201" s="2"/>
      <c r="I1201" s="3"/>
      <c r="J1201" s="17"/>
      <c r="K1201" s="17"/>
      <c r="L1201" s="18"/>
      <c r="M1201" s="3"/>
      <c r="O1201"/>
      <c r="P1201" s="3"/>
      <c r="Q1201" s="4"/>
      <c r="R1201" s="19"/>
      <c r="S1201" s="20"/>
      <c r="T1201" s="3"/>
      <c r="U1201" s="3" t="str">
        <f t="shared" si="40"/>
        <v/>
      </c>
      <c r="V1201" s="4" t="str">
        <f t="shared" si="41"/>
        <v/>
      </c>
      <c r="W1201" s="21" t="e" cm="1">
        <f t="array" ref="W1201">_xlfn.IFS(
  A1201="BELL", "WHITE",
  A1201="GAMP", "ORANGE",
  A1201="GAMM", "GREEN",
  A1201="BWF", "YELLOW",
  OR(A1201="TNBE", A1201="TNBL", A1201="TNBD", A1201="TNWC", A1201="TNBW", A1201="THBS"), "PINK",
  A1201="CRWD", "BLUE",
  A1201="PASS", "WHITE"
)</f>
        <v>#N/A</v>
      </c>
    </row>
    <row r="1202" spans="1:23" x14ac:dyDescent="0.25">
      <c r="A1202" s="7"/>
      <c r="B1202" s="7"/>
      <c r="D1202" s="27"/>
      <c r="E1202" s="1"/>
      <c r="G1202" s="3"/>
      <c r="H1202" s="2"/>
      <c r="I1202" s="3"/>
      <c r="J1202" s="17"/>
      <c r="K1202" s="17"/>
      <c r="L1202" s="18"/>
      <c r="M1202" s="18"/>
      <c r="O1202"/>
      <c r="P1202" s="3"/>
      <c r="Q1202" s="4"/>
      <c r="R1202" s="19"/>
      <c r="S1202" s="20"/>
      <c r="T1202" s="3"/>
      <c r="U1202" s="3" t="str">
        <f t="shared" si="40"/>
        <v/>
      </c>
      <c r="V1202" s="4" t="str">
        <f t="shared" si="41"/>
        <v/>
      </c>
      <c r="W1202" s="21" t="e" cm="1">
        <f t="array" ref="W1202">_xlfn.IFS(
  A1202="BELL", "WHITE",
  A1202="GAMP", "ORANGE",
  A1202="GAMM", "GREEN",
  A1202="BWF", "YELLOW",
  OR(A1202="TNBE", A1202="TNBL", A1202="TNBD", A1202="TNWC", A1202="TNBW", A1202="THBS"), "PINK",
  A1202="CRWD", "BLUE",
  A1202="PASS", "WHITE"
)</f>
        <v>#N/A</v>
      </c>
    </row>
    <row r="1203" spans="1:23" x14ac:dyDescent="0.25">
      <c r="A1203" s="7"/>
      <c r="B1203" s="7"/>
      <c r="C1203" s="41"/>
      <c r="D1203" s="27"/>
      <c r="E1203" s="1"/>
      <c r="G1203" s="3"/>
      <c r="H1203" s="2"/>
      <c r="I1203" s="3"/>
      <c r="J1203" s="17"/>
      <c r="K1203" s="17"/>
      <c r="L1203" s="18"/>
      <c r="M1203" s="18"/>
      <c r="O1203"/>
      <c r="P1203" s="3"/>
      <c r="Q1203" s="4"/>
      <c r="R1203" s="19"/>
      <c r="S1203" s="20"/>
      <c r="T1203" s="3"/>
      <c r="U1203" s="3" t="str">
        <f t="shared" si="40"/>
        <v/>
      </c>
      <c r="V1203" s="4" t="str">
        <f t="shared" si="41"/>
        <v/>
      </c>
      <c r="W1203" s="21" t="e" cm="1">
        <f t="array" ref="W1203">_xlfn.IFS(
  A1203="BELL", "WHITE",
  A1203="GAMP", "ORANGE",
  A1203="GAMM", "GREEN",
  A1203="BWF", "YELLOW",
  OR(A1203="TNBE", A1203="TNBL", A1203="TNBD", A1203="TNWC", A1203="TNBW", A1203="THBS"), "PINK",
  A1203="CRWD", "BLUE",
  A1203="PASS", "WHITE"
)</f>
        <v>#N/A</v>
      </c>
    </row>
    <row r="1204" spans="1:23" x14ac:dyDescent="0.25">
      <c r="A1204" s="7"/>
      <c r="B1204" s="7"/>
      <c r="D1204" s="27"/>
      <c r="E1204" s="1"/>
      <c r="G1204" s="3"/>
      <c r="H1204" s="2"/>
      <c r="I1204" s="3"/>
      <c r="J1204" s="17"/>
      <c r="K1204" s="17"/>
      <c r="L1204" s="18"/>
      <c r="M1204" s="3"/>
      <c r="O1204"/>
      <c r="P1204" s="3"/>
      <c r="Q1204" s="4"/>
      <c r="R1204" s="19"/>
      <c r="S1204" s="20"/>
      <c r="T1204" s="3"/>
      <c r="U1204" s="3" t="str">
        <f t="shared" si="40"/>
        <v/>
      </c>
      <c r="V1204" s="4" t="str">
        <f t="shared" si="41"/>
        <v/>
      </c>
      <c r="W1204" s="21" t="e" cm="1">
        <f t="array" ref="W1204">_xlfn.IFS(
  A1204="BELL", "WHITE",
  A1204="GAMP", "ORANGE",
  A1204="GAMM", "GREEN",
  A1204="BWF", "YELLOW",
  OR(A1204="TNBE", A1204="TNBL", A1204="TNBD", A1204="TNWC", A1204="TNBW", A1204="THBS"), "PINK",
  A1204="CRWD", "BLUE",
  A1204="PASS", "WHITE"
)</f>
        <v>#N/A</v>
      </c>
    </row>
    <row r="1205" spans="1:23" x14ac:dyDescent="0.25">
      <c r="A1205" s="7"/>
      <c r="B1205" s="7"/>
      <c r="C1205" s="41"/>
      <c r="D1205" s="27"/>
      <c r="E1205" s="1"/>
      <c r="G1205" s="3"/>
      <c r="H1205" s="2"/>
      <c r="I1205" s="3"/>
      <c r="J1205" s="17"/>
      <c r="K1205" s="17"/>
      <c r="L1205" s="18"/>
      <c r="M1205" s="3"/>
      <c r="O1205"/>
      <c r="P1205" s="3"/>
      <c r="Q1205" s="4"/>
      <c r="R1205" s="19"/>
      <c r="S1205" s="20"/>
      <c r="T1205" s="3"/>
      <c r="U1205" s="3" t="str">
        <f t="shared" si="40"/>
        <v/>
      </c>
      <c r="V1205" s="4" t="str">
        <f t="shared" si="41"/>
        <v/>
      </c>
      <c r="W1205" s="21" t="e" cm="1">
        <f t="array" ref="W1205">_xlfn.IFS(
  A1205="BELL", "WHITE",
  A1205="GAMP", "ORANGE",
  A1205="GAMM", "GREEN",
  A1205="BWF", "YELLOW",
  OR(A1205="TNBE", A1205="TNBL", A1205="TNBD", A1205="TNWC", A1205="TNBW", A1205="THBS"), "PINK",
  A1205="CRWD", "BLUE",
  A1205="PASS", "WHITE"
)</f>
        <v>#N/A</v>
      </c>
    </row>
    <row r="1206" spans="1:23" x14ac:dyDescent="0.25">
      <c r="A1206" s="7"/>
      <c r="B1206" s="7"/>
      <c r="C1206" s="41"/>
      <c r="D1206" s="27"/>
      <c r="E1206" s="1"/>
      <c r="G1206" s="3"/>
      <c r="H1206" s="2"/>
      <c r="I1206" s="3"/>
      <c r="J1206" s="17"/>
      <c r="K1206" s="17"/>
      <c r="L1206" s="18"/>
      <c r="M1206" s="18"/>
      <c r="O1206"/>
      <c r="P1206" s="3"/>
      <c r="Q1206" s="4"/>
      <c r="R1206" s="19"/>
      <c r="S1206" s="20"/>
      <c r="T1206" s="3"/>
      <c r="U1206" s="3" t="str">
        <f t="shared" si="40"/>
        <v/>
      </c>
      <c r="V1206" s="4" t="str">
        <f t="shared" si="41"/>
        <v/>
      </c>
      <c r="W1206" s="21" t="e" cm="1">
        <f t="array" ref="W1206">_xlfn.IFS(
  A1206="BELL", "WHITE",
  A1206="GAMP", "ORANGE",
  A1206="GAMM", "GREEN",
  A1206="BWF", "YELLOW",
  OR(A1206="TNBE", A1206="TNBL", A1206="TNBD", A1206="TNWC", A1206="TNBW", A1206="THBS"), "PINK",
  A1206="CRWD", "BLUE",
  A1206="PASS", "WHITE"
)</f>
        <v>#N/A</v>
      </c>
    </row>
    <row r="1207" spans="1:23" x14ac:dyDescent="0.25">
      <c r="A1207" s="7"/>
      <c r="B1207" s="7"/>
      <c r="C1207" s="41"/>
      <c r="D1207" s="27"/>
      <c r="E1207" s="1"/>
      <c r="G1207" s="3"/>
      <c r="H1207" s="2"/>
      <c r="I1207" s="3"/>
      <c r="J1207" s="17"/>
      <c r="K1207" s="17"/>
      <c r="L1207" s="18"/>
      <c r="M1207" s="3"/>
      <c r="O1207"/>
      <c r="P1207" s="3"/>
      <c r="Q1207" s="4"/>
      <c r="R1207" s="19"/>
      <c r="S1207" s="20"/>
      <c r="T1207" s="3"/>
      <c r="U1207" s="3" t="str">
        <f t="shared" si="40"/>
        <v/>
      </c>
      <c r="V1207" s="4" t="str">
        <f t="shared" si="41"/>
        <v/>
      </c>
      <c r="W1207" s="21" t="e" cm="1">
        <f t="array" ref="W1207">_xlfn.IFS(
  A1207="BELL", "WHITE",
  A1207="GAMP", "ORANGE",
  A1207="GAMM", "GREEN",
  A1207="BWF", "YELLOW",
  OR(A1207="TNBE", A1207="TNBL", A1207="TNBD", A1207="TNWC", A1207="TNBW", A1207="THBS"), "PINK",
  A1207="CRWD", "BLUE",
  A1207="PASS", "WHITE"
)</f>
        <v>#N/A</v>
      </c>
    </row>
    <row r="1208" spans="1:23" x14ac:dyDescent="0.25">
      <c r="A1208" s="7"/>
      <c r="B1208" s="7"/>
      <c r="C1208" s="41"/>
      <c r="D1208" s="27"/>
      <c r="E1208" s="1"/>
      <c r="G1208" s="3"/>
      <c r="H1208" s="2"/>
      <c r="I1208" s="3"/>
      <c r="J1208" s="17"/>
      <c r="K1208" s="17"/>
      <c r="L1208" s="18"/>
      <c r="M1208" s="3"/>
      <c r="O1208"/>
      <c r="P1208" s="3"/>
      <c r="Q1208" s="4"/>
      <c r="R1208" s="19"/>
      <c r="S1208" s="20"/>
      <c r="T1208" s="3"/>
      <c r="U1208" s="3" t="str">
        <f t="shared" si="40"/>
        <v/>
      </c>
      <c r="V1208" s="4" t="str">
        <f t="shared" si="41"/>
        <v/>
      </c>
      <c r="W1208" s="21" t="e" cm="1">
        <f t="array" ref="W1208">_xlfn.IFS(
  A1208="BELL", "WHITE",
  A1208="GAMP", "ORANGE",
  A1208="GAMM", "GREEN",
  A1208="BWF", "YELLOW",
  OR(A1208="TNBE", A1208="TNBL", A1208="TNBD", A1208="TNWC", A1208="TNBW", A1208="THBS"), "PINK",
  A1208="CRWD", "BLUE",
  A1208="PASS", "WHITE"
)</f>
        <v>#N/A</v>
      </c>
    </row>
    <row r="1209" spans="1:23" x14ac:dyDescent="0.25">
      <c r="A1209" s="7"/>
      <c r="B1209" s="7"/>
      <c r="C1209" s="41"/>
      <c r="D1209" s="27"/>
      <c r="E1209" s="1"/>
      <c r="G1209" s="3"/>
      <c r="H1209" s="2"/>
      <c r="I1209" s="3"/>
      <c r="J1209" s="17"/>
      <c r="K1209" s="17"/>
      <c r="L1209" s="18"/>
      <c r="M1209" s="18"/>
      <c r="O1209"/>
      <c r="P1209" s="3"/>
      <c r="Q1209" s="4"/>
      <c r="R1209" s="19"/>
      <c r="S1209" s="20"/>
      <c r="T1209" s="3"/>
      <c r="U1209" s="3" t="str">
        <f t="shared" si="40"/>
        <v/>
      </c>
      <c r="V1209" s="4" t="str">
        <f t="shared" si="41"/>
        <v/>
      </c>
      <c r="W1209" s="21" t="e" cm="1">
        <f t="array" ref="W1209">_xlfn.IFS(
  A1209="BELL", "WHITE",
  A1209="GAMP", "ORANGE",
  A1209="GAMM", "GREEN",
  A1209="BWF", "YELLOW",
  OR(A1209="TNBE", A1209="TNBL", A1209="TNBD", A1209="TNWC", A1209="TNBW", A1209="THBS"), "PINK",
  A1209="CRWD", "BLUE",
  A1209="PASS", "WHITE"
)</f>
        <v>#N/A</v>
      </c>
    </row>
    <row r="1210" spans="1:23" x14ac:dyDescent="0.25">
      <c r="A1210" s="7"/>
      <c r="B1210" s="7"/>
      <c r="C1210" s="41"/>
      <c r="D1210" s="27"/>
      <c r="E1210" s="1"/>
      <c r="G1210" s="3"/>
      <c r="H1210" s="2"/>
      <c r="I1210" s="3"/>
      <c r="J1210" s="17"/>
      <c r="K1210" s="17"/>
      <c r="L1210" s="18"/>
      <c r="M1210" s="3"/>
      <c r="O1210"/>
      <c r="P1210" s="3"/>
      <c r="Q1210" s="4"/>
      <c r="R1210" s="19"/>
      <c r="S1210" s="20"/>
      <c r="T1210" s="3"/>
      <c r="U1210" s="3" t="str">
        <f t="shared" si="40"/>
        <v/>
      </c>
      <c r="V1210" s="4" t="str">
        <f t="shared" si="41"/>
        <v/>
      </c>
      <c r="W1210" s="21" t="e" cm="1">
        <f t="array" ref="W1210">_xlfn.IFS(
  A1210="BELL", "WHITE",
  A1210="GAMP", "ORANGE",
  A1210="GAMM", "GREEN",
  A1210="BWF", "YELLOW",
  OR(A1210="TNBE", A1210="TNBL", A1210="TNBD", A1210="TNWC", A1210="TNBW", A1210="THBS"), "PINK",
  A1210="CRWD", "BLUE",
  A1210="PASS", "WHITE"
)</f>
        <v>#N/A</v>
      </c>
    </row>
    <row r="1211" spans="1:23" x14ac:dyDescent="0.25">
      <c r="A1211" s="7"/>
      <c r="B1211" s="7"/>
      <c r="C1211" s="41"/>
      <c r="D1211" s="27"/>
      <c r="E1211" s="1"/>
      <c r="G1211" s="3"/>
      <c r="H1211" s="2"/>
      <c r="I1211" s="3"/>
      <c r="J1211" s="17"/>
      <c r="K1211" s="17"/>
      <c r="L1211" s="18"/>
      <c r="M1211" s="3"/>
      <c r="O1211"/>
      <c r="P1211" s="3"/>
      <c r="Q1211" s="4"/>
      <c r="R1211" s="19"/>
      <c r="S1211" s="20"/>
      <c r="T1211" s="3"/>
      <c r="U1211" s="3" t="str">
        <f t="shared" si="40"/>
        <v/>
      </c>
      <c r="V1211" s="4" t="str">
        <f t="shared" si="41"/>
        <v/>
      </c>
      <c r="W1211" s="21" t="e" cm="1">
        <f t="array" ref="W1211">_xlfn.IFS(
  A1211="BELL", "WHITE",
  A1211="GAMP", "ORANGE",
  A1211="GAMM", "GREEN",
  A1211="BWF", "YELLOW",
  OR(A1211="TNBE", A1211="TNBL", A1211="TNBD", A1211="TNWC", A1211="TNBW", A1211="THBS"), "PINK",
  A1211="CRWD", "BLUE",
  A1211="PASS", "WHITE"
)</f>
        <v>#N/A</v>
      </c>
    </row>
    <row r="1212" spans="1:23" x14ac:dyDescent="0.25">
      <c r="A1212" s="7"/>
      <c r="B1212" s="7"/>
      <c r="C1212" s="41"/>
      <c r="D1212" s="27"/>
      <c r="E1212" s="1"/>
      <c r="G1212" s="3"/>
      <c r="H1212" s="2"/>
      <c r="I1212" s="3"/>
      <c r="J1212" s="17"/>
      <c r="K1212" s="17"/>
      <c r="L1212" s="18"/>
      <c r="M1212" s="18"/>
      <c r="O1212"/>
      <c r="P1212" s="3"/>
      <c r="Q1212" s="4"/>
      <c r="R1212" s="19"/>
      <c r="S1212" s="20"/>
      <c r="T1212" s="3"/>
      <c r="U1212" s="3" t="str">
        <f t="shared" si="40"/>
        <v/>
      </c>
      <c r="V1212" s="4" t="str">
        <f t="shared" si="41"/>
        <v/>
      </c>
      <c r="W1212" s="21" t="e" cm="1">
        <f t="array" ref="W1212">_xlfn.IFS(
  A1212="BELL", "WHITE",
  A1212="GAMP", "ORANGE",
  A1212="GAMM", "GREEN",
  A1212="BWF", "YELLOW",
  OR(A1212="TNBE", A1212="TNBL", A1212="TNBD", A1212="TNWC", A1212="TNBW", A1212="THBS"), "PINK",
  A1212="CRWD", "BLUE",
  A1212="PASS", "WHITE"
)</f>
        <v>#N/A</v>
      </c>
    </row>
    <row r="1213" spans="1:23" x14ac:dyDescent="0.25">
      <c r="A1213" s="7"/>
      <c r="B1213" s="7"/>
      <c r="C1213" s="41"/>
      <c r="D1213" s="27"/>
      <c r="E1213" s="1"/>
      <c r="G1213" s="3"/>
      <c r="H1213" s="2"/>
      <c r="I1213" s="3"/>
      <c r="J1213" s="17"/>
      <c r="K1213" s="17"/>
      <c r="L1213" s="18"/>
      <c r="M1213" s="3"/>
      <c r="O1213"/>
      <c r="P1213" s="3"/>
      <c r="Q1213" s="4"/>
      <c r="R1213" s="19"/>
      <c r="S1213" s="20"/>
      <c r="T1213" s="3"/>
      <c r="U1213" s="3" t="str">
        <f t="shared" si="40"/>
        <v/>
      </c>
      <c r="V1213" s="4" t="str">
        <f t="shared" si="41"/>
        <v/>
      </c>
      <c r="W1213" s="21" t="e" cm="1">
        <f t="array" ref="W1213">_xlfn.IFS(
  A1213="BELL", "WHITE",
  A1213="GAMP", "ORANGE",
  A1213="GAMM", "GREEN",
  A1213="BWF", "YELLOW",
  OR(A1213="TNBE", A1213="TNBL", A1213="TNBD", A1213="TNWC", A1213="TNBW", A1213="THBS"), "PINK",
  A1213="CRWD", "BLUE",
  A1213="PASS", "WHITE"
)</f>
        <v>#N/A</v>
      </c>
    </row>
    <row r="1214" spans="1:23" x14ac:dyDescent="0.25">
      <c r="A1214" s="7"/>
      <c r="B1214" s="7"/>
      <c r="C1214" s="41"/>
      <c r="D1214" s="27"/>
      <c r="E1214" s="1"/>
      <c r="G1214" s="3"/>
      <c r="H1214" s="2"/>
      <c r="I1214" s="3"/>
      <c r="J1214" s="17"/>
      <c r="K1214" s="17"/>
      <c r="L1214" s="18"/>
      <c r="M1214" s="3"/>
      <c r="O1214"/>
      <c r="P1214" s="3"/>
      <c r="Q1214" s="4"/>
      <c r="R1214" s="19"/>
      <c r="S1214" s="20"/>
      <c r="T1214" s="3"/>
      <c r="U1214" s="3" t="str">
        <f t="shared" si="40"/>
        <v/>
      </c>
      <c r="V1214" s="4" t="str">
        <f t="shared" si="41"/>
        <v/>
      </c>
      <c r="W1214" s="21" t="e" cm="1">
        <f t="array" ref="W1214">_xlfn.IFS(
  A1214="BELL", "WHITE",
  A1214="GAMP", "ORANGE",
  A1214="GAMM", "GREEN",
  A1214="BWF", "YELLOW",
  OR(A1214="TNBE", A1214="TNBL", A1214="TNBD", A1214="TNWC", A1214="TNBW", A1214="THBS"), "PINK",
  A1214="CRWD", "BLUE",
  A1214="PASS", "WHITE"
)</f>
        <v>#N/A</v>
      </c>
    </row>
    <row r="1215" spans="1:23" s="44" customFormat="1" x14ac:dyDescent="0.25">
      <c r="A1215" s="7"/>
      <c r="B1215" s="7"/>
      <c r="C1215" s="41"/>
      <c r="D1215" s="27"/>
      <c r="E1215" s="1"/>
      <c r="F1215"/>
      <c r="G1215" s="3"/>
      <c r="H1215" s="2"/>
      <c r="I1215" s="3"/>
      <c r="J1215" s="17"/>
      <c r="K1215" s="17"/>
      <c r="L1215" s="18"/>
      <c r="M1215" s="18"/>
      <c r="N1215" s="7"/>
      <c r="O1215"/>
      <c r="P1215" s="3"/>
      <c r="Q1215" s="4"/>
      <c r="R1215" s="19"/>
      <c r="S1215" s="20"/>
      <c r="T1215" s="3"/>
      <c r="U1215" s="3" t="str">
        <f t="shared" si="40"/>
        <v/>
      </c>
      <c r="V1215" s="4" t="str">
        <f t="shared" si="41"/>
        <v/>
      </c>
      <c r="W1215" s="21" t="e" cm="1">
        <f t="array" ref="W1215">_xlfn.IFS(
  A1215="BELL", "WHITE",
  A1215="GAMP", "ORANGE",
  A1215="GAMM", "GREEN",
  A1215="BWF", "YELLOW",
  OR(A1215="TNBE", A1215="TNBL", A1215="TNBD", A1215="TNWC", A1215="TNBW", A1215="THBS"), "PINK",
  A1215="CRWD", "BLUE",
  A1215="PASS", "WHITE"
)</f>
        <v>#N/A</v>
      </c>
    </row>
    <row r="1216" spans="1:23" x14ac:dyDescent="0.25">
      <c r="A1216" s="7"/>
      <c r="B1216" s="7"/>
      <c r="C1216" s="41"/>
      <c r="D1216" s="27"/>
      <c r="E1216" s="1"/>
      <c r="G1216" s="3"/>
      <c r="H1216" s="2"/>
      <c r="I1216" s="3"/>
      <c r="J1216" s="17"/>
      <c r="K1216" s="17"/>
      <c r="L1216" s="18"/>
      <c r="M1216" s="3"/>
      <c r="O1216"/>
      <c r="P1216" s="3"/>
      <c r="Q1216" s="4"/>
      <c r="R1216" s="19"/>
      <c r="S1216" s="20"/>
      <c r="T1216" s="3"/>
      <c r="U1216" s="3" t="str">
        <f t="shared" si="40"/>
        <v/>
      </c>
      <c r="V1216" s="4" t="str">
        <f t="shared" si="41"/>
        <v/>
      </c>
      <c r="W1216" s="21" t="e" cm="1">
        <f t="array" ref="W1216">_xlfn.IFS(
  A1216="BELL", "WHITE",
  A1216="GAMP", "ORANGE",
  A1216="GAMM", "GREEN",
  A1216="BWF", "YELLOW",
  OR(A1216="TNBE", A1216="TNBL", A1216="TNBD", A1216="TNWC", A1216="TNBW", A1216="THBS"), "PINK",
  A1216="CRWD", "BLUE",
  A1216="PASS", "WHITE"
)</f>
        <v>#N/A</v>
      </c>
    </row>
    <row r="1217" spans="1:23" x14ac:dyDescent="0.25">
      <c r="A1217" s="7"/>
      <c r="B1217" s="7"/>
      <c r="C1217" s="41"/>
      <c r="D1217" s="27"/>
      <c r="E1217" s="1"/>
      <c r="G1217" s="3"/>
      <c r="H1217" s="2"/>
      <c r="I1217" s="3"/>
      <c r="J1217" s="17"/>
      <c r="K1217" s="17"/>
      <c r="L1217" s="18"/>
      <c r="M1217" s="3"/>
      <c r="O1217"/>
      <c r="P1217" s="3"/>
      <c r="Q1217" s="4"/>
      <c r="R1217" s="19"/>
      <c r="S1217" s="20"/>
      <c r="T1217" s="3"/>
      <c r="U1217" s="3" t="str">
        <f t="shared" si="40"/>
        <v/>
      </c>
      <c r="V1217" s="4" t="str">
        <f t="shared" si="41"/>
        <v/>
      </c>
      <c r="W1217" s="21" t="e" cm="1">
        <f t="array" ref="W1217">_xlfn.IFS(
  A1217="BELL", "WHITE",
  A1217="GAMP", "ORANGE",
  A1217="GAMM", "GREEN",
  A1217="BWF", "YELLOW",
  OR(A1217="TNBE", A1217="TNBL", A1217="TNBD", A1217="TNWC", A1217="TNBW", A1217="THBS"), "PINK",
  A1217="CRWD", "BLUE",
  A1217="PASS", "WHITE"
)</f>
        <v>#N/A</v>
      </c>
    </row>
    <row r="1218" spans="1:23" x14ac:dyDescent="0.25">
      <c r="A1218" s="7"/>
      <c r="B1218" s="7"/>
      <c r="C1218" s="41"/>
      <c r="D1218" s="27"/>
      <c r="E1218" s="1"/>
      <c r="G1218" s="3"/>
      <c r="H1218" s="2"/>
      <c r="I1218" s="3"/>
      <c r="J1218" s="17"/>
      <c r="K1218" s="17"/>
      <c r="L1218" s="18"/>
      <c r="M1218" s="18"/>
      <c r="O1218"/>
      <c r="P1218" s="3"/>
      <c r="Q1218" s="4"/>
      <c r="R1218" s="19"/>
      <c r="S1218" s="20"/>
      <c r="T1218" s="3"/>
      <c r="U1218" s="3" t="str">
        <f t="shared" si="40"/>
        <v/>
      </c>
      <c r="V1218" s="4" t="str">
        <f t="shared" si="41"/>
        <v/>
      </c>
      <c r="W1218" s="21" t="e" cm="1">
        <f t="array" ref="W1218">_xlfn.IFS(
  A1218="BELL", "WHITE",
  A1218="GAMP", "ORANGE",
  A1218="GAMM", "GREEN",
  A1218="BWF", "YELLOW",
  OR(A1218="TNBE", A1218="TNBL", A1218="TNBD", A1218="TNWC", A1218="TNBW", A1218="THBS"), "PINK",
  A1218="CRWD", "BLUE",
  A1218="PASS", "WHITE"
)</f>
        <v>#N/A</v>
      </c>
    </row>
    <row r="1219" spans="1:23" x14ac:dyDescent="0.25">
      <c r="A1219" s="7"/>
      <c r="B1219" s="7"/>
      <c r="C1219" s="41"/>
      <c r="D1219" s="27"/>
      <c r="E1219" s="1"/>
      <c r="G1219" s="3"/>
      <c r="H1219" s="2"/>
      <c r="I1219" s="3"/>
      <c r="J1219" s="17"/>
      <c r="K1219" s="17"/>
      <c r="L1219" s="18"/>
      <c r="M1219" s="3"/>
      <c r="O1219"/>
      <c r="P1219" s="3"/>
      <c r="Q1219" s="4"/>
      <c r="R1219" s="19"/>
      <c r="S1219" s="20"/>
      <c r="T1219" s="3"/>
      <c r="U1219" s="3" t="str">
        <f t="shared" si="40"/>
        <v/>
      </c>
      <c r="V1219" s="4" t="str">
        <f t="shared" si="41"/>
        <v/>
      </c>
      <c r="W1219" s="21" t="e" cm="1">
        <f t="array" ref="W1219">_xlfn.IFS(
  A1219="BELL", "WHITE",
  A1219="GAMP", "ORANGE",
  A1219="GAMM", "GREEN",
  A1219="BWF", "YELLOW",
  OR(A1219="TNBE", A1219="TNBL", A1219="TNBD", A1219="TNWC", A1219="TNBW", A1219="THBS"), "PINK",
  A1219="CRWD", "BLUE",
  A1219="PASS", "WHITE"
)</f>
        <v>#N/A</v>
      </c>
    </row>
    <row r="1220" spans="1:23" x14ac:dyDescent="0.25">
      <c r="A1220" s="7"/>
      <c r="B1220" s="7"/>
      <c r="C1220" s="41"/>
      <c r="D1220" s="27"/>
      <c r="E1220" s="1"/>
      <c r="G1220" s="3"/>
      <c r="H1220" s="2"/>
      <c r="I1220" s="3"/>
      <c r="J1220" s="17"/>
      <c r="K1220" s="17"/>
      <c r="L1220" s="18"/>
      <c r="M1220" s="3"/>
      <c r="O1220"/>
      <c r="P1220" s="3"/>
      <c r="Q1220" s="4"/>
      <c r="R1220" s="19"/>
      <c r="S1220" s="20"/>
      <c r="T1220" s="3"/>
      <c r="U1220" s="3" t="str">
        <f t="shared" ref="U1220:U1283" si="42">IF(T1220="","",IF(T1220&gt;I1220,H1220,T1220/G1220))</f>
        <v/>
      </c>
      <c r="V1220" s="4" t="str">
        <f t="shared" ref="V1220:V1283" si="43">IF(T1220&gt;I1220,T1220-I1220,"")</f>
        <v/>
      </c>
      <c r="W1220" s="21" t="e" cm="1">
        <f t="array" ref="W1220">_xlfn.IFS(
  A1220="BELL", "WHITE",
  A1220="GAMP", "ORANGE",
  A1220="GAMM", "GREEN",
  A1220="BWF", "YELLOW",
  OR(A1220="TNBE", A1220="TNBL", A1220="TNBD", A1220="TNWC", A1220="TNBW", A1220="THBS"), "PINK",
  A1220="CRWD", "BLUE",
  A1220="PASS", "WHITE"
)</f>
        <v>#N/A</v>
      </c>
    </row>
    <row r="1221" spans="1:23" x14ac:dyDescent="0.25">
      <c r="A1221" s="7"/>
      <c r="B1221" s="7"/>
      <c r="C1221" s="41"/>
      <c r="D1221" s="27"/>
      <c r="E1221" s="1"/>
      <c r="G1221" s="3"/>
      <c r="H1221" s="2"/>
      <c r="I1221" s="3"/>
      <c r="J1221" s="17"/>
      <c r="K1221" s="17"/>
      <c r="L1221" s="18"/>
      <c r="M1221" s="18"/>
      <c r="O1221"/>
      <c r="P1221" s="3"/>
      <c r="Q1221" s="4"/>
      <c r="R1221" s="19"/>
      <c r="S1221" s="20"/>
      <c r="T1221" s="3"/>
      <c r="U1221" s="3" t="str">
        <f t="shared" si="42"/>
        <v/>
      </c>
      <c r="V1221" s="4" t="str">
        <f t="shared" si="43"/>
        <v/>
      </c>
      <c r="W1221" s="21" t="e" cm="1">
        <f t="array" ref="W1221">_xlfn.IFS(
  A1221="BELL", "WHITE",
  A1221="GAMP", "ORANGE",
  A1221="GAMM", "GREEN",
  A1221="BWF", "YELLOW",
  OR(A1221="TNBE", A1221="TNBL", A1221="TNBD", A1221="TNWC", A1221="TNBW", A1221="THBS"), "PINK",
  A1221="CRWD", "BLUE",
  A1221="PASS", "WHITE"
)</f>
        <v>#N/A</v>
      </c>
    </row>
    <row r="1222" spans="1:23" x14ac:dyDescent="0.25">
      <c r="A1222" s="7"/>
      <c r="B1222" s="7"/>
      <c r="C1222" s="41"/>
      <c r="D1222" s="27"/>
      <c r="E1222" s="1"/>
      <c r="G1222" s="3"/>
      <c r="H1222" s="2"/>
      <c r="I1222" s="3"/>
      <c r="J1222" s="17"/>
      <c r="K1222" s="17"/>
      <c r="L1222" s="18"/>
      <c r="M1222" s="3"/>
      <c r="O1222"/>
      <c r="P1222" s="3"/>
      <c r="Q1222" s="4"/>
      <c r="R1222" s="19"/>
      <c r="S1222" s="20"/>
      <c r="T1222" s="3"/>
      <c r="U1222" s="3" t="str">
        <f t="shared" si="42"/>
        <v/>
      </c>
      <c r="V1222" s="4" t="str">
        <f t="shared" si="43"/>
        <v/>
      </c>
      <c r="W1222" s="21" t="e" cm="1">
        <f t="array" ref="W1222">_xlfn.IFS(
  A1222="BELL", "WHITE",
  A1222="GAMP", "ORANGE",
  A1222="GAMM", "GREEN",
  A1222="BWF", "YELLOW",
  OR(A1222="TNBE", A1222="TNBL", A1222="TNBD", A1222="TNWC", A1222="TNBW", A1222="THBS"), "PINK",
  A1222="CRWD", "BLUE",
  A1222="PASS", "WHITE"
)</f>
        <v>#N/A</v>
      </c>
    </row>
    <row r="1223" spans="1:23" x14ac:dyDescent="0.25">
      <c r="A1223" s="7"/>
      <c r="B1223" s="7"/>
      <c r="C1223" s="41"/>
      <c r="D1223" s="27"/>
      <c r="E1223" s="1"/>
      <c r="G1223" s="3"/>
      <c r="H1223" s="2"/>
      <c r="I1223" s="3"/>
      <c r="J1223" s="17"/>
      <c r="K1223" s="17"/>
      <c r="L1223" s="18"/>
      <c r="M1223" s="3"/>
      <c r="O1223"/>
      <c r="P1223" s="3"/>
      <c r="Q1223" s="4"/>
      <c r="R1223" s="19"/>
      <c r="S1223" s="20"/>
      <c r="T1223" s="3"/>
      <c r="U1223" s="3" t="str">
        <f t="shared" si="42"/>
        <v/>
      </c>
      <c r="V1223" s="4" t="str">
        <f t="shared" si="43"/>
        <v/>
      </c>
      <c r="W1223" s="21" t="e" cm="1">
        <f t="array" ref="W1223">_xlfn.IFS(
  A1223="BELL", "WHITE",
  A1223="GAMP", "ORANGE",
  A1223="GAMM", "GREEN",
  A1223="BWF", "YELLOW",
  OR(A1223="TNBE", A1223="TNBL", A1223="TNBD", A1223="TNWC", A1223="TNBW", A1223="THBS"), "PINK",
  A1223="CRWD", "BLUE",
  A1223="PASS", "WHITE"
)</f>
        <v>#N/A</v>
      </c>
    </row>
    <row r="1224" spans="1:23" x14ac:dyDescent="0.25">
      <c r="A1224" s="7"/>
      <c r="B1224" s="7"/>
      <c r="C1224" s="41"/>
      <c r="D1224" s="27"/>
      <c r="E1224" s="1"/>
      <c r="G1224" s="3"/>
      <c r="H1224" s="2"/>
      <c r="I1224" s="3"/>
      <c r="J1224" s="17"/>
      <c r="K1224" s="17"/>
      <c r="L1224" s="18"/>
      <c r="M1224" s="18"/>
      <c r="O1224"/>
      <c r="P1224" s="3"/>
      <c r="Q1224" s="4"/>
      <c r="R1224" s="19"/>
      <c r="S1224" s="20"/>
      <c r="T1224" s="3"/>
      <c r="U1224" s="3" t="str">
        <f t="shared" si="42"/>
        <v/>
      </c>
      <c r="V1224" s="4" t="str">
        <f t="shared" si="43"/>
        <v/>
      </c>
      <c r="W1224" s="21" t="e" cm="1">
        <f t="array" ref="W1224">_xlfn.IFS(
  A1224="BELL", "WHITE",
  A1224="GAMP", "ORANGE",
  A1224="GAMM", "GREEN",
  A1224="BWF", "YELLOW",
  OR(A1224="TNBE", A1224="TNBL", A1224="TNBD", A1224="TNWC", A1224="TNBW", A1224="THBS"), "PINK",
  A1224="CRWD", "BLUE",
  A1224="PASS", "WHITE"
)</f>
        <v>#N/A</v>
      </c>
    </row>
    <row r="1225" spans="1:23" x14ac:dyDescent="0.25">
      <c r="A1225" s="7"/>
      <c r="B1225" s="7"/>
      <c r="C1225" s="41"/>
      <c r="D1225" s="27"/>
      <c r="E1225" s="1"/>
      <c r="G1225" s="3"/>
      <c r="H1225" s="2"/>
      <c r="I1225" s="3"/>
      <c r="J1225" s="17"/>
      <c r="K1225" s="17"/>
      <c r="L1225" s="18"/>
      <c r="M1225" s="18"/>
      <c r="O1225"/>
      <c r="P1225" s="3"/>
      <c r="Q1225" s="4"/>
      <c r="R1225" s="19"/>
      <c r="S1225" s="20"/>
      <c r="T1225" s="3"/>
      <c r="U1225" s="3" t="str">
        <f t="shared" si="42"/>
        <v/>
      </c>
      <c r="V1225" s="4" t="str">
        <f t="shared" si="43"/>
        <v/>
      </c>
      <c r="W1225" s="21" t="e" cm="1">
        <f t="array" ref="W1225">_xlfn.IFS(
  A1225="BELL", "WHITE",
  A1225="GAMP", "ORANGE",
  A1225="GAMM", "GREEN",
  A1225="BWF", "YELLOW",
  OR(A1225="TNBE", A1225="TNBL", A1225="TNBD", A1225="TNWC", A1225="TNBW", A1225="THBS"), "PINK",
  A1225="CRWD", "BLUE",
  A1225="PASS", "WHITE"
)</f>
        <v>#N/A</v>
      </c>
    </row>
    <row r="1226" spans="1:23" x14ac:dyDescent="0.25">
      <c r="A1226" s="7"/>
      <c r="B1226" s="7"/>
      <c r="C1226" s="41"/>
      <c r="D1226" s="27"/>
      <c r="E1226" s="1"/>
      <c r="G1226" s="3"/>
      <c r="H1226" s="2"/>
      <c r="I1226" s="3"/>
      <c r="J1226" s="17"/>
      <c r="K1226" s="17"/>
      <c r="L1226" s="18"/>
      <c r="M1226" s="18"/>
      <c r="O1226"/>
      <c r="P1226" s="3"/>
      <c r="Q1226" s="4"/>
      <c r="R1226" s="19"/>
      <c r="S1226" s="20"/>
      <c r="T1226" s="3"/>
      <c r="U1226" s="3" t="str">
        <f t="shared" si="42"/>
        <v/>
      </c>
      <c r="V1226" s="4" t="str">
        <f t="shared" si="43"/>
        <v/>
      </c>
      <c r="W1226" s="21" t="e" cm="1">
        <f t="array" ref="W1226">_xlfn.IFS(
  A1226="BELL", "WHITE",
  A1226="GAMP", "ORANGE",
  A1226="GAMM", "GREEN",
  A1226="BWF", "YELLOW",
  OR(A1226="TNBE", A1226="TNBL", A1226="TNBD", A1226="TNWC", A1226="TNBW", A1226="THBS"), "PINK",
  A1226="CRWD", "BLUE",
  A1226="PASS", "WHITE"
)</f>
        <v>#N/A</v>
      </c>
    </row>
    <row r="1227" spans="1:23" x14ac:dyDescent="0.25">
      <c r="A1227" s="7"/>
      <c r="B1227" s="7"/>
      <c r="C1227" s="41"/>
      <c r="D1227" s="27"/>
      <c r="E1227" s="1"/>
      <c r="G1227" s="3"/>
      <c r="H1227" s="2"/>
      <c r="I1227" s="3"/>
      <c r="J1227" s="17"/>
      <c r="K1227" s="17"/>
      <c r="L1227" s="18"/>
      <c r="M1227" s="18"/>
      <c r="O1227"/>
      <c r="P1227" s="3"/>
      <c r="Q1227" s="4"/>
      <c r="R1227" s="19"/>
      <c r="S1227" s="20"/>
      <c r="T1227" s="3"/>
      <c r="U1227" s="3" t="str">
        <f t="shared" si="42"/>
        <v/>
      </c>
      <c r="V1227" s="4" t="str">
        <f t="shared" si="43"/>
        <v/>
      </c>
      <c r="W1227" s="21" t="e" cm="1">
        <f t="array" ref="W1227">_xlfn.IFS(
  A1227="BELL", "WHITE",
  A1227="GAMP", "ORANGE",
  A1227="GAMM", "GREEN",
  A1227="BWF", "YELLOW",
  OR(A1227="TNBE", A1227="TNBL", A1227="TNBD", A1227="TNWC", A1227="TNBW", A1227="THBS"), "PINK",
  A1227="CRWD", "BLUE",
  A1227="PASS", "WHITE"
)</f>
        <v>#N/A</v>
      </c>
    </row>
    <row r="1228" spans="1:23" x14ac:dyDescent="0.25">
      <c r="A1228" s="7"/>
      <c r="B1228" s="7"/>
      <c r="C1228" s="41"/>
      <c r="D1228" s="27"/>
      <c r="E1228" s="1"/>
      <c r="G1228" s="3"/>
      <c r="H1228" s="2"/>
      <c r="I1228" s="3"/>
      <c r="J1228" s="17"/>
      <c r="K1228" s="17"/>
      <c r="L1228" s="18"/>
      <c r="M1228" s="18"/>
      <c r="O1228"/>
      <c r="P1228" s="3"/>
      <c r="Q1228" s="4"/>
      <c r="R1228" s="19"/>
      <c r="S1228" s="20"/>
      <c r="T1228" s="3"/>
      <c r="U1228" s="3" t="str">
        <f t="shared" si="42"/>
        <v/>
      </c>
      <c r="V1228" s="4" t="str">
        <f t="shared" si="43"/>
        <v/>
      </c>
      <c r="W1228" s="21" t="e" cm="1">
        <f t="array" ref="W1228">_xlfn.IFS(
  A1228="BELL", "WHITE",
  A1228="GAMP", "ORANGE",
  A1228="GAMM", "GREEN",
  A1228="BWF", "YELLOW",
  OR(A1228="TNBE", A1228="TNBL", A1228="TNBD", A1228="TNWC", A1228="TNBW", A1228="THBS"), "PINK",
  A1228="CRWD", "BLUE",
  A1228="PASS", "WHITE"
)</f>
        <v>#N/A</v>
      </c>
    </row>
    <row r="1229" spans="1:23" x14ac:dyDescent="0.25">
      <c r="A1229" s="7"/>
      <c r="B1229" s="7"/>
      <c r="C1229" s="41"/>
      <c r="D1229" s="27"/>
      <c r="E1229" s="1"/>
      <c r="G1229" s="3"/>
      <c r="H1229" s="2"/>
      <c r="I1229" s="3"/>
      <c r="J1229" s="17"/>
      <c r="K1229" s="17"/>
      <c r="L1229" s="18"/>
      <c r="M1229" s="18"/>
      <c r="O1229"/>
      <c r="P1229" s="3"/>
      <c r="Q1229" s="4"/>
      <c r="R1229" s="19"/>
      <c r="S1229" s="20"/>
      <c r="T1229" s="3"/>
      <c r="U1229" s="3" t="str">
        <f t="shared" si="42"/>
        <v/>
      </c>
      <c r="V1229" s="4" t="str">
        <f t="shared" si="43"/>
        <v/>
      </c>
      <c r="W1229" s="21" t="e" cm="1">
        <f t="array" ref="W1229">_xlfn.IFS(
  A1229="BELL", "WHITE",
  A1229="GAMP", "ORANGE",
  A1229="GAMM", "GREEN",
  A1229="BWF", "YELLOW",
  OR(A1229="TNBE", A1229="TNBL", A1229="TNBD", A1229="TNWC", A1229="TNBW", A1229="THBS"), "PINK",
  A1229="CRWD", "BLUE",
  A1229="PASS", "WHITE"
)</f>
        <v>#N/A</v>
      </c>
    </row>
    <row r="1230" spans="1:23" x14ac:dyDescent="0.25">
      <c r="A1230" s="7"/>
      <c r="B1230" s="7"/>
      <c r="C1230" s="41"/>
      <c r="D1230" s="27"/>
      <c r="E1230" s="1"/>
      <c r="G1230" s="3"/>
      <c r="H1230" s="2"/>
      <c r="I1230" s="3"/>
      <c r="J1230" s="17"/>
      <c r="K1230" s="17"/>
      <c r="L1230" s="18"/>
      <c r="M1230" s="3"/>
      <c r="O1230"/>
      <c r="P1230" s="3"/>
      <c r="Q1230" s="4"/>
      <c r="R1230" s="19"/>
      <c r="S1230" s="20"/>
      <c r="T1230" s="3"/>
      <c r="U1230" s="3" t="str">
        <f t="shared" si="42"/>
        <v/>
      </c>
      <c r="V1230" s="4" t="str">
        <f t="shared" si="43"/>
        <v/>
      </c>
      <c r="W1230" s="21" t="e" cm="1">
        <f t="array" ref="W1230">_xlfn.IFS(
  A1230="BELL", "WHITE",
  A1230="GAMP", "ORANGE",
  A1230="GAMM", "GREEN",
  A1230="BWF", "YELLOW",
  OR(A1230="TNBE", A1230="TNBL", A1230="TNBD", A1230="TNWC", A1230="TNBW", A1230="THBS"), "PINK",
  A1230="CRWD", "BLUE",
  A1230="PASS", "WHITE"
)</f>
        <v>#N/A</v>
      </c>
    </row>
    <row r="1231" spans="1:23" x14ac:dyDescent="0.25">
      <c r="A1231" s="7"/>
      <c r="B1231" s="7"/>
      <c r="C1231" s="41"/>
      <c r="D1231" s="27"/>
      <c r="E1231" s="1"/>
      <c r="G1231" s="3"/>
      <c r="H1231" s="2"/>
      <c r="I1231" s="3"/>
      <c r="J1231" s="17"/>
      <c r="K1231" s="17"/>
      <c r="L1231" s="18"/>
      <c r="M1231" s="18"/>
      <c r="O1231"/>
      <c r="P1231" s="3"/>
      <c r="Q1231" s="4"/>
      <c r="R1231" s="19"/>
      <c r="S1231" s="20"/>
      <c r="T1231" s="3"/>
      <c r="U1231" s="3" t="str">
        <f t="shared" si="42"/>
        <v/>
      </c>
      <c r="V1231" s="4" t="str">
        <f t="shared" si="43"/>
        <v/>
      </c>
      <c r="W1231" s="21" t="e" cm="1">
        <f t="array" ref="W1231">_xlfn.IFS(
  A1231="BELL", "WHITE",
  A1231="GAMP", "ORANGE",
  A1231="GAMM", "GREEN",
  A1231="BWF", "YELLOW",
  OR(A1231="TNBE", A1231="TNBL", A1231="TNBD", A1231="TNWC", A1231="TNBW", A1231="THBS"), "PINK",
  A1231="CRWD", "BLUE",
  A1231="PASS", "WHITE"
)</f>
        <v>#N/A</v>
      </c>
    </row>
    <row r="1232" spans="1:23" x14ac:dyDescent="0.25">
      <c r="A1232" s="7"/>
      <c r="B1232" s="7"/>
      <c r="C1232" s="41"/>
      <c r="D1232" s="42"/>
      <c r="I1232" s="4"/>
      <c r="J1232" s="4"/>
      <c r="K1232" s="4"/>
      <c r="L1232" s="18"/>
      <c r="M1232" s="3"/>
      <c r="O1232"/>
      <c r="P1232" s="3"/>
      <c r="Q1232" s="4"/>
      <c r="R1232" s="19"/>
      <c r="S1232" s="20"/>
      <c r="U1232" s="3" t="str">
        <f t="shared" si="42"/>
        <v/>
      </c>
      <c r="V1232" s="4" t="str">
        <f t="shared" si="43"/>
        <v/>
      </c>
      <c r="W1232" s="21" t="e" cm="1">
        <f t="array" ref="W1232">_xlfn.IFS(
  A1232="BELL", "WHITE",
  A1232="GAMP", "ORANGE",
  A1232="GAMM", "GREEN",
  A1232="BWF", "YELLOW",
  OR(A1232="TNBE", A1232="TNBL", A1232="TNBD", A1232="TNWC", A1232="TNBW", A1232="THBS"), "PINK",
  A1232="CRWD", "BLUE",
  A1232="PASS", "WHITE"
)</f>
        <v>#N/A</v>
      </c>
    </row>
    <row r="1233" spans="1:23" x14ac:dyDescent="0.25">
      <c r="A1233" s="7"/>
      <c r="B1233" s="7"/>
      <c r="C1233" s="41"/>
      <c r="D1233" s="42"/>
      <c r="I1233" s="4"/>
      <c r="J1233" s="4"/>
      <c r="K1233" s="4"/>
      <c r="L1233" s="18"/>
      <c r="M1233" s="3"/>
      <c r="O1233"/>
      <c r="P1233" s="3"/>
      <c r="Q1233" s="4"/>
      <c r="R1233" s="19"/>
      <c r="S1233" s="20"/>
      <c r="U1233" s="3" t="str">
        <f t="shared" si="42"/>
        <v/>
      </c>
      <c r="V1233" s="4" t="str">
        <f t="shared" si="43"/>
        <v/>
      </c>
      <c r="W1233" s="21" t="e" cm="1">
        <f t="array" ref="W1233">_xlfn.IFS(
  A1233="BELL", "WHITE",
  A1233="GAMP", "ORANGE",
  A1233="GAMM", "GREEN",
  A1233="BWF", "YELLOW",
  OR(A1233="TNBE", A1233="TNBL", A1233="TNBD", A1233="TNWC", A1233="TNBW", A1233="THBS"), "PINK",
  A1233="CRWD", "BLUE",
  A1233="PASS", "WHITE"
)</f>
        <v>#N/A</v>
      </c>
    </row>
    <row r="1234" spans="1:23" x14ac:dyDescent="0.25">
      <c r="A1234" s="7"/>
      <c r="B1234" s="7"/>
      <c r="C1234" s="41"/>
      <c r="D1234" s="27"/>
      <c r="E1234" s="1"/>
      <c r="G1234" s="3"/>
      <c r="H1234" s="2"/>
      <c r="I1234" s="3"/>
      <c r="J1234" s="17"/>
      <c r="K1234" s="17"/>
      <c r="L1234" s="18"/>
      <c r="M1234" s="3"/>
      <c r="O1234"/>
      <c r="P1234" s="3"/>
      <c r="Q1234" s="4"/>
      <c r="R1234" s="19"/>
      <c r="S1234" s="20"/>
      <c r="T1234" s="3"/>
      <c r="U1234" s="3" t="str">
        <f t="shared" si="42"/>
        <v/>
      </c>
      <c r="V1234" s="4" t="str">
        <f t="shared" si="43"/>
        <v/>
      </c>
      <c r="W1234" s="21" t="e" cm="1">
        <f t="array" ref="W1234">_xlfn.IFS(
  A1234="BELL", "WHITE",
  A1234="GAMP", "ORANGE",
  A1234="GAMM", "GREEN",
  A1234="BWF", "YELLOW",
  OR(A1234="TNBE", A1234="TNBL", A1234="TNBD", A1234="TNWC", A1234="TNBW", A1234="THBS"), "PINK",
  A1234="CRWD", "BLUE",
  A1234="PASS", "WHITE"
)</f>
        <v>#N/A</v>
      </c>
    </row>
    <row r="1235" spans="1:23" x14ac:dyDescent="0.25">
      <c r="A1235" s="7"/>
      <c r="B1235" s="7"/>
      <c r="C1235" s="41"/>
      <c r="D1235" s="27"/>
      <c r="E1235" s="1"/>
      <c r="G1235" s="3"/>
      <c r="H1235" s="2"/>
      <c r="I1235" s="3"/>
      <c r="J1235" s="17"/>
      <c r="K1235" s="17"/>
      <c r="L1235" s="18"/>
      <c r="M1235" s="3"/>
      <c r="O1235"/>
      <c r="P1235" s="3"/>
      <c r="Q1235" s="4"/>
      <c r="R1235" s="19"/>
      <c r="S1235" s="20"/>
      <c r="T1235" s="3"/>
      <c r="U1235" s="3" t="str">
        <f t="shared" si="42"/>
        <v/>
      </c>
      <c r="V1235" s="4" t="str">
        <f t="shared" si="43"/>
        <v/>
      </c>
      <c r="W1235" s="21" t="e" cm="1">
        <f t="array" ref="W1235">_xlfn.IFS(
  A1235="BELL", "WHITE",
  A1235="GAMP", "ORANGE",
  A1235="GAMM", "GREEN",
  A1235="BWF", "YELLOW",
  OR(A1235="TNBE", A1235="TNBL", A1235="TNBD", A1235="TNWC", A1235="TNBW", A1235="THBS"), "PINK",
  A1235="CRWD", "BLUE",
  A1235="PASS", "WHITE"
)</f>
        <v>#N/A</v>
      </c>
    </row>
    <row r="1236" spans="1:23" x14ac:dyDescent="0.25">
      <c r="A1236" s="7"/>
      <c r="B1236" s="7"/>
      <c r="C1236" s="41"/>
      <c r="D1236" s="27"/>
      <c r="E1236" s="1"/>
      <c r="G1236" s="3"/>
      <c r="H1236" s="2"/>
      <c r="I1236" s="3"/>
      <c r="J1236" s="17"/>
      <c r="K1236" s="17"/>
      <c r="L1236" s="18"/>
      <c r="M1236" s="3"/>
      <c r="O1236"/>
      <c r="P1236" s="3"/>
      <c r="Q1236" s="4"/>
      <c r="R1236" s="19"/>
      <c r="S1236" s="20"/>
      <c r="T1236" s="3"/>
      <c r="U1236" s="3" t="str">
        <f t="shared" si="42"/>
        <v/>
      </c>
      <c r="V1236" s="4" t="str">
        <f t="shared" si="43"/>
        <v/>
      </c>
      <c r="W1236" s="21" t="e" cm="1">
        <f t="array" ref="W1236">_xlfn.IFS(
  A1236="BELL", "WHITE",
  A1236="GAMP", "ORANGE",
  A1236="GAMM", "GREEN",
  A1236="BWF", "YELLOW",
  OR(A1236="TNBE", A1236="TNBL", A1236="TNBD", A1236="TNWC", A1236="TNBW", A1236="THBS"), "PINK",
  A1236="CRWD", "BLUE",
  A1236="PASS", "WHITE"
)</f>
        <v>#N/A</v>
      </c>
    </row>
    <row r="1237" spans="1:23" x14ac:dyDescent="0.25">
      <c r="A1237" s="7"/>
      <c r="B1237" s="7"/>
      <c r="C1237" s="41"/>
      <c r="D1237" s="27"/>
      <c r="E1237" s="1"/>
      <c r="G1237" s="3"/>
      <c r="H1237" s="2"/>
      <c r="I1237" s="3"/>
      <c r="J1237" s="17"/>
      <c r="K1237" s="17"/>
      <c r="L1237" s="18"/>
      <c r="M1237" s="3"/>
      <c r="O1237"/>
      <c r="P1237" s="3"/>
      <c r="Q1237" s="4"/>
      <c r="R1237" s="19"/>
      <c r="S1237" s="20"/>
      <c r="T1237" s="3"/>
      <c r="U1237" s="3" t="str">
        <f t="shared" si="42"/>
        <v/>
      </c>
      <c r="V1237" s="4" t="str">
        <f t="shared" si="43"/>
        <v/>
      </c>
      <c r="W1237" s="21" t="e" cm="1">
        <f t="array" ref="W1237">_xlfn.IFS(
  A1237="BELL", "WHITE",
  A1237="GAMP", "ORANGE",
  A1237="GAMM", "GREEN",
  A1237="BWF", "YELLOW",
  OR(A1237="TNBE", A1237="TNBL", A1237="TNBD", A1237="TNWC", A1237="TNBW", A1237="THBS"), "PINK",
  A1237="CRWD", "BLUE",
  A1237="PASS", "WHITE"
)</f>
        <v>#N/A</v>
      </c>
    </row>
    <row r="1238" spans="1:23" x14ac:dyDescent="0.25">
      <c r="A1238" s="7"/>
      <c r="B1238" s="7"/>
      <c r="C1238" s="41"/>
      <c r="D1238" s="27"/>
      <c r="E1238" s="1"/>
      <c r="G1238" s="3"/>
      <c r="H1238" s="2"/>
      <c r="I1238" s="3"/>
      <c r="J1238" s="17"/>
      <c r="K1238" s="17"/>
      <c r="L1238" s="18"/>
      <c r="M1238" s="3"/>
      <c r="O1238"/>
      <c r="P1238" s="3"/>
      <c r="Q1238" s="4"/>
      <c r="R1238" s="19"/>
      <c r="S1238" s="20"/>
      <c r="T1238" s="3"/>
      <c r="U1238" s="3" t="str">
        <f t="shared" si="42"/>
        <v/>
      </c>
      <c r="V1238" s="4" t="str">
        <f t="shared" si="43"/>
        <v/>
      </c>
      <c r="W1238" s="21" t="e" cm="1">
        <f t="array" ref="W1238">_xlfn.IFS(
  A1238="BELL", "WHITE",
  A1238="GAMP", "ORANGE",
  A1238="GAMM", "GREEN",
  A1238="BWF", "YELLOW",
  OR(A1238="TNBE", A1238="TNBL", A1238="TNBD", A1238="TNWC", A1238="TNBW", A1238="THBS"), "PINK",
  A1238="CRWD", "BLUE",
  A1238="PASS", "WHITE"
)</f>
        <v>#N/A</v>
      </c>
    </row>
    <row r="1239" spans="1:23" x14ac:dyDescent="0.25">
      <c r="A1239" s="7"/>
      <c r="B1239" s="7"/>
      <c r="C1239" s="41"/>
      <c r="D1239" s="27"/>
      <c r="E1239" s="1"/>
      <c r="G1239" s="3"/>
      <c r="H1239" s="2"/>
      <c r="I1239" s="3"/>
      <c r="J1239" s="17"/>
      <c r="K1239" s="17"/>
      <c r="L1239" s="18"/>
      <c r="M1239" s="3"/>
      <c r="O1239"/>
      <c r="P1239" s="3"/>
      <c r="Q1239" s="4"/>
      <c r="R1239" s="19"/>
      <c r="S1239" s="20"/>
      <c r="T1239" s="3"/>
      <c r="U1239" s="3" t="str">
        <f t="shared" si="42"/>
        <v/>
      </c>
      <c r="V1239" s="4" t="str">
        <f t="shared" si="43"/>
        <v/>
      </c>
      <c r="W1239" s="21" t="e" cm="1">
        <f t="array" ref="W1239">_xlfn.IFS(
  A1239="BELL", "WHITE",
  A1239="GAMP", "ORANGE",
  A1239="GAMM", "GREEN",
  A1239="BWF", "YELLOW",
  OR(A1239="TNBE", A1239="TNBL", A1239="TNBD", A1239="TNWC", A1239="TNBW", A1239="THBS"), "PINK",
  A1239="CRWD", "BLUE",
  A1239="PASS", "WHITE"
)</f>
        <v>#N/A</v>
      </c>
    </row>
    <row r="1240" spans="1:23" x14ac:dyDescent="0.25">
      <c r="A1240" s="7"/>
      <c r="B1240" s="7"/>
      <c r="C1240" s="41"/>
      <c r="D1240" s="27"/>
      <c r="E1240" s="1"/>
      <c r="G1240" s="3"/>
      <c r="H1240" s="2"/>
      <c r="I1240" s="3"/>
      <c r="J1240" s="17"/>
      <c r="K1240" s="17"/>
      <c r="L1240" s="18"/>
      <c r="M1240" s="3"/>
      <c r="O1240"/>
      <c r="P1240" s="3"/>
      <c r="Q1240" s="4"/>
      <c r="R1240" s="19"/>
      <c r="S1240" s="20"/>
      <c r="T1240" s="3"/>
      <c r="U1240" s="3" t="str">
        <f t="shared" si="42"/>
        <v/>
      </c>
      <c r="V1240" s="4" t="str">
        <f t="shared" si="43"/>
        <v/>
      </c>
      <c r="W1240" s="21" t="e" cm="1">
        <f t="array" ref="W1240">_xlfn.IFS(
  A1240="BELL", "WHITE",
  A1240="GAMP", "ORANGE",
  A1240="GAMM", "GREEN",
  A1240="BWF", "YELLOW",
  OR(A1240="TNBE", A1240="TNBL", A1240="TNBD", A1240="TNWC", A1240="TNBW", A1240="THBS"), "PINK",
  A1240="CRWD", "BLUE",
  A1240="PASS", "WHITE"
)</f>
        <v>#N/A</v>
      </c>
    </row>
    <row r="1241" spans="1:23" x14ac:dyDescent="0.25">
      <c r="A1241" s="7"/>
      <c r="B1241" s="7"/>
      <c r="C1241" s="41"/>
      <c r="D1241" s="27"/>
      <c r="E1241" s="1"/>
      <c r="G1241" s="3"/>
      <c r="H1241" s="2"/>
      <c r="I1241" s="3"/>
      <c r="J1241" s="17"/>
      <c r="K1241" s="17"/>
      <c r="L1241" s="18"/>
      <c r="M1241" s="3"/>
      <c r="O1241"/>
      <c r="P1241" s="3"/>
      <c r="Q1241" s="4"/>
      <c r="R1241" s="19"/>
      <c r="S1241" s="20"/>
      <c r="T1241" s="3"/>
      <c r="U1241" s="3" t="str">
        <f t="shared" si="42"/>
        <v/>
      </c>
      <c r="V1241" s="4" t="str">
        <f t="shared" si="43"/>
        <v/>
      </c>
      <c r="W1241" s="21" t="e" cm="1">
        <f t="array" ref="W1241">_xlfn.IFS(
  A1241="BELL", "WHITE",
  A1241="GAMP", "ORANGE",
  A1241="GAMM", "GREEN",
  A1241="BWF", "YELLOW",
  OR(A1241="TNBE", A1241="TNBL", A1241="TNBD", A1241="TNWC", A1241="TNBW", A1241="THBS"), "PINK",
  A1241="CRWD", "BLUE",
  A1241="PASS", "WHITE"
)</f>
        <v>#N/A</v>
      </c>
    </row>
    <row r="1242" spans="1:23" x14ac:dyDescent="0.25">
      <c r="A1242" s="7"/>
      <c r="B1242" s="7"/>
      <c r="C1242" s="41"/>
      <c r="D1242" s="27"/>
      <c r="E1242" s="1"/>
      <c r="G1242" s="3"/>
      <c r="H1242" s="2"/>
      <c r="I1242" s="3"/>
      <c r="J1242" s="17"/>
      <c r="K1242" s="17"/>
      <c r="L1242" s="18"/>
      <c r="M1242" s="3"/>
      <c r="O1242"/>
      <c r="P1242" s="3"/>
      <c r="Q1242" s="4"/>
      <c r="R1242" s="19"/>
      <c r="S1242" s="20"/>
      <c r="T1242" s="3"/>
      <c r="U1242" s="3" t="str">
        <f t="shared" si="42"/>
        <v/>
      </c>
      <c r="V1242" s="4" t="str">
        <f t="shared" si="43"/>
        <v/>
      </c>
      <c r="W1242" s="21" t="e" cm="1">
        <f t="array" ref="W1242">_xlfn.IFS(
  A1242="BELL", "WHITE",
  A1242="GAMP", "ORANGE",
  A1242="GAMM", "GREEN",
  A1242="BWF", "YELLOW",
  OR(A1242="TNBE", A1242="TNBL", A1242="TNBD", A1242="TNWC", A1242="TNBW", A1242="THBS"), "PINK",
  A1242="CRWD", "BLUE",
  A1242="PASS", "WHITE"
)</f>
        <v>#N/A</v>
      </c>
    </row>
    <row r="1243" spans="1:23" x14ac:dyDescent="0.25">
      <c r="A1243" s="7"/>
      <c r="B1243" s="7"/>
      <c r="C1243" s="41"/>
      <c r="D1243" s="27"/>
      <c r="E1243" s="1"/>
      <c r="G1243" s="3"/>
      <c r="H1243" s="2"/>
      <c r="I1243" s="3"/>
      <c r="J1243" s="17"/>
      <c r="K1243" s="17"/>
      <c r="L1243" s="18"/>
      <c r="M1243" s="3"/>
      <c r="O1243"/>
      <c r="P1243" s="3"/>
      <c r="Q1243" s="4"/>
      <c r="R1243" s="19"/>
      <c r="S1243" s="20"/>
      <c r="T1243" s="3"/>
      <c r="U1243" s="3" t="str">
        <f t="shared" si="42"/>
        <v/>
      </c>
      <c r="V1243" s="4" t="str">
        <f t="shared" si="43"/>
        <v/>
      </c>
      <c r="W1243" s="21" t="e" cm="1">
        <f t="array" ref="W1243">_xlfn.IFS(
  A1243="BELL", "WHITE",
  A1243="GAMP", "ORANGE",
  A1243="GAMM", "GREEN",
  A1243="BWF", "YELLOW",
  OR(A1243="TNBE", A1243="TNBL", A1243="TNBD", A1243="TNWC", A1243="TNBW", A1243="THBS"), "PINK",
  A1243="CRWD", "BLUE",
  A1243="PASS", "WHITE"
)</f>
        <v>#N/A</v>
      </c>
    </row>
    <row r="1244" spans="1:23" x14ac:dyDescent="0.25">
      <c r="A1244" s="7"/>
      <c r="B1244" s="7"/>
      <c r="C1244" s="41"/>
      <c r="D1244" s="27"/>
      <c r="E1244" s="1"/>
      <c r="G1244" s="3"/>
      <c r="H1244" s="2"/>
      <c r="I1244" s="3"/>
      <c r="J1244" s="17"/>
      <c r="K1244" s="17"/>
      <c r="L1244" s="18"/>
      <c r="M1244" s="3"/>
      <c r="O1244"/>
      <c r="P1244" s="3"/>
      <c r="Q1244" s="4"/>
      <c r="R1244" s="19"/>
      <c r="S1244" s="20"/>
      <c r="T1244" s="3"/>
      <c r="U1244" s="3" t="str">
        <f t="shared" si="42"/>
        <v/>
      </c>
      <c r="V1244" s="4" t="str">
        <f t="shared" si="43"/>
        <v/>
      </c>
      <c r="W1244" s="21" t="e" cm="1">
        <f t="array" ref="W1244">_xlfn.IFS(
  A1244="BELL", "WHITE",
  A1244="GAMP", "ORANGE",
  A1244="GAMM", "GREEN",
  A1244="BWF", "YELLOW",
  OR(A1244="TNBE", A1244="TNBL", A1244="TNBD", A1244="TNWC", A1244="TNBW", A1244="THBS"), "PINK",
  A1244="CRWD", "BLUE",
  A1244="PASS", "WHITE"
)</f>
        <v>#N/A</v>
      </c>
    </row>
    <row r="1245" spans="1:23" x14ac:dyDescent="0.25">
      <c r="A1245" s="7"/>
      <c r="B1245" s="7"/>
      <c r="C1245" s="41"/>
      <c r="D1245" s="27"/>
      <c r="E1245" s="1"/>
      <c r="G1245" s="3"/>
      <c r="H1245" s="2"/>
      <c r="I1245" s="3"/>
      <c r="J1245" s="17"/>
      <c r="K1245" s="17"/>
      <c r="L1245" s="18"/>
      <c r="M1245" s="3"/>
      <c r="O1245"/>
      <c r="P1245" s="3"/>
      <c r="Q1245" s="4"/>
      <c r="R1245" s="19"/>
      <c r="S1245" s="20"/>
      <c r="T1245" s="3"/>
      <c r="U1245" s="3" t="str">
        <f t="shared" si="42"/>
        <v/>
      </c>
      <c r="V1245" s="4" t="str">
        <f t="shared" si="43"/>
        <v/>
      </c>
      <c r="W1245" s="21" t="e" cm="1">
        <f t="array" ref="W1245">_xlfn.IFS(
  A1245="BELL", "WHITE",
  A1245="GAMP", "ORANGE",
  A1245="GAMM", "GREEN",
  A1245="BWF", "YELLOW",
  OR(A1245="TNBE", A1245="TNBL", A1245="TNBD", A1245="TNWC", A1245="TNBW", A1245="THBS"), "PINK",
  A1245="CRWD", "BLUE",
  A1245="PASS", "WHITE"
)</f>
        <v>#N/A</v>
      </c>
    </row>
    <row r="1246" spans="1:23" x14ac:dyDescent="0.25">
      <c r="A1246" s="7"/>
      <c r="B1246" s="7"/>
      <c r="C1246" s="41"/>
      <c r="D1246" s="27"/>
      <c r="E1246" s="1"/>
      <c r="G1246" s="3"/>
      <c r="H1246" s="2"/>
      <c r="I1246" s="3"/>
      <c r="J1246" s="17"/>
      <c r="K1246" s="17"/>
      <c r="L1246" s="18"/>
      <c r="M1246" s="3"/>
      <c r="O1246"/>
      <c r="P1246" s="3"/>
      <c r="Q1246" s="4"/>
      <c r="R1246" s="19"/>
      <c r="S1246" s="20"/>
      <c r="T1246" s="3"/>
      <c r="U1246" s="3" t="str">
        <f t="shared" si="42"/>
        <v/>
      </c>
      <c r="V1246" s="4" t="str">
        <f t="shared" si="43"/>
        <v/>
      </c>
      <c r="W1246" s="21" t="e" cm="1">
        <f t="array" ref="W1246">_xlfn.IFS(
  A1246="BELL", "WHITE",
  A1246="GAMP", "ORANGE",
  A1246="GAMM", "GREEN",
  A1246="BWF", "YELLOW",
  OR(A1246="TNBE", A1246="TNBL", A1246="TNBD", A1246="TNWC", A1246="TNBW", A1246="THBS"), "PINK",
  A1246="CRWD", "BLUE",
  A1246="PASS", "WHITE"
)</f>
        <v>#N/A</v>
      </c>
    </row>
    <row r="1247" spans="1:23" x14ac:dyDescent="0.25">
      <c r="A1247" s="7"/>
      <c r="B1247" s="42"/>
      <c r="C1247" s="41"/>
      <c r="D1247" s="40"/>
      <c r="E1247" s="45"/>
      <c r="G1247" s="3"/>
      <c r="H1247" s="2"/>
      <c r="I1247" s="3"/>
      <c r="J1247" s="17"/>
      <c r="K1247" s="17"/>
      <c r="L1247" s="18"/>
      <c r="M1247" s="3"/>
      <c r="O1247"/>
      <c r="P1247" s="3"/>
      <c r="Q1247" s="4"/>
      <c r="R1247" s="19"/>
      <c r="S1247" s="20"/>
      <c r="T1247" s="3"/>
      <c r="U1247" s="3" t="str">
        <f t="shared" si="42"/>
        <v/>
      </c>
      <c r="V1247" s="4" t="str">
        <f t="shared" si="43"/>
        <v/>
      </c>
      <c r="W1247" s="21" t="e" cm="1">
        <f t="array" ref="W1247">_xlfn.IFS(
  A1247="BELL", "WHITE",
  A1247="GAMP", "ORANGE",
  A1247="GAMM", "GREEN",
  A1247="BWF", "YELLOW",
  OR(A1247="TNBE", A1247="TNBL", A1247="TNBD", A1247="TNWC", A1247="TNBW", A1247="THBS"), "PINK",
  A1247="CRWD", "BLUE",
  A1247="PASS", "WHITE"
)</f>
        <v>#N/A</v>
      </c>
    </row>
    <row r="1248" spans="1:23" x14ac:dyDescent="0.25">
      <c r="A1248" s="7"/>
      <c r="B1248" s="7"/>
      <c r="C1248" s="41"/>
      <c r="E1248" s="29"/>
      <c r="I1248" s="3"/>
      <c r="J1248" s="17"/>
      <c r="K1248" s="17"/>
      <c r="L1248" s="18"/>
      <c r="M1248" s="3"/>
      <c r="P1248" s="3"/>
      <c r="Q1248" s="4"/>
      <c r="R1248" s="19"/>
      <c r="S1248" s="20"/>
      <c r="U1248" s="3" t="str">
        <f t="shared" si="42"/>
        <v/>
      </c>
      <c r="V1248" s="4" t="str">
        <f t="shared" si="43"/>
        <v/>
      </c>
      <c r="W1248" s="21" t="e" cm="1">
        <f t="array" ref="W1248">_xlfn.IFS(
  A1248="BELL", "WHITE",
  A1248="GAMP", "ORANGE",
  A1248="GAMM", "GREEN",
  A1248="BWF", "YELLOW",
  OR(A1248="TNBE", A1248="TNBL", A1248="TNBD", A1248="TNWC", A1248="TNBW", A1248="THBS"), "PINK",
  A1248="CRWD", "BLUE",
  A1248="PASS", "WHITE"
)</f>
        <v>#N/A</v>
      </c>
    </row>
    <row r="1249" spans="1:23" x14ac:dyDescent="0.25">
      <c r="A1249" s="7"/>
      <c r="B1249" s="7"/>
      <c r="C1249" s="41"/>
      <c r="E1249" s="29"/>
      <c r="I1249" s="3"/>
      <c r="J1249" s="17"/>
      <c r="K1249" s="17"/>
      <c r="L1249" s="18"/>
      <c r="M1249" s="3"/>
      <c r="P1249" s="3"/>
      <c r="Q1249" s="4"/>
      <c r="R1249" s="19"/>
      <c r="S1249" s="20"/>
      <c r="U1249" s="3" t="str">
        <f t="shared" si="42"/>
        <v/>
      </c>
      <c r="V1249" s="4" t="str">
        <f t="shared" si="43"/>
        <v/>
      </c>
      <c r="W1249" s="21" t="e" cm="1">
        <f t="array" ref="W1249">_xlfn.IFS(
  A1249="BELL", "WHITE",
  A1249="GAMP", "ORANGE",
  A1249="GAMM", "GREEN",
  A1249="BWF", "YELLOW",
  OR(A1249="TNBE", A1249="TNBL", A1249="TNBD", A1249="TNWC", A1249="TNBW", A1249="THBS"), "PINK",
  A1249="CRWD", "BLUE",
  A1249="PASS", "WHITE"
)</f>
        <v>#N/A</v>
      </c>
    </row>
    <row r="1250" spans="1:23" x14ac:dyDescent="0.25">
      <c r="A1250" s="7"/>
      <c r="B1250" s="7"/>
      <c r="C1250" s="41"/>
      <c r="E1250" s="29"/>
      <c r="I1250" s="3"/>
      <c r="J1250" s="17"/>
      <c r="K1250" s="17"/>
      <c r="L1250" s="18"/>
      <c r="M1250" s="3"/>
      <c r="P1250" s="3"/>
      <c r="Q1250" s="4"/>
      <c r="R1250" s="19"/>
      <c r="S1250" s="20"/>
      <c r="U1250" s="3" t="str">
        <f t="shared" si="42"/>
        <v/>
      </c>
      <c r="V1250" s="4" t="str">
        <f t="shared" si="43"/>
        <v/>
      </c>
      <c r="W1250" s="21" t="e" cm="1">
        <f t="array" ref="W1250">_xlfn.IFS(
  A1250="BELL", "WHITE",
  A1250="GAMP", "ORANGE",
  A1250="GAMM", "GREEN",
  A1250="BWF", "YELLOW",
  OR(A1250="TNBE", A1250="TNBL", A1250="TNBD", A1250="TNWC", A1250="TNBW", A1250="THBS"), "PINK",
  A1250="CRWD", "BLUE",
  A1250="PASS", "WHITE"
)</f>
        <v>#N/A</v>
      </c>
    </row>
    <row r="1251" spans="1:23" x14ac:dyDescent="0.25">
      <c r="A1251" s="7"/>
      <c r="B1251" s="7"/>
      <c r="C1251" s="41"/>
      <c r="E1251" s="29"/>
      <c r="I1251" s="3"/>
      <c r="J1251" s="17"/>
      <c r="K1251" s="17"/>
      <c r="L1251" s="18"/>
      <c r="M1251" s="3"/>
      <c r="P1251" s="3"/>
      <c r="Q1251" s="4"/>
      <c r="R1251" s="19"/>
      <c r="S1251" s="20"/>
      <c r="U1251" s="3" t="str">
        <f t="shared" si="42"/>
        <v/>
      </c>
      <c r="V1251" s="4" t="str">
        <f t="shared" si="43"/>
        <v/>
      </c>
      <c r="W1251" s="21" t="e" cm="1">
        <f t="array" ref="W1251">_xlfn.IFS(
  A1251="BELL", "WHITE",
  A1251="GAMP", "ORANGE",
  A1251="GAMM", "GREEN",
  A1251="BWF", "YELLOW",
  OR(A1251="TNBE", A1251="TNBL", A1251="TNBD", A1251="TNWC", A1251="TNBW", A1251="THBS"), "PINK",
  A1251="CRWD", "BLUE",
  A1251="PASS", "WHITE"
)</f>
        <v>#N/A</v>
      </c>
    </row>
    <row r="1252" spans="1:23" x14ac:dyDescent="0.25">
      <c r="A1252" s="7"/>
      <c r="B1252" s="7"/>
      <c r="C1252" s="41"/>
      <c r="E1252" s="29"/>
      <c r="I1252" s="3"/>
      <c r="J1252" s="17"/>
      <c r="K1252" s="17"/>
      <c r="L1252" s="18"/>
      <c r="M1252" s="3"/>
      <c r="P1252" s="3"/>
      <c r="Q1252" s="4"/>
      <c r="R1252" s="19"/>
      <c r="S1252" s="20"/>
      <c r="U1252" s="3" t="str">
        <f t="shared" si="42"/>
        <v/>
      </c>
      <c r="V1252" s="4" t="str">
        <f t="shared" si="43"/>
        <v/>
      </c>
      <c r="W1252" s="21" t="e" cm="1">
        <f t="array" ref="W1252">_xlfn.IFS(
  A1252="BELL", "WHITE",
  A1252="GAMP", "ORANGE",
  A1252="GAMM", "GREEN",
  A1252="BWF", "YELLOW",
  OR(A1252="TNBE", A1252="TNBL", A1252="TNBD", A1252="TNWC", A1252="TNBW", A1252="THBS"), "PINK",
  A1252="CRWD", "BLUE",
  A1252="PASS", "WHITE"
)</f>
        <v>#N/A</v>
      </c>
    </row>
    <row r="1253" spans="1:23" x14ac:dyDescent="0.25">
      <c r="A1253" s="7"/>
      <c r="B1253" s="7"/>
      <c r="C1253" s="41"/>
      <c r="E1253" s="29"/>
      <c r="I1253" s="3"/>
      <c r="J1253" s="17"/>
      <c r="K1253" s="17"/>
      <c r="L1253" s="18"/>
      <c r="M1253" s="3"/>
      <c r="P1253" s="3"/>
      <c r="Q1253" s="4"/>
      <c r="R1253" s="19"/>
      <c r="S1253" s="20"/>
      <c r="U1253" s="3" t="str">
        <f t="shared" si="42"/>
        <v/>
      </c>
      <c r="V1253" s="4" t="str">
        <f t="shared" si="43"/>
        <v/>
      </c>
      <c r="W1253" s="21" t="e" cm="1">
        <f t="array" ref="W1253">_xlfn.IFS(
  A1253="BELL", "WHITE",
  A1253="GAMP", "ORANGE",
  A1253="GAMM", "GREEN",
  A1253="BWF", "YELLOW",
  OR(A1253="TNBE", A1253="TNBL", A1253="TNBD", A1253="TNWC", A1253="TNBW", A1253="THBS"), "PINK",
  A1253="CRWD", "BLUE",
  A1253="PASS", "WHITE"
)</f>
        <v>#N/A</v>
      </c>
    </row>
    <row r="1254" spans="1:23" x14ac:dyDescent="0.25">
      <c r="A1254" s="7"/>
      <c r="B1254" s="7"/>
      <c r="C1254" s="41"/>
      <c r="E1254" s="29"/>
      <c r="I1254" s="3"/>
      <c r="J1254" s="17"/>
      <c r="K1254" s="17"/>
      <c r="L1254" s="18"/>
      <c r="M1254" s="3"/>
      <c r="P1254" s="3"/>
      <c r="Q1254" s="4"/>
      <c r="R1254" s="19"/>
      <c r="S1254" s="20"/>
      <c r="U1254" s="3" t="str">
        <f t="shared" si="42"/>
        <v/>
      </c>
      <c r="V1254" s="4" t="str">
        <f t="shared" si="43"/>
        <v/>
      </c>
      <c r="W1254" s="21" t="e" cm="1">
        <f t="array" ref="W1254">_xlfn.IFS(
  A1254="BELL", "WHITE",
  A1254="GAMP", "ORANGE",
  A1254="GAMM", "GREEN",
  A1254="BWF", "YELLOW",
  OR(A1254="TNBE", A1254="TNBL", A1254="TNBD", A1254="TNWC", A1254="TNBW", A1254="THBS"), "PINK",
  A1254="CRWD", "BLUE",
  A1254="PASS", "WHITE"
)</f>
        <v>#N/A</v>
      </c>
    </row>
    <row r="1255" spans="1:23" x14ac:dyDescent="0.25">
      <c r="A1255" s="7"/>
      <c r="B1255" s="7"/>
      <c r="C1255" s="41"/>
      <c r="E1255" s="29"/>
      <c r="I1255" s="3"/>
      <c r="J1255" s="17"/>
      <c r="K1255" s="17"/>
      <c r="L1255" s="18"/>
      <c r="M1255" s="3"/>
      <c r="P1255" s="3"/>
      <c r="Q1255" s="4"/>
      <c r="R1255" s="19"/>
      <c r="S1255" s="20"/>
      <c r="U1255" s="3" t="str">
        <f t="shared" si="42"/>
        <v/>
      </c>
      <c r="V1255" s="4" t="str">
        <f t="shared" si="43"/>
        <v/>
      </c>
      <c r="W1255" s="21" t="e" cm="1">
        <f t="array" ref="W1255">_xlfn.IFS(
  A1255="BELL", "WHITE",
  A1255="GAMP", "ORANGE",
  A1255="GAMM", "GREEN",
  A1255="BWF", "YELLOW",
  OR(A1255="TNBE", A1255="TNBL", A1255="TNBD", A1255="TNWC", A1255="TNBW", A1255="THBS"), "PINK",
  A1255="CRWD", "BLUE",
  A1255="PASS", "WHITE"
)</f>
        <v>#N/A</v>
      </c>
    </row>
    <row r="1256" spans="1:23" x14ac:dyDescent="0.25">
      <c r="A1256" s="7"/>
      <c r="B1256" s="7"/>
      <c r="C1256" s="41"/>
      <c r="E1256" s="29"/>
      <c r="I1256" s="3"/>
      <c r="J1256" s="17"/>
      <c r="K1256" s="17"/>
      <c r="L1256" s="18"/>
      <c r="M1256" s="3"/>
      <c r="P1256" s="3"/>
      <c r="Q1256" s="4"/>
      <c r="R1256" s="19"/>
      <c r="S1256" s="20"/>
      <c r="U1256" s="3" t="str">
        <f t="shared" si="42"/>
        <v/>
      </c>
      <c r="V1256" s="4" t="str">
        <f t="shared" si="43"/>
        <v/>
      </c>
      <c r="W1256" s="21" t="e" cm="1">
        <f t="array" ref="W1256">_xlfn.IFS(
  A1256="BELL", "WHITE",
  A1256="GAMP", "ORANGE",
  A1256="GAMM", "GREEN",
  A1256="BWF", "YELLOW",
  OR(A1256="TNBE", A1256="TNBL", A1256="TNBD", A1256="TNWC", A1256="TNBW", A1256="THBS"), "PINK",
  A1256="CRWD", "BLUE",
  A1256="PASS", "WHITE"
)</f>
        <v>#N/A</v>
      </c>
    </row>
    <row r="1257" spans="1:23" x14ac:dyDescent="0.25">
      <c r="A1257" s="7"/>
      <c r="B1257" s="7"/>
      <c r="C1257" s="41"/>
      <c r="E1257" s="29"/>
      <c r="I1257" s="3"/>
      <c r="J1257" s="17"/>
      <c r="K1257" s="17"/>
      <c r="L1257" s="18"/>
      <c r="M1257" s="3"/>
      <c r="P1257" s="3"/>
      <c r="Q1257" s="4"/>
      <c r="R1257" s="19"/>
      <c r="S1257" s="20"/>
      <c r="U1257" s="3" t="str">
        <f t="shared" si="42"/>
        <v/>
      </c>
      <c r="V1257" s="4" t="str">
        <f t="shared" si="43"/>
        <v/>
      </c>
      <c r="W1257" s="21" t="e" cm="1">
        <f t="array" ref="W1257">_xlfn.IFS(
  A1257="BELL", "WHITE",
  A1257="GAMP", "ORANGE",
  A1257="GAMM", "GREEN",
  A1257="BWF", "YELLOW",
  OR(A1257="TNBE", A1257="TNBL", A1257="TNBD", A1257="TNWC", A1257="TNBW", A1257="THBS"), "PINK",
  A1257="CRWD", "BLUE",
  A1257="PASS", "WHITE"
)</f>
        <v>#N/A</v>
      </c>
    </row>
    <row r="1258" spans="1:23" x14ac:dyDescent="0.25">
      <c r="A1258" s="7"/>
      <c r="B1258" s="7"/>
      <c r="C1258" s="41"/>
      <c r="E1258" s="29"/>
      <c r="I1258" s="3"/>
      <c r="J1258" s="17"/>
      <c r="K1258" s="17"/>
      <c r="L1258" s="18"/>
      <c r="M1258" s="3"/>
      <c r="P1258" s="3"/>
      <c r="Q1258" s="4"/>
      <c r="R1258" s="19"/>
      <c r="S1258" s="20"/>
      <c r="U1258" s="3" t="str">
        <f t="shared" si="42"/>
        <v/>
      </c>
      <c r="V1258" s="4" t="str">
        <f t="shared" si="43"/>
        <v/>
      </c>
      <c r="W1258" s="21" t="e" cm="1">
        <f t="array" ref="W1258">_xlfn.IFS(
  A1258="BELL", "WHITE",
  A1258="GAMP", "ORANGE",
  A1258="GAMM", "GREEN",
  A1258="BWF", "YELLOW",
  OR(A1258="TNBE", A1258="TNBL", A1258="TNBD", A1258="TNWC", A1258="TNBW", A1258="THBS"), "PINK",
  A1258="CRWD", "BLUE",
  A1258="PASS", "WHITE"
)</f>
        <v>#N/A</v>
      </c>
    </row>
    <row r="1259" spans="1:23" x14ac:dyDescent="0.25">
      <c r="A1259" s="7"/>
      <c r="B1259" s="7"/>
      <c r="C1259" s="41"/>
      <c r="E1259" s="29"/>
      <c r="I1259" s="3"/>
      <c r="J1259" s="17"/>
      <c r="K1259" s="17"/>
      <c r="L1259" s="18"/>
      <c r="M1259" s="3"/>
      <c r="P1259" s="3"/>
      <c r="Q1259" s="4"/>
      <c r="R1259" s="19"/>
      <c r="S1259" s="20"/>
      <c r="U1259" s="3" t="str">
        <f t="shared" si="42"/>
        <v/>
      </c>
      <c r="V1259" s="4" t="str">
        <f t="shared" si="43"/>
        <v/>
      </c>
      <c r="W1259" s="21" t="e" cm="1">
        <f t="array" ref="W1259">_xlfn.IFS(
  A1259="BELL", "WHITE",
  A1259="GAMP", "ORANGE",
  A1259="GAMM", "GREEN",
  A1259="BWF", "YELLOW",
  OR(A1259="TNBE", A1259="TNBL", A1259="TNBD", A1259="TNWC", A1259="TNBW", A1259="THBS"), "PINK",
  A1259="CRWD", "BLUE",
  A1259="PASS", "WHITE"
)</f>
        <v>#N/A</v>
      </c>
    </row>
    <row r="1260" spans="1:23" x14ac:dyDescent="0.25">
      <c r="A1260" s="7"/>
      <c r="B1260" s="7"/>
      <c r="C1260" s="41"/>
      <c r="E1260" s="29"/>
      <c r="I1260" s="3"/>
      <c r="J1260" s="17"/>
      <c r="K1260" s="17"/>
      <c r="L1260" s="18"/>
      <c r="M1260" s="3"/>
      <c r="P1260" s="3"/>
      <c r="Q1260" s="4"/>
      <c r="R1260" s="19"/>
      <c r="S1260" s="20"/>
      <c r="U1260" s="3" t="str">
        <f t="shared" si="42"/>
        <v/>
      </c>
      <c r="V1260" s="4" t="str">
        <f t="shared" si="43"/>
        <v/>
      </c>
      <c r="W1260" s="21" t="e" cm="1">
        <f t="array" ref="W1260">_xlfn.IFS(
  A1260="BELL", "WHITE",
  A1260="GAMP", "ORANGE",
  A1260="GAMM", "GREEN",
  A1260="BWF", "YELLOW",
  OR(A1260="TNBE", A1260="TNBL", A1260="TNBD", A1260="TNWC", A1260="TNBW", A1260="THBS"), "PINK",
  A1260="CRWD", "BLUE",
  A1260="PASS", "WHITE"
)</f>
        <v>#N/A</v>
      </c>
    </row>
    <row r="1261" spans="1:23" x14ac:dyDescent="0.25">
      <c r="A1261" s="7"/>
      <c r="B1261" s="7"/>
      <c r="C1261" s="41"/>
      <c r="E1261" s="29"/>
      <c r="I1261" s="3"/>
      <c r="J1261" s="17"/>
      <c r="K1261" s="17"/>
      <c r="L1261" s="18"/>
      <c r="M1261" s="3"/>
      <c r="P1261" s="3"/>
      <c r="Q1261" s="4"/>
      <c r="R1261" s="19"/>
      <c r="S1261" s="20"/>
      <c r="U1261" s="3" t="str">
        <f t="shared" si="42"/>
        <v/>
      </c>
      <c r="V1261" s="4" t="str">
        <f t="shared" si="43"/>
        <v/>
      </c>
      <c r="W1261" s="21" t="e" cm="1">
        <f t="array" ref="W1261">_xlfn.IFS(
  A1261="BELL", "WHITE",
  A1261="GAMP", "ORANGE",
  A1261="GAMM", "GREEN",
  A1261="BWF", "YELLOW",
  OR(A1261="TNBE", A1261="TNBL", A1261="TNBD", A1261="TNWC", A1261="TNBW", A1261="THBS"), "PINK",
  A1261="CRWD", "BLUE",
  A1261="PASS", "WHITE"
)</f>
        <v>#N/A</v>
      </c>
    </row>
    <row r="1262" spans="1:23" x14ac:dyDescent="0.25">
      <c r="A1262" s="7"/>
      <c r="B1262" s="7"/>
      <c r="C1262" s="41"/>
      <c r="E1262" s="29"/>
      <c r="I1262" s="3"/>
      <c r="J1262" s="17"/>
      <c r="K1262" s="17"/>
      <c r="L1262" s="18"/>
      <c r="M1262" s="3"/>
      <c r="P1262" s="3"/>
      <c r="Q1262" s="4"/>
      <c r="R1262" s="19"/>
      <c r="S1262" s="20"/>
      <c r="U1262" s="3" t="str">
        <f t="shared" si="42"/>
        <v/>
      </c>
      <c r="V1262" s="4" t="str">
        <f t="shared" si="43"/>
        <v/>
      </c>
      <c r="W1262" s="21" t="e" cm="1">
        <f t="array" ref="W1262">_xlfn.IFS(
  A1262="BELL", "WHITE",
  A1262="GAMP", "ORANGE",
  A1262="GAMM", "GREEN",
  A1262="BWF", "YELLOW",
  OR(A1262="TNBE", A1262="TNBL", A1262="TNBD", A1262="TNWC", A1262="TNBW", A1262="THBS"), "PINK",
  A1262="CRWD", "BLUE",
  A1262="PASS", "WHITE"
)</f>
        <v>#N/A</v>
      </c>
    </row>
    <row r="1263" spans="1:23" x14ac:dyDescent="0.25">
      <c r="A1263" s="7"/>
      <c r="B1263" s="7"/>
      <c r="C1263" s="41"/>
      <c r="E1263" s="29"/>
      <c r="I1263" s="3"/>
      <c r="J1263" s="17"/>
      <c r="K1263" s="17"/>
      <c r="L1263" s="18"/>
      <c r="M1263" s="3"/>
      <c r="P1263" s="3"/>
      <c r="Q1263" s="4"/>
      <c r="R1263" s="19"/>
      <c r="S1263" s="20"/>
      <c r="U1263" s="3" t="str">
        <f t="shared" si="42"/>
        <v/>
      </c>
      <c r="V1263" s="4" t="str">
        <f t="shared" si="43"/>
        <v/>
      </c>
      <c r="W1263" s="21" t="e" cm="1">
        <f t="array" ref="W1263">_xlfn.IFS(
  A1263="BELL", "WHITE",
  A1263="GAMP", "ORANGE",
  A1263="GAMM", "GREEN",
  A1263="BWF", "YELLOW",
  OR(A1263="TNBE", A1263="TNBL", A1263="TNBD", A1263="TNWC", A1263="TNBW", A1263="THBS"), "PINK",
  A1263="CRWD", "BLUE",
  A1263="PASS", "WHITE"
)</f>
        <v>#N/A</v>
      </c>
    </row>
    <row r="1264" spans="1:23" x14ac:dyDescent="0.25">
      <c r="A1264" s="7"/>
      <c r="B1264" s="7"/>
      <c r="C1264" s="41"/>
      <c r="E1264" s="29"/>
      <c r="I1264" s="3"/>
      <c r="J1264" s="17"/>
      <c r="K1264" s="17"/>
      <c r="L1264" s="18"/>
      <c r="M1264" s="3"/>
      <c r="P1264" s="3"/>
      <c r="Q1264" s="4"/>
      <c r="R1264" s="19"/>
      <c r="S1264" s="20"/>
      <c r="U1264" s="3" t="str">
        <f t="shared" si="42"/>
        <v/>
      </c>
      <c r="V1264" s="4" t="str">
        <f t="shared" si="43"/>
        <v/>
      </c>
      <c r="W1264" s="21" t="e" cm="1">
        <f t="array" ref="W1264">_xlfn.IFS(
  A1264="BELL", "WHITE",
  A1264="GAMP", "ORANGE",
  A1264="GAMM", "GREEN",
  A1264="BWF", "YELLOW",
  OR(A1264="TNBE", A1264="TNBL", A1264="TNBD", A1264="TNWC", A1264="TNBW", A1264="THBS"), "PINK",
  A1264="CRWD", "BLUE",
  A1264="PASS", "WHITE"
)</f>
        <v>#N/A</v>
      </c>
    </row>
    <row r="1265" spans="1:23" x14ac:dyDescent="0.25">
      <c r="A1265" s="7"/>
      <c r="B1265" s="7"/>
      <c r="C1265" s="41"/>
      <c r="E1265" s="29"/>
      <c r="I1265" s="3"/>
      <c r="J1265" s="17"/>
      <c r="K1265" s="17"/>
      <c r="L1265" s="18"/>
      <c r="M1265" s="3"/>
      <c r="P1265" s="3"/>
      <c r="Q1265" s="4"/>
      <c r="R1265" s="19"/>
      <c r="S1265" s="20"/>
      <c r="U1265" s="3" t="str">
        <f t="shared" si="42"/>
        <v/>
      </c>
      <c r="V1265" s="4" t="str">
        <f t="shared" si="43"/>
        <v/>
      </c>
      <c r="W1265" s="21" t="e" cm="1">
        <f t="array" ref="W1265">_xlfn.IFS(
  A1265="BELL", "WHITE",
  A1265="GAMP", "ORANGE",
  A1265="GAMM", "GREEN",
  A1265="BWF", "YELLOW",
  OR(A1265="TNBE", A1265="TNBL", A1265="TNBD", A1265="TNWC", A1265="TNBW", A1265="THBS"), "PINK",
  A1265="CRWD", "BLUE",
  A1265="PASS", "WHITE"
)</f>
        <v>#N/A</v>
      </c>
    </row>
    <row r="1266" spans="1:23" x14ac:dyDescent="0.25">
      <c r="A1266" s="7"/>
      <c r="B1266" s="7"/>
      <c r="C1266" s="41"/>
      <c r="E1266" s="29"/>
      <c r="I1266" s="3"/>
      <c r="J1266" s="17"/>
      <c r="K1266" s="17"/>
      <c r="L1266" s="18"/>
      <c r="M1266" s="3"/>
      <c r="P1266" s="3"/>
      <c r="Q1266" s="4"/>
      <c r="R1266" s="19"/>
      <c r="S1266" s="20"/>
      <c r="U1266" s="3" t="str">
        <f t="shared" si="42"/>
        <v/>
      </c>
      <c r="V1266" s="4" t="str">
        <f t="shared" si="43"/>
        <v/>
      </c>
      <c r="W1266" s="21" t="e" cm="1">
        <f t="array" ref="W1266">_xlfn.IFS(
  A1266="BELL", "WHITE",
  A1266="GAMP", "ORANGE",
  A1266="GAMM", "GREEN",
  A1266="BWF", "YELLOW",
  OR(A1266="TNBE", A1266="TNBL", A1266="TNBD", A1266="TNWC", A1266="TNBW", A1266="THBS"), "PINK",
  A1266="CRWD", "BLUE",
  A1266="PASS", "WHITE"
)</f>
        <v>#N/A</v>
      </c>
    </row>
    <row r="1267" spans="1:23" x14ac:dyDescent="0.25">
      <c r="A1267" s="7"/>
      <c r="B1267" s="7"/>
      <c r="C1267" s="41"/>
      <c r="E1267" s="29"/>
      <c r="I1267" s="3"/>
      <c r="J1267" s="17"/>
      <c r="K1267" s="17"/>
      <c r="L1267" s="18"/>
      <c r="M1267" s="3"/>
      <c r="P1267" s="3"/>
      <c r="Q1267" s="4"/>
      <c r="R1267" s="19"/>
      <c r="S1267" s="20"/>
      <c r="U1267" s="3" t="str">
        <f t="shared" si="42"/>
        <v/>
      </c>
      <c r="V1267" s="4" t="str">
        <f t="shared" si="43"/>
        <v/>
      </c>
      <c r="W1267" s="21" t="e" cm="1">
        <f t="array" ref="W1267">_xlfn.IFS(
  A1267="BELL", "WHITE",
  A1267="GAMP", "ORANGE",
  A1267="GAMM", "GREEN",
  A1267="BWF", "YELLOW",
  OR(A1267="TNBE", A1267="TNBL", A1267="TNBD", A1267="TNWC", A1267="TNBW", A1267="THBS"), "PINK",
  A1267="CRWD", "BLUE",
  A1267="PASS", "WHITE"
)</f>
        <v>#N/A</v>
      </c>
    </row>
    <row r="1268" spans="1:23" x14ac:dyDescent="0.25">
      <c r="A1268" s="7"/>
      <c r="B1268" s="7"/>
      <c r="C1268" s="41"/>
      <c r="E1268" s="29"/>
      <c r="I1268" s="3"/>
      <c r="J1268" s="17"/>
      <c r="K1268" s="17"/>
      <c r="L1268" s="18"/>
      <c r="M1268" s="3"/>
      <c r="P1268" s="3"/>
      <c r="Q1268" s="4"/>
      <c r="R1268" s="19"/>
      <c r="S1268" s="20"/>
      <c r="U1268" s="3" t="str">
        <f t="shared" si="42"/>
        <v/>
      </c>
      <c r="V1268" s="4" t="str">
        <f t="shared" si="43"/>
        <v/>
      </c>
      <c r="W1268" s="21" t="e" cm="1">
        <f t="array" ref="W1268">_xlfn.IFS(
  A1268="BELL", "WHITE",
  A1268="GAMP", "ORANGE",
  A1268="GAMM", "GREEN",
  A1268="BWF", "YELLOW",
  OR(A1268="TNBE", A1268="TNBL", A1268="TNBD", A1268="TNWC", A1268="TNBW", A1268="THBS"), "PINK",
  A1268="CRWD", "BLUE",
  A1268="PASS", "WHITE"
)</f>
        <v>#N/A</v>
      </c>
    </row>
    <row r="1269" spans="1:23" x14ac:dyDescent="0.25">
      <c r="A1269" s="7"/>
      <c r="B1269" s="7"/>
      <c r="C1269" s="41"/>
      <c r="E1269" s="29"/>
      <c r="I1269" s="3"/>
      <c r="J1269" s="17"/>
      <c r="K1269" s="17"/>
      <c r="L1269" s="18"/>
      <c r="M1269" s="3"/>
      <c r="P1269" s="3"/>
      <c r="Q1269" s="4"/>
      <c r="R1269" s="19"/>
      <c r="S1269" s="20"/>
      <c r="U1269" s="3" t="str">
        <f t="shared" si="42"/>
        <v/>
      </c>
      <c r="V1269" s="4" t="str">
        <f t="shared" si="43"/>
        <v/>
      </c>
      <c r="W1269" s="21" t="e" cm="1">
        <f t="array" ref="W1269">_xlfn.IFS(
  A1269="BELL", "WHITE",
  A1269="GAMP", "ORANGE",
  A1269="GAMM", "GREEN",
  A1269="BWF", "YELLOW",
  OR(A1269="TNBE", A1269="TNBL", A1269="TNBD", A1269="TNWC", A1269="TNBW", A1269="THBS"), "PINK",
  A1269="CRWD", "BLUE",
  A1269="PASS", "WHITE"
)</f>
        <v>#N/A</v>
      </c>
    </row>
    <row r="1270" spans="1:23" x14ac:dyDescent="0.25">
      <c r="A1270" s="7"/>
      <c r="B1270" s="7"/>
      <c r="C1270" s="41"/>
      <c r="E1270" s="29"/>
      <c r="I1270" s="3"/>
      <c r="J1270" s="17"/>
      <c r="K1270" s="17"/>
      <c r="L1270" s="18"/>
      <c r="M1270" s="3"/>
      <c r="P1270" s="3"/>
      <c r="Q1270" s="4"/>
      <c r="R1270" s="19"/>
      <c r="S1270" s="20"/>
      <c r="U1270" s="3" t="str">
        <f t="shared" si="42"/>
        <v/>
      </c>
      <c r="V1270" s="4" t="str">
        <f t="shared" si="43"/>
        <v/>
      </c>
      <c r="W1270" s="21" t="e" cm="1">
        <f t="array" ref="W1270">_xlfn.IFS(
  A1270="BELL", "WHITE",
  A1270="GAMP", "ORANGE",
  A1270="GAMM", "GREEN",
  A1270="BWF", "YELLOW",
  OR(A1270="TNBE", A1270="TNBL", A1270="TNBD", A1270="TNWC", A1270="TNBW", A1270="THBS"), "PINK",
  A1270="CRWD", "BLUE",
  A1270="PASS", "WHITE"
)</f>
        <v>#N/A</v>
      </c>
    </row>
    <row r="1271" spans="1:23" x14ac:dyDescent="0.25">
      <c r="A1271" s="7"/>
      <c r="B1271" s="7"/>
      <c r="C1271" s="41"/>
      <c r="E1271" s="29"/>
      <c r="I1271" s="3"/>
      <c r="J1271" s="17"/>
      <c r="K1271" s="17"/>
      <c r="L1271" s="18"/>
      <c r="M1271" s="3"/>
      <c r="P1271" s="3"/>
      <c r="Q1271" s="4"/>
      <c r="R1271" s="19"/>
      <c r="S1271" s="20"/>
      <c r="U1271" s="3" t="str">
        <f t="shared" si="42"/>
        <v/>
      </c>
      <c r="V1271" s="4" t="str">
        <f t="shared" si="43"/>
        <v/>
      </c>
      <c r="W1271" s="21" t="e" cm="1">
        <f t="array" ref="W1271">_xlfn.IFS(
  A1271="BELL", "WHITE",
  A1271="GAMP", "ORANGE",
  A1271="GAMM", "GREEN",
  A1271="BWF", "YELLOW",
  OR(A1271="TNBE", A1271="TNBL", A1271="TNBD", A1271="TNWC", A1271="TNBW", A1271="THBS"), "PINK",
  A1271="CRWD", "BLUE",
  A1271="PASS", "WHITE"
)</f>
        <v>#N/A</v>
      </c>
    </row>
    <row r="1272" spans="1:23" x14ac:dyDescent="0.25">
      <c r="A1272" s="7"/>
      <c r="B1272" s="7"/>
      <c r="C1272" s="41"/>
      <c r="E1272" s="29"/>
      <c r="I1272" s="3"/>
      <c r="J1272" s="17"/>
      <c r="K1272" s="17"/>
      <c r="L1272" s="18"/>
      <c r="M1272" s="3"/>
      <c r="P1272" s="3"/>
      <c r="Q1272" s="4"/>
      <c r="R1272" s="19"/>
      <c r="S1272" s="20"/>
      <c r="U1272" s="3" t="str">
        <f t="shared" si="42"/>
        <v/>
      </c>
      <c r="V1272" s="4" t="str">
        <f t="shared" si="43"/>
        <v/>
      </c>
      <c r="W1272" s="21" t="e" cm="1">
        <f t="array" ref="W1272">_xlfn.IFS(
  A1272="BELL", "WHITE",
  A1272="GAMP", "ORANGE",
  A1272="GAMM", "GREEN",
  A1272="BWF", "YELLOW",
  OR(A1272="TNBE", A1272="TNBL", A1272="TNBD", A1272="TNWC", A1272="TNBW", A1272="THBS"), "PINK",
  A1272="CRWD", "BLUE",
  A1272="PASS", "WHITE"
)</f>
        <v>#N/A</v>
      </c>
    </row>
    <row r="1273" spans="1:23" x14ac:dyDescent="0.25">
      <c r="A1273" s="7"/>
      <c r="B1273" s="7"/>
      <c r="C1273" s="41"/>
      <c r="E1273" s="29"/>
      <c r="I1273" s="3"/>
      <c r="J1273" s="17"/>
      <c r="K1273" s="17"/>
      <c r="L1273" s="18"/>
      <c r="M1273" s="3"/>
      <c r="P1273" s="3"/>
      <c r="Q1273" s="4"/>
      <c r="R1273" s="19"/>
      <c r="S1273" s="20"/>
      <c r="U1273" s="3" t="str">
        <f t="shared" si="42"/>
        <v/>
      </c>
      <c r="V1273" s="4" t="str">
        <f t="shared" si="43"/>
        <v/>
      </c>
      <c r="W1273" s="21" t="e" cm="1">
        <f t="array" ref="W1273">_xlfn.IFS(
  A1273="BELL", "WHITE",
  A1273="GAMP", "ORANGE",
  A1273="GAMM", "GREEN",
  A1273="BWF", "YELLOW",
  OR(A1273="TNBE", A1273="TNBL", A1273="TNBD", A1273="TNWC", A1273="TNBW", A1273="THBS"), "PINK",
  A1273="CRWD", "BLUE",
  A1273="PASS", "WHITE"
)</f>
        <v>#N/A</v>
      </c>
    </row>
    <row r="1274" spans="1:23" x14ac:dyDescent="0.25">
      <c r="A1274" s="7"/>
      <c r="B1274" s="7"/>
      <c r="C1274" s="41"/>
      <c r="E1274" s="29"/>
      <c r="I1274" s="3"/>
      <c r="J1274" s="17"/>
      <c r="K1274" s="17"/>
      <c r="L1274" s="18"/>
      <c r="M1274" s="3"/>
      <c r="P1274" s="3"/>
      <c r="Q1274" s="4"/>
      <c r="R1274" s="19"/>
      <c r="S1274" s="20"/>
      <c r="U1274" s="3" t="str">
        <f t="shared" si="42"/>
        <v/>
      </c>
      <c r="V1274" s="4" t="str">
        <f t="shared" si="43"/>
        <v/>
      </c>
      <c r="W1274" s="21" t="e" cm="1">
        <f t="array" ref="W1274">_xlfn.IFS(
  A1274="BELL", "WHITE",
  A1274="GAMP", "ORANGE",
  A1274="GAMM", "GREEN",
  A1274="BWF", "YELLOW",
  OR(A1274="TNBE", A1274="TNBL", A1274="TNBD", A1274="TNWC", A1274="TNBW", A1274="THBS"), "PINK",
  A1274="CRWD", "BLUE",
  A1274="PASS", "WHITE"
)</f>
        <v>#N/A</v>
      </c>
    </row>
    <row r="1275" spans="1:23" x14ac:dyDescent="0.25">
      <c r="A1275" s="7"/>
      <c r="B1275" s="7"/>
      <c r="C1275" s="41"/>
      <c r="H1275" s="2"/>
      <c r="I1275" s="3"/>
      <c r="J1275" s="17"/>
      <c r="K1275" s="17"/>
      <c r="L1275" s="18"/>
      <c r="M1275" s="18"/>
      <c r="P1275" s="3"/>
      <c r="Q1275" s="4"/>
      <c r="R1275" s="19"/>
      <c r="S1275" s="20"/>
      <c r="U1275" s="3" t="str">
        <f t="shared" si="42"/>
        <v/>
      </c>
      <c r="V1275" s="4" t="str">
        <f t="shared" si="43"/>
        <v/>
      </c>
      <c r="W1275" s="21" t="e" cm="1">
        <f t="array" ref="W1275">_xlfn.IFS(
  A1275="BELL", "WHITE",
  A1275="GAMP", "ORANGE",
  A1275="GAMM", "GREEN",
  A1275="BWF", "YELLOW",
  OR(A1275="TNBE", A1275="TNBL", A1275="TNBD", A1275="TNWC", A1275="TNBW", A1275="THBS"), "PINK",
  A1275="CRWD", "BLUE",
  A1275="PASS", "WHITE"
)</f>
        <v>#N/A</v>
      </c>
    </row>
    <row r="1276" spans="1:23" x14ac:dyDescent="0.25">
      <c r="A1276" s="7"/>
      <c r="B1276" s="7"/>
      <c r="C1276" s="41"/>
      <c r="H1276" s="2"/>
      <c r="I1276" s="3"/>
      <c r="J1276" s="17"/>
      <c r="K1276" s="17"/>
      <c r="L1276" s="18"/>
      <c r="M1276" s="3"/>
      <c r="P1276" s="3"/>
      <c r="Q1276" s="4"/>
      <c r="R1276" s="19"/>
      <c r="S1276" s="20"/>
      <c r="U1276" s="3" t="str">
        <f t="shared" si="42"/>
        <v/>
      </c>
      <c r="V1276" s="4" t="str">
        <f t="shared" si="43"/>
        <v/>
      </c>
      <c r="W1276" s="21" t="e" cm="1">
        <f t="array" ref="W1276">_xlfn.IFS(
  A1276="BELL", "WHITE",
  A1276="GAMP", "ORANGE",
  A1276="GAMM", "GREEN",
  A1276="BWF", "YELLOW",
  OR(A1276="TNBE", A1276="TNBL", A1276="TNBD", A1276="TNWC", A1276="TNBW", A1276="THBS"), "PINK",
  A1276="CRWD", "BLUE",
  A1276="PASS", "WHITE"
)</f>
        <v>#N/A</v>
      </c>
    </row>
    <row r="1277" spans="1:23" x14ac:dyDescent="0.25">
      <c r="A1277" s="7"/>
      <c r="B1277" s="7"/>
      <c r="C1277" s="41"/>
      <c r="E1277" s="29"/>
      <c r="I1277" s="3"/>
      <c r="J1277" s="17"/>
      <c r="K1277" s="17"/>
      <c r="L1277" s="18"/>
      <c r="M1277" s="3"/>
      <c r="P1277" s="3"/>
      <c r="Q1277" s="4"/>
      <c r="R1277" s="19"/>
      <c r="S1277" s="20"/>
      <c r="U1277" s="3" t="str">
        <f t="shared" si="42"/>
        <v/>
      </c>
      <c r="V1277" s="4" t="str">
        <f t="shared" si="43"/>
        <v/>
      </c>
      <c r="W1277" s="21" t="e" cm="1">
        <f t="array" ref="W1277">_xlfn.IFS(
  A1277="BELL", "WHITE",
  A1277="GAMP", "ORANGE",
  A1277="GAMM", "GREEN",
  A1277="BWF", "YELLOW",
  OR(A1277="TNBE", A1277="TNBL", A1277="TNBD", A1277="TNWC", A1277="TNBW", A1277="THBS"), "PINK",
  A1277="CRWD", "BLUE",
  A1277="PASS", "WHITE"
)</f>
        <v>#N/A</v>
      </c>
    </row>
    <row r="1278" spans="1:23" x14ac:dyDescent="0.25">
      <c r="A1278" s="7"/>
      <c r="B1278" s="7"/>
      <c r="C1278" s="41"/>
      <c r="E1278" s="29"/>
      <c r="I1278" s="3"/>
      <c r="J1278" s="17"/>
      <c r="K1278" s="17"/>
      <c r="L1278" s="18"/>
      <c r="M1278" s="3"/>
      <c r="P1278" s="3"/>
      <c r="Q1278" s="4"/>
      <c r="R1278" s="19"/>
      <c r="S1278" s="20"/>
      <c r="U1278" s="3" t="str">
        <f t="shared" si="42"/>
        <v/>
      </c>
      <c r="V1278" s="4" t="str">
        <f t="shared" si="43"/>
        <v/>
      </c>
      <c r="W1278" s="21" t="e" cm="1">
        <f t="array" ref="W1278">_xlfn.IFS(
  A1278="BELL", "WHITE",
  A1278="GAMP", "ORANGE",
  A1278="GAMM", "GREEN",
  A1278="BWF", "YELLOW",
  OR(A1278="TNBE", A1278="TNBL", A1278="TNBD", A1278="TNWC", A1278="TNBW", A1278="THBS"), "PINK",
  A1278="CRWD", "BLUE",
  A1278="PASS", "WHITE"
)</f>
        <v>#N/A</v>
      </c>
    </row>
    <row r="1279" spans="1:23" x14ac:dyDescent="0.25">
      <c r="A1279" s="7"/>
      <c r="B1279" s="7"/>
      <c r="C1279" s="41"/>
      <c r="E1279" s="29"/>
      <c r="I1279" s="3"/>
      <c r="J1279" s="17"/>
      <c r="K1279" s="17"/>
      <c r="L1279" s="18"/>
      <c r="M1279" s="3"/>
      <c r="P1279" s="3"/>
      <c r="Q1279" s="4"/>
      <c r="R1279" s="19"/>
      <c r="S1279" s="20"/>
      <c r="U1279" s="3" t="str">
        <f t="shared" si="42"/>
        <v/>
      </c>
      <c r="V1279" s="4" t="str">
        <f t="shared" si="43"/>
        <v/>
      </c>
      <c r="W1279" s="21" t="e" cm="1">
        <f t="array" ref="W1279">_xlfn.IFS(
  A1279="BELL", "WHITE",
  A1279="GAMP", "ORANGE",
  A1279="GAMM", "GREEN",
  A1279="BWF", "YELLOW",
  OR(A1279="TNBE", A1279="TNBL", A1279="TNBD", A1279="TNWC", A1279="TNBW", A1279="THBS"), "PINK",
  A1279="CRWD", "BLUE",
  A1279="PASS", "WHITE"
)</f>
        <v>#N/A</v>
      </c>
    </row>
    <row r="1280" spans="1:23" x14ac:dyDescent="0.25">
      <c r="A1280" s="7"/>
      <c r="B1280" s="7"/>
      <c r="C1280" s="41"/>
      <c r="E1280" s="29"/>
      <c r="I1280" s="3"/>
      <c r="J1280" s="17"/>
      <c r="K1280" s="17"/>
      <c r="L1280" s="18"/>
      <c r="M1280" s="3"/>
      <c r="P1280" s="3"/>
      <c r="Q1280" s="4"/>
      <c r="R1280" s="19"/>
      <c r="S1280" s="20"/>
      <c r="U1280" s="3" t="str">
        <f t="shared" si="42"/>
        <v/>
      </c>
      <c r="V1280" s="4" t="str">
        <f t="shared" si="43"/>
        <v/>
      </c>
      <c r="W1280" s="21" t="e" cm="1">
        <f t="array" ref="W1280">_xlfn.IFS(
  A1280="BELL", "WHITE",
  A1280="GAMP", "ORANGE",
  A1280="GAMM", "GREEN",
  A1280="BWF", "YELLOW",
  OR(A1280="TNBE", A1280="TNBL", A1280="TNBD", A1280="TNWC", A1280="TNBW", A1280="THBS"), "PINK",
  A1280="CRWD", "BLUE",
  A1280="PASS", "WHITE"
)</f>
        <v>#N/A</v>
      </c>
    </row>
    <row r="1281" spans="1:23" x14ac:dyDescent="0.25">
      <c r="A1281" s="7"/>
      <c r="B1281" s="7"/>
      <c r="C1281" s="41"/>
      <c r="E1281" s="29"/>
      <c r="I1281" s="3"/>
      <c r="J1281" s="17"/>
      <c r="K1281" s="17"/>
      <c r="L1281" s="18"/>
      <c r="M1281" s="18"/>
      <c r="P1281" s="3"/>
      <c r="Q1281" s="4"/>
      <c r="R1281" s="19"/>
      <c r="S1281" s="20"/>
      <c r="U1281" s="3" t="str">
        <f t="shared" si="42"/>
        <v/>
      </c>
      <c r="V1281" s="4" t="str">
        <f t="shared" si="43"/>
        <v/>
      </c>
      <c r="W1281" s="21" t="e" cm="1">
        <f t="array" ref="W1281">_xlfn.IFS(
  A1281="BELL", "WHITE",
  A1281="GAMP", "ORANGE",
  A1281="GAMM", "GREEN",
  A1281="BWF", "YELLOW",
  OR(A1281="TNBE", A1281="TNBL", A1281="TNBD", A1281="TNWC", A1281="TNBW", A1281="THBS"), "PINK",
  A1281="CRWD", "BLUE",
  A1281="PASS", "WHITE"
)</f>
        <v>#N/A</v>
      </c>
    </row>
    <row r="1282" spans="1:23" x14ac:dyDescent="0.25">
      <c r="A1282" s="7"/>
      <c r="B1282" s="7"/>
      <c r="C1282" s="41"/>
      <c r="E1282" s="29"/>
      <c r="I1282" s="3"/>
      <c r="J1282" s="17"/>
      <c r="K1282" s="17"/>
      <c r="L1282" s="18"/>
      <c r="M1282" s="18"/>
      <c r="P1282" s="3"/>
      <c r="Q1282" s="4"/>
      <c r="R1282" s="19"/>
      <c r="S1282" s="20"/>
      <c r="U1282" s="3" t="str">
        <f t="shared" si="42"/>
        <v/>
      </c>
      <c r="V1282" s="4" t="str">
        <f t="shared" si="43"/>
        <v/>
      </c>
      <c r="W1282" s="21" t="e" cm="1">
        <f t="array" ref="W1282">_xlfn.IFS(
  A1282="BELL", "WHITE",
  A1282="GAMP", "ORANGE",
  A1282="GAMM", "GREEN",
  A1282="BWF", "YELLOW",
  OR(A1282="TNBE", A1282="TNBL", A1282="TNBD", A1282="TNWC", A1282="TNBW", A1282="THBS"), "PINK",
  A1282="CRWD", "BLUE",
  A1282="PASS", "WHITE"
)</f>
        <v>#N/A</v>
      </c>
    </row>
    <row r="1283" spans="1:23" x14ac:dyDescent="0.25">
      <c r="A1283" s="7"/>
      <c r="B1283" s="7"/>
      <c r="C1283" s="41"/>
      <c r="E1283" s="29"/>
      <c r="I1283" s="3"/>
      <c r="J1283" s="17"/>
      <c r="K1283" s="17"/>
      <c r="L1283" s="18"/>
      <c r="M1283" s="18"/>
      <c r="P1283" s="3"/>
      <c r="Q1283" s="4"/>
      <c r="R1283" s="19"/>
      <c r="S1283" s="20"/>
      <c r="U1283" s="3" t="str">
        <f t="shared" si="42"/>
        <v/>
      </c>
      <c r="V1283" s="4" t="str">
        <f t="shared" si="43"/>
        <v/>
      </c>
      <c r="W1283" s="21" t="e" cm="1">
        <f t="array" ref="W1283">_xlfn.IFS(
  A1283="BELL", "WHITE",
  A1283="GAMP", "ORANGE",
  A1283="GAMM", "GREEN",
  A1283="BWF", "YELLOW",
  OR(A1283="TNBE", A1283="TNBL", A1283="TNBD", A1283="TNWC", A1283="TNBW", A1283="THBS"), "PINK",
  A1283="CRWD", "BLUE",
  A1283="PASS", "WHITE"
)</f>
        <v>#N/A</v>
      </c>
    </row>
    <row r="1284" spans="1:23" x14ac:dyDescent="0.25">
      <c r="A1284" s="7"/>
      <c r="B1284" s="7"/>
      <c r="C1284" s="41"/>
      <c r="E1284" s="29"/>
      <c r="I1284" s="3"/>
      <c r="J1284" s="17"/>
      <c r="K1284" s="17"/>
      <c r="L1284" s="18"/>
      <c r="M1284" s="18"/>
      <c r="P1284" s="3"/>
      <c r="Q1284" s="4"/>
      <c r="R1284" s="19"/>
      <c r="S1284" s="20"/>
      <c r="U1284" s="3" t="str">
        <f t="shared" ref="U1284:U1347" si="44">IF(T1284="","",IF(T1284&gt;I1284,H1284,T1284/G1284))</f>
        <v/>
      </c>
      <c r="V1284" s="4" t="str">
        <f t="shared" ref="V1284:V1347" si="45">IF(T1284&gt;I1284,T1284-I1284,"")</f>
        <v/>
      </c>
      <c r="W1284" s="21" t="e" cm="1">
        <f t="array" ref="W1284">_xlfn.IFS(
  A1284="BELL", "WHITE",
  A1284="GAMP", "ORANGE",
  A1284="GAMM", "GREEN",
  A1284="BWF", "YELLOW",
  OR(A1284="TNBE", A1284="TNBL", A1284="TNBD", A1284="TNWC", A1284="TNBW", A1284="THBS"), "PINK",
  A1284="CRWD", "BLUE",
  A1284="PASS", "WHITE"
)</f>
        <v>#N/A</v>
      </c>
    </row>
    <row r="1285" spans="1:23" x14ac:dyDescent="0.25">
      <c r="A1285" s="7"/>
      <c r="B1285" s="7"/>
      <c r="C1285" s="41"/>
      <c r="E1285" s="29"/>
      <c r="I1285" s="3"/>
      <c r="J1285" s="17"/>
      <c r="K1285" s="17"/>
      <c r="L1285" s="18"/>
      <c r="M1285" s="18"/>
      <c r="P1285" s="3"/>
      <c r="Q1285" s="4"/>
      <c r="R1285" s="19"/>
      <c r="S1285" s="20"/>
      <c r="U1285" s="3" t="str">
        <f t="shared" si="44"/>
        <v/>
      </c>
      <c r="V1285" s="4" t="str">
        <f t="shared" si="45"/>
        <v/>
      </c>
      <c r="W1285" s="21" t="e" cm="1">
        <f t="array" ref="W1285">_xlfn.IFS(
  A1285="BELL", "WHITE",
  A1285="GAMP", "ORANGE",
  A1285="GAMM", "GREEN",
  A1285="BWF", "YELLOW",
  OR(A1285="TNBE", A1285="TNBL", A1285="TNBD", A1285="TNWC", A1285="TNBW", A1285="THBS"), "PINK",
  A1285="CRWD", "BLUE",
  A1285="PASS", "WHITE"
)</f>
        <v>#N/A</v>
      </c>
    </row>
    <row r="1286" spans="1:23" x14ac:dyDescent="0.25">
      <c r="A1286" s="7"/>
      <c r="B1286" s="7"/>
      <c r="C1286" s="41"/>
      <c r="E1286" s="29"/>
      <c r="I1286" s="3"/>
      <c r="J1286" s="17"/>
      <c r="K1286" s="17"/>
      <c r="L1286" s="18"/>
      <c r="M1286" s="18"/>
      <c r="P1286" s="3"/>
      <c r="Q1286" s="4"/>
      <c r="R1286" s="19"/>
      <c r="S1286" s="20"/>
      <c r="U1286" s="3" t="str">
        <f t="shared" si="44"/>
        <v/>
      </c>
      <c r="V1286" s="4" t="str">
        <f t="shared" si="45"/>
        <v/>
      </c>
      <c r="W1286" s="21" t="e" cm="1">
        <f t="array" ref="W1286">_xlfn.IFS(
  A1286="BELL", "WHITE",
  A1286="GAMP", "ORANGE",
  A1286="GAMM", "GREEN",
  A1286="BWF", "YELLOW",
  OR(A1286="TNBE", A1286="TNBL", A1286="TNBD", A1286="TNWC", A1286="TNBW", A1286="THBS"), "PINK",
  A1286="CRWD", "BLUE",
  A1286="PASS", "WHITE"
)</f>
        <v>#N/A</v>
      </c>
    </row>
    <row r="1287" spans="1:23" x14ac:dyDescent="0.25">
      <c r="A1287" s="7"/>
      <c r="B1287" s="7"/>
      <c r="C1287" s="41"/>
      <c r="E1287" s="29"/>
      <c r="I1287" s="3"/>
      <c r="J1287" s="17"/>
      <c r="K1287" s="17"/>
      <c r="L1287" s="18"/>
      <c r="M1287" s="3"/>
      <c r="P1287" s="3"/>
      <c r="Q1287" s="4"/>
      <c r="R1287" s="19"/>
      <c r="S1287" s="20"/>
      <c r="U1287" s="3" t="str">
        <f t="shared" si="44"/>
        <v/>
      </c>
      <c r="V1287" s="4" t="str">
        <f t="shared" si="45"/>
        <v/>
      </c>
      <c r="W1287" s="21" t="e" cm="1">
        <f t="array" ref="W1287">_xlfn.IFS(
  A1287="BELL", "WHITE",
  A1287="GAMP", "ORANGE",
  A1287="GAMM", "GREEN",
  A1287="BWF", "YELLOW",
  OR(A1287="TNBE", A1287="TNBL", A1287="TNBD", A1287="TNWC", A1287="TNBW", A1287="THBS"), "PINK",
  A1287="CRWD", "BLUE",
  A1287="PASS", "WHITE"
)</f>
        <v>#N/A</v>
      </c>
    </row>
    <row r="1288" spans="1:23" x14ac:dyDescent="0.25">
      <c r="A1288" s="7"/>
      <c r="B1288" s="7"/>
      <c r="C1288" s="41"/>
      <c r="D1288" s="40"/>
      <c r="I1288" s="3"/>
      <c r="J1288" s="17"/>
      <c r="K1288" s="17"/>
      <c r="L1288" s="18"/>
      <c r="M1288" s="3"/>
      <c r="P1288" s="3"/>
      <c r="Q1288" s="4"/>
      <c r="R1288" s="19"/>
      <c r="S1288" s="20"/>
      <c r="U1288" s="3" t="str">
        <f t="shared" si="44"/>
        <v/>
      </c>
      <c r="V1288" s="4" t="str">
        <f t="shared" si="45"/>
        <v/>
      </c>
      <c r="W1288" s="21" t="e" cm="1">
        <f t="array" ref="W1288">_xlfn.IFS(
  A1288="BELL", "WHITE",
  A1288="GAMP", "ORANGE",
  A1288="GAMM", "GREEN",
  A1288="BWF", "YELLOW",
  OR(A1288="TNBE", A1288="TNBL", A1288="TNBD", A1288="TNWC", A1288="TNBW", A1288="THBS"), "PINK",
  A1288="CRWD", "BLUE",
  A1288="PASS", "WHITE"
)</f>
        <v>#N/A</v>
      </c>
    </row>
    <row r="1289" spans="1:23" x14ac:dyDescent="0.25">
      <c r="A1289" s="7"/>
      <c r="B1289" s="7"/>
      <c r="C1289" s="41"/>
      <c r="D1289" s="40"/>
      <c r="I1289" s="3"/>
      <c r="J1289" s="17"/>
      <c r="K1289" s="17"/>
      <c r="L1289" s="18"/>
      <c r="M1289" s="18"/>
      <c r="P1289" s="3"/>
      <c r="Q1289" s="4"/>
      <c r="R1289" s="19"/>
      <c r="S1289" s="20"/>
      <c r="U1289" s="3" t="str">
        <f t="shared" si="44"/>
        <v/>
      </c>
      <c r="V1289" s="4" t="str">
        <f t="shared" si="45"/>
        <v/>
      </c>
      <c r="W1289" s="21" t="e" cm="1">
        <f t="array" ref="W1289">_xlfn.IFS(
  A1289="BELL", "WHITE",
  A1289="GAMP", "ORANGE",
  A1289="GAMM", "GREEN",
  A1289="BWF", "YELLOW",
  OR(A1289="TNBE", A1289="TNBL", A1289="TNBD", A1289="TNWC", A1289="TNBW", A1289="THBS"), "PINK",
  A1289="CRWD", "BLUE",
  A1289="PASS", "WHITE"
)</f>
        <v>#N/A</v>
      </c>
    </row>
    <row r="1290" spans="1:23" x14ac:dyDescent="0.25">
      <c r="A1290" s="7"/>
      <c r="B1290" s="7"/>
      <c r="C1290" s="41"/>
      <c r="D1290" s="40"/>
      <c r="E1290" s="29"/>
      <c r="I1290" s="3"/>
      <c r="J1290" s="17"/>
      <c r="K1290" s="17"/>
      <c r="L1290" s="18"/>
      <c r="M1290" s="18"/>
      <c r="P1290" s="3"/>
      <c r="Q1290" s="4"/>
      <c r="R1290" s="19"/>
      <c r="S1290" s="20"/>
      <c r="U1290" s="3" t="str">
        <f t="shared" si="44"/>
        <v/>
      </c>
      <c r="V1290" s="4" t="str">
        <f t="shared" si="45"/>
        <v/>
      </c>
      <c r="W1290" s="21" t="e" cm="1">
        <f t="array" ref="W1290">_xlfn.IFS(
  A1290="BELL", "WHITE",
  A1290="GAMP", "ORANGE",
  A1290="GAMM", "GREEN",
  A1290="BWF", "YELLOW",
  OR(A1290="TNBE", A1290="TNBL", A1290="TNBD", A1290="TNWC", A1290="TNBW", A1290="THBS"), "PINK",
  A1290="CRWD", "BLUE",
  A1290="PASS", "WHITE"
)</f>
        <v>#N/A</v>
      </c>
    </row>
    <row r="1291" spans="1:23" x14ac:dyDescent="0.25">
      <c r="A1291" s="7"/>
      <c r="B1291" s="7"/>
      <c r="C1291" s="41"/>
      <c r="D1291" s="40"/>
      <c r="I1291" s="3"/>
      <c r="J1291" s="17"/>
      <c r="K1291" s="17"/>
      <c r="L1291" s="18"/>
      <c r="M1291" s="3"/>
      <c r="P1291" s="3"/>
      <c r="Q1291" s="4"/>
      <c r="R1291" s="19"/>
      <c r="S1291" s="20"/>
      <c r="U1291" s="3" t="str">
        <f t="shared" si="44"/>
        <v/>
      </c>
      <c r="V1291" s="4" t="str">
        <f t="shared" si="45"/>
        <v/>
      </c>
      <c r="W1291" s="21" t="e" cm="1">
        <f t="array" ref="W1291">_xlfn.IFS(
  A1291="BELL", "WHITE",
  A1291="GAMP", "ORANGE",
  A1291="GAMM", "GREEN",
  A1291="BWF", "YELLOW",
  OR(A1291="TNBE", A1291="TNBL", A1291="TNBD", A1291="TNWC", A1291="TNBW", A1291="THBS"), "PINK",
  A1291="CRWD", "BLUE",
  A1291="PASS", "WHITE"
)</f>
        <v>#N/A</v>
      </c>
    </row>
    <row r="1292" spans="1:23" x14ac:dyDescent="0.25">
      <c r="A1292" s="7"/>
      <c r="B1292" s="7"/>
      <c r="C1292" s="41"/>
      <c r="D1292" s="40"/>
      <c r="E1292" s="29"/>
      <c r="I1292" s="3"/>
      <c r="J1292" s="17"/>
      <c r="K1292" s="17"/>
      <c r="L1292" s="18"/>
      <c r="M1292" s="18"/>
      <c r="P1292" s="3"/>
      <c r="Q1292" s="4"/>
      <c r="R1292" s="19"/>
      <c r="S1292" s="20"/>
      <c r="U1292" s="3" t="str">
        <f t="shared" si="44"/>
        <v/>
      </c>
      <c r="V1292" s="4" t="str">
        <f t="shared" si="45"/>
        <v/>
      </c>
      <c r="W1292" s="21" t="e" cm="1">
        <f t="array" ref="W1292">_xlfn.IFS(
  A1292="BELL", "WHITE",
  A1292="GAMP", "ORANGE",
  A1292="GAMM", "GREEN",
  A1292="BWF", "YELLOW",
  OR(A1292="TNBE", A1292="TNBL", A1292="TNBD", A1292="TNWC", A1292="TNBW", A1292="THBS"), "PINK",
  A1292="CRWD", "BLUE",
  A1292="PASS", "WHITE"
)</f>
        <v>#N/A</v>
      </c>
    </row>
    <row r="1293" spans="1:23" x14ac:dyDescent="0.25">
      <c r="A1293" s="7"/>
      <c r="B1293" s="7"/>
      <c r="C1293" s="41"/>
      <c r="D1293" s="40"/>
      <c r="E1293" s="29"/>
      <c r="I1293" s="3"/>
      <c r="J1293" s="17"/>
      <c r="K1293" s="17"/>
      <c r="L1293" s="18"/>
      <c r="M1293" s="18"/>
      <c r="P1293" s="3"/>
      <c r="Q1293" s="4"/>
      <c r="R1293" s="19"/>
      <c r="S1293" s="20"/>
      <c r="U1293" s="3" t="str">
        <f t="shared" si="44"/>
        <v/>
      </c>
      <c r="V1293" s="4" t="str">
        <f t="shared" si="45"/>
        <v/>
      </c>
      <c r="W1293" s="21" t="e" cm="1">
        <f t="array" ref="W1293">_xlfn.IFS(
  A1293="BELL", "WHITE",
  A1293="GAMP", "ORANGE",
  A1293="GAMM", "GREEN",
  A1293="BWF", "YELLOW",
  OR(A1293="TNBE", A1293="TNBL", A1293="TNBD", A1293="TNWC", A1293="TNBW", A1293="THBS"), "PINK",
  A1293="CRWD", "BLUE",
  A1293="PASS", "WHITE"
)</f>
        <v>#N/A</v>
      </c>
    </row>
    <row r="1294" spans="1:23" x14ac:dyDescent="0.25">
      <c r="A1294" s="7"/>
      <c r="B1294"/>
      <c r="D1294" s="1"/>
      <c r="I1294" s="3"/>
      <c r="J1294" s="17"/>
      <c r="K1294" s="17"/>
      <c r="L1294" s="18"/>
      <c r="M1294" s="3"/>
      <c r="P1294" s="3"/>
      <c r="Q1294" s="4"/>
      <c r="R1294" s="19"/>
      <c r="S1294" s="20"/>
      <c r="U1294" s="3" t="str">
        <f t="shared" si="44"/>
        <v/>
      </c>
      <c r="V1294" s="4" t="str">
        <f t="shared" si="45"/>
        <v/>
      </c>
      <c r="W1294" s="21" t="e" cm="1">
        <f t="array" ref="W1294">_xlfn.IFS(
  A1294="BELL", "WHITE",
  A1294="GAMP", "ORANGE",
  A1294="GAMM", "GREEN",
  A1294="BWF", "YELLOW",
  OR(A1294="TNBE", A1294="TNBL", A1294="TNBD", A1294="TNWC", A1294="TNBW", A1294="THBS"), "PINK",
  A1294="CRWD", "BLUE",
  A1294="PASS", "WHITE"
)</f>
        <v>#N/A</v>
      </c>
    </row>
    <row r="1295" spans="1:23" x14ac:dyDescent="0.25">
      <c r="A1295" s="7"/>
      <c r="B1295"/>
      <c r="D1295" s="1"/>
      <c r="I1295" s="3"/>
      <c r="J1295" s="17"/>
      <c r="K1295" s="17"/>
      <c r="L1295" s="18"/>
      <c r="M1295" s="3"/>
      <c r="P1295" s="3"/>
      <c r="Q1295" s="4"/>
      <c r="R1295" s="19"/>
      <c r="S1295" s="20"/>
      <c r="U1295" s="3" t="str">
        <f t="shared" si="44"/>
        <v/>
      </c>
      <c r="V1295" s="4" t="str">
        <f t="shared" si="45"/>
        <v/>
      </c>
      <c r="W1295" s="21" t="e" cm="1">
        <f t="array" ref="W1295">_xlfn.IFS(
  A1295="BELL", "WHITE",
  A1295="GAMP", "ORANGE",
  A1295="GAMM", "GREEN",
  A1295="BWF", "YELLOW",
  OR(A1295="TNBE", A1295="TNBL", A1295="TNBD", A1295="TNWC", A1295="TNBW", A1295="THBS"), "PINK",
  A1295="CRWD", "BLUE",
  A1295="PASS", "WHITE"
)</f>
        <v>#N/A</v>
      </c>
    </row>
    <row r="1296" spans="1:23" x14ac:dyDescent="0.25">
      <c r="A1296" s="7"/>
      <c r="B1296"/>
      <c r="D1296" s="1"/>
      <c r="I1296" s="3"/>
      <c r="J1296" s="17"/>
      <c r="K1296" s="17"/>
      <c r="L1296" s="18"/>
      <c r="M1296" s="3"/>
      <c r="P1296" s="3"/>
      <c r="Q1296" s="4"/>
      <c r="R1296" s="19"/>
      <c r="S1296" s="20"/>
      <c r="U1296" s="3" t="str">
        <f t="shared" si="44"/>
        <v/>
      </c>
      <c r="V1296" s="4" t="str">
        <f t="shared" si="45"/>
        <v/>
      </c>
      <c r="W1296" s="21" t="e" cm="1">
        <f t="array" ref="W1296">_xlfn.IFS(
  A1296="BELL", "WHITE",
  A1296="GAMP", "ORANGE",
  A1296="GAMM", "GREEN",
  A1296="BWF", "YELLOW",
  OR(A1296="TNBE", A1296="TNBL", A1296="TNBD", A1296="TNWC", A1296="TNBW", A1296="THBS"), "PINK",
  A1296="CRWD", "BLUE",
  A1296="PASS", "WHITE"
)</f>
        <v>#N/A</v>
      </c>
    </row>
    <row r="1297" spans="1:23" x14ac:dyDescent="0.25">
      <c r="A1297" s="7"/>
      <c r="B1297"/>
      <c r="D1297" s="1"/>
      <c r="I1297" s="3"/>
      <c r="J1297" s="17"/>
      <c r="K1297" s="17"/>
      <c r="L1297" s="18"/>
      <c r="M1297" s="3"/>
      <c r="P1297" s="3"/>
      <c r="Q1297" s="4"/>
      <c r="R1297" s="19"/>
      <c r="S1297" s="20"/>
      <c r="U1297" s="3" t="str">
        <f t="shared" si="44"/>
        <v/>
      </c>
      <c r="V1297" s="4" t="str">
        <f t="shared" si="45"/>
        <v/>
      </c>
      <c r="W1297" s="21" t="e" cm="1">
        <f t="array" ref="W1297">_xlfn.IFS(
  A1297="BELL", "WHITE",
  A1297="GAMP", "ORANGE",
  A1297="GAMM", "GREEN",
  A1297="BWF", "YELLOW",
  OR(A1297="TNBE", A1297="TNBL", A1297="TNBD", A1297="TNWC", A1297="TNBW", A1297="THBS"), "PINK",
  A1297="CRWD", "BLUE",
  A1297="PASS", "WHITE"
)</f>
        <v>#N/A</v>
      </c>
    </row>
    <row r="1298" spans="1:23" x14ac:dyDescent="0.25">
      <c r="A1298" s="7"/>
      <c r="B1298"/>
      <c r="D1298" s="1"/>
      <c r="I1298" s="3"/>
      <c r="J1298" s="17"/>
      <c r="K1298" s="17"/>
      <c r="L1298" s="18"/>
      <c r="M1298" s="3"/>
      <c r="P1298" s="3"/>
      <c r="Q1298" s="4"/>
      <c r="R1298" s="19"/>
      <c r="S1298" s="20"/>
      <c r="U1298" s="3" t="str">
        <f t="shared" si="44"/>
        <v/>
      </c>
      <c r="V1298" s="4" t="str">
        <f t="shared" si="45"/>
        <v/>
      </c>
      <c r="W1298" s="21" t="e" cm="1">
        <f t="array" ref="W1298">_xlfn.IFS(
  A1298="BELL", "WHITE",
  A1298="GAMP", "ORANGE",
  A1298="GAMM", "GREEN",
  A1298="BWF", "YELLOW",
  OR(A1298="TNBE", A1298="TNBL", A1298="TNBD", A1298="TNWC", A1298="TNBW", A1298="THBS"), "PINK",
  A1298="CRWD", "BLUE",
  A1298="PASS", "WHITE"
)</f>
        <v>#N/A</v>
      </c>
    </row>
    <row r="1299" spans="1:23" x14ac:dyDescent="0.25">
      <c r="A1299" s="7"/>
      <c r="B1299"/>
      <c r="D1299" s="1"/>
      <c r="I1299" s="3"/>
      <c r="J1299" s="17"/>
      <c r="K1299" s="17"/>
      <c r="L1299" s="18"/>
      <c r="M1299" s="3"/>
      <c r="P1299" s="3"/>
      <c r="Q1299" s="4"/>
      <c r="R1299" s="19"/>
      <c r="S1299" s="20"/>
      <c r="U1299" s="3" t="str">
        <f t="shared" si="44"/>
        <v/>
      </c>
      <c r="V1299" s="4" t="str">
        <f t="shared" si="45"/>
        <v/>
      </c>
      <c r="W1299" s="21" t="e" cm="1">
        <f t="array" ref="W1299">_xlfn.IFS(
  A1299="BELL", "WHITE",
  A1299="GAMP", "ORANGE",
  A1299="GAMM", "GREEN",
  A1299="BWF", "YELLOW",
  OR(A1299="TNBE", A1299="TNBL", A1299="TNBD", A1299="TNWC", A1299="TNBW", A1299="THBS"), "PINK",
  A1299="CRWD", "BLUE",
  A1299="PASS", "WHITE"
)</f>
        <v>#N/A</v>
      </c>
    </row>
    <row r="1300" spans="1:23" x14ac:dyDescent="0.25">
      <c r="A1300" s="7"/>
      <c r="B1300"/>
      <c r="D1300" s="1"/>
      <c r="I1300" s="3"/>
      <c r="J1300" s="17"/>
      <c r="K1300" s="17"/>
      <c r="L1300" s="18"/>
      <c r="M1300" s="3"/>
      <c r="P1300" s="3"/>
      <c r="Q1300" s="4"/>
      <c r="R1300" s="19"/>
      <c r="S1300" s="20"/>
      <c r="U1300" s="3" t="str">
        <f t="shared" si="44"/>
        <v/>
      </c>
      <c r="V1300" s="4" t="str">
        <f t="shared" si="45"/>
        <v/>
      </c>
      <c r="W1300" s="21" t="e" cm="1">
        <f t="array" ref="W1300">_xlfn.IFS(
  A1300="BELL", "WHITE",
  A1300="GAMP", "ORANGE",
  A1300="GAMM", "GREEN",
  A1300="BWF", "YELLOW",
  OR(A1300="TNBE", A1300="TNBL", A1300="TNBD", A1300="TNWC", A1300="TNBW", A1300="THBS"), "PINK",
  A1300="CRWD", "BLUE",
  A1300="PASS", "WHITE"
)</f>
        <v>#N/A</v>
      </c>
    </row>
    <row r="1301" spans="1:23" x14ac:dyDescent="0.25">
      <c r="A1301" s="7"/>
      <c r="B1301"/>
      <c r="D1301" s="1"/>
      <c r="I1301" s="3"/>
      <c r="J1301" s="17"/>
      <c r="K1301" s="17"/>
      <c r="L1301" s="18"/>
      <c r="M1301" s="3"/>
      <c r="P1301" s="3"/>
      <c r="Q1301" s="4"/>
      <c r="R1301" s="19"/>
      <c r="S1301" s="20"/>
      <c r="U1301" s="3" t="str">
        <f t="shared" si="44"/>
        <v/>
      </c>
      <c r="V1301" s="4" t="str">
        <f t="shared" si="45"/>
        <v/>
      </c>
      <c r="W1301" s="21" t="e" cm="1">
        <f t="array" ref="W1301">_xlfn.IFS(
  A1301="BELL", "WHITE",
  A1301="GAMP", "ORANGE",
  A1301="GAMM", "GREEN",
  A1301="BWF", "YELLOW",
  OR(A1301="TNBE", A1301="TNBL", A1301="TNBD", A1301="TNWC", A1301="TNBW", A1301="THBS"), "PINK",
  A1301="CRWD", "BLUE",
  A1301="PASS", "WHITE"
)</f>
        <v>#N/A</v>
      </c>
    </row>
    <row r="1302" spans="1:23" x14ac:dyDescent="0.25">
      <c r="A1302" s="7"/>
      <c r="B1302"/>
      <c r="D1302" s="1"/>
      <c r="I1302" s="3"/>
      <c r="J1302" s="17"/>
      <c r="K1302" s="17"/>
      <c r="L1302" s="18"/>
      <c r="M1302" s="3"/>
      <c r="P1302" s="3"/>
      <c r="Q1302" s="4"/>
      <c r="R1302" s="19"/>
      <c r="S1302" s="20"/>
      <c r="U1302" s="3" t="str">
        <f t="shared" si="44"/>
        <v/>
      </c>
      <c r="V1302" s="4" t="str">
        <f t="shared" si="45"/>
        <v/>
      </c>
      <c r="W1302" s="21" t="e" cm="1">
        <f t="array" ref="W1302">_xlfn.IFS(
  A1302="BELL", "WHITE",
  A1302="GAMP", "ORANGE",
  A1302="GAMM", "GREEN",
  A1302="BWF", "YELLOW",
  OR(A1302="TNBE", A1302="TNBL", A1302="TNBD", A1302="TNWC", A1302="TNBW", A1302="THBS"), "PINK",
  A1302="CRWD", "BLUE",
  A1302="PASS", "WHITE"
)</f>
        <v>#N/A</v>
      </c>
    </row>
    <row r="1303" spans="1:23" x14ac:dyDescent="0.25">
      <c r="A1303" s="7"/>
      <c r="B1303"/>
      <c r="D1303" s="1"/>
      <c r="I1303" s="3"/>
      <c r="J1303" s="17"/>
      <c r="K1303" s="17"/>
      <c r="L1303" s="18"/>
      <c r="M1303" s="3"/>
      <c r="P1303" s="3"/>
      <c r="Q1303" s="4"/>
      <c r="R1303" s="19"/>
      <c r="S1303" s="20"/>
      <c r="U1303" s="3" t="str">
        <f t="shared" si="44"/>
        <v/>
      </c>
      <c r="V1303" s="4" t="str">
        <f t="shared" si="45"/>
        <v/>
      </c>
      <c r="W1303" s="21" t="e" cm="1">
        <f t="array" ref="W1303">_xlfn.IFS(
  A1303="BELL", "WHITE",
  A1303="GAMP", "ORANGE",
  A1303="GAMM", "GREEN",
  A1303="BWF", "YELLOW",
  OR(A1303="TNBE", A1303="TNBL", A1303="TNBD", A1303="TNWC", A1303="TNBW", A1303="THBS"), "PINK",
  A1303="CRWD", "BLUE",
  A1303="PASS", "WHITE"
)</f>
        <v>#N/A</v>
      </c>
    </row>
    <row r="1304" spans="1:23" x14ac:dyDescent="0.25">
      <c r="A1304" s="7"/>
      <c r="B1304"/>
      <c r="D1304" s="1"/>
      <c r="I1304" s="3"/>
      <c r="J1304" s="17"/>
      <c r="K1304" s="17"/>
      <c r="L1304" s="18"/>
      <c r="M1304" s="3"/>
      <c r="P1304" s="3"/>
      <c r="Q1304" s="4"/>
      <c r="R1304" s="19"/>
      <c r="S1304" s="20"/>
      <c r="U1304" s="3" t="str">
        <f t="shared" si="44"/>
        <v/>
      </c>
      <c r="V1304" s="4" t="str">
        <f t="shared" si="45"/>
        <v/>
      </c>
      <c r="W1304" s="21" t="e" cm="1">
        <f t="array" ref="W1304">_xlfn.IFS(
  A1304="BELL", "WHITE",
  A1304="GAMP", "ORANGE",
  A1304="GAMM", "GREEN",
  A1304="BWF", "YELLOW",
  OR(A1304="TNBE", A1304="TNBL", A1304="TNBD", A1304="TNWC", A1304="TNBW", A1304="THBS"), "PINK",
  A1304="CRWD", "BLUE",
  A1304="PASS", "WHITE"
)</f>
        <v>#N/A</v>
      </c>
    </row>
    <row r="1305" spans="1:23" x14ac:dyDescent="0.25">
      <c r="A1305" s="7"/>
      <c r="B1305"/>
      <c r="D1305" s="1"/>
      <c r="I1305" s="3"/>
      <c r="J1305" s="17"/>
      <c r="K1305" s="17"/>
      <c r="L1305" s="18"/>
      <c r="M1305" s="3"/>
      <c r="P1305" s="3"/>
      <c r="Q1305" s="4"/>
      <c r="R1305" s="19"/>
      <c r="S1305" s="20"/>
      <c r="U1305" s="3" t="str">
        <f t="shared" si="44"/>
        <v/>
      </c>
      <c r="V1305" s="4" t="str">
        <f t="shared" si="45"/>
        <v/>
      </c>
      <c r="W1305" s="21" t="e" cm="1">
        <f t="array" ref="W1305">_xlfn.IFS(
  A1305="BELL", "WHITE",
  A1305="GAMP", "ORANGE",
  A1305="GAMM", "GREEN",
  A1305="BWF", "YELLOW",
  OR(A1305="TNBE", A1305="TNBL", A1305="TNBD", A1305="TNWC", A1305="TNBW", A1305="THBS"), "PINK",
  A1305="CRWD", "BLUE",
  A1305="PASS", "WHITE"
)</f>
        <v>#N/A</v>
      </c>
    </row>
    <row r="1306" spans="1:23" x14ac:dyDescent="0.25">
      <c r="A1306" s="7"/>
      <c r="B1306"/>
      <c r="D1306" s="1"/>
      <c r="I1306" s="3"/>
      <c r="J1306" s="17"/>
      <c r="K1306" s="17"/>
      <c r="L1306" s="18"/>
      <c r="M1306" s="3"/>
      <c r="P1306" s="3"/>
      <c r="Q1306" s="4"/>
      <c r="R1306" s="19"/>
      <c r="S1306" s="20"/>
      <c r="U1306" s="3" t="str">
        <f t="shared" si="44"/>
        <v/>
      </c>
      <c r="V1306" s="4" t="str">
        <f t="shared" si="45"/>
        <v/>
      </c>
      <c r="W1306" s="21" t="e" cm="1">
        <f t="array" ref="W1306">_xlfn.IFS(
  A1306="BELL", "WHITE",
  A1306="GAMP", "ORANGE",
  A1306="GAMM", "GREEN",
  A1306="BWF", "YELLOW",
  OR(A1306="TNBE", A1306="TNBL", A1306="TNBD", A1306="TNWC", A1306="TNBW", A1306="THBS"), "PINK",
  A1306="CRWD", "BLUE",
  A1306="PASS", "WHITE"
)</f>
        <v>#N/A</v>
      </c>
    </row>
    <row r="1307" spans="1:23" x14ac:dyDescent="0.25">
      <c r="A1307" s="7"/>
      <c r="B1307"/>
      <c r="D1307" s="1"/>
      <c r="I1307" s="3"/>
      <c r="J1307" s="17"/>
      <c r="K1307" s="17"/>
      <c r="L1307" s="18"/>
      <c r="M1307" s="3"/>
      <c r="P1307" s="3"/>
      <c r="Q1307" s="4"/>
      <c r="R1307" s="19"/>
      <c r="S1307" s="20"/>
      <c r="U1307" s="3" t="str">
        <f t="shared" si="44"/>
        <v/>
      </c>
      <c r="V1307" s="4" t="str">
        <f t="shared" si="45"/>
        <v/>
      </c>
      <c r="W1307" s="21" t="e" cm="1">
        <f t="array" ref="W1307">_xlfn.IFS(
  A1307="BELL", "WHITE",
  A1307="GAMP", "ORANGE",
  A1307="GAMM", "GREEN",
  A1307="BWF", "YELLOW",
  OR(A1307="TNBE", A1307="TNBL", A1307="TNBD", A1307="TNWC", A1307="TNBW", A1307="THBS"), "PINK",
  A1307="CRWD", "BLUE",
  A1307="PASS", "WHITE"
)</f>
        <v>#N/A</v>
      </c>
    </row>
    <row r="1308" spans="1:23" x14ac:dyDescent="0.25">
      <c r="A1308" s="7"/>
      <c r="B1308"/>
      <c r="D1308" s="1"/>
      <c r="I1308" s="3"/>
      <c r="J1308" s="17"/>
      <c r="K1308" s="17"/>
      <c r="L1308" s="18"/>
      <c r="M1308" s="3"/>
      <c r="P1308" s="3"/>
      <c r="Q1308" s="4"/>
      <c r="R1308" s="19"/>
      <c r="S1308" s="20"/>
      <c r="U1308" s="3" t="str">
        <f t="shared" si="44"/>
        <v/>
      </c>
      <c r="V1308" s="4" t="str">
        <f t="shared" si="45"/>
        <v/>
      </c>
      <c r="W1308" s="21" t="e" cm="1">
        <f t="array" ref="W1308">_xlfn.IFS(
  A1308="BELL", "WHITE",
  A1308="GAMP", "ORANGE",
  A1308="GAMM", "GREEN",
  A1308="BWF", "YELLOW",
  OR(A1308="TNBE", A1308="TNBL", A1308="TNBD", A1308="TNWC", A1308="TNBW", A1308="THBS"), "PINK",
  A1308="CRWD", "BLUE",
  A1308="PASS", "WHITE"
)</f>
        <v>#N/A</v>
      </c>
    </row>
    <row r="1309" spans="1:23" x14ac:dyDescent="0.25">
      <c r="A1309" s="7"/>
      <c r="B1309"/>
      <c r="D1309" s="1"/>
      <c r="E1309" s="1"/>
      <c r="I1309" s="3"/>
      <c r="J1309" s="17"/>
      <c r="K1309" s="17"/>
      <c r="L1309" s="18"/>
      <c r="M1309" s="3"/>
      <c r="P1309" s="3"/>
      <c r="Q1309" s="4"/>
      <c r="R1309" s="19"/>
      <c r="S1309" s="20"/>
      <c r="U1309" s="3" t="str">
        <f t="shared" si="44"/>
        <v/>
      </c>
      <c r="V1309" s="4" t="str">
        <f t="shared" si="45"/>
        <v/>
      </c>
      <c r="W1309" s="21" t="e" cm="1">
        <f t="array" ref="W1309">_xlfn.IFS(
  A1309="BELL", "WHITE",
  A1309="GAMP", "ORANGE",
  A1309="GAMM", "GREEN",
  A1309="BWF", "YELLOW",
  OR(A1309="TNBE", A1309="TNBL", A1309="TNBD", A1309="TNWC", A1309="TNBW", A1309="THBS"), "PINK",
  A1309="CRWD", "BLUE",
  A1309="PASS", "WHITE"
)</f>
        <v>#N/A</v>
      </c>
    </row>
    <row r="1310" spans="1:23" x14ac:dyDescent="0.25">
      <c r="A1310" s="7"/>
      <c r="B1310"/>
      <c r="D1310" s="1"/>
      <c r="I1310" s="3"/>
      <c r="J1310" s="17"/>
      <c r="K1310" s="17"/>
      <c r="L1310" s="18"/>
      <c r="M1310" s="3"/>
      <c r="P1310" s="3"/>
      <c r="Q1310" s="4"/>
      <c r="R1310" s="19"/>
      <c r="S1310" s="20"/>
      <c r="U1310" s="3" t="str">
        <f t="shared" si="44"/>
        <v/>
      </c>
      <c r="V1310" s="4" t="str">
        <f t="shared" si="45"/>
        <v/>
      </c>
      <c r="W1310" s="21" t="e" cm="1">
        <f t="array" ref="W1310">_xlfn.IFS(
  A1310="BELL", "WHITE",
  A1310="GAMP", "ORANGE",
  A1310="GAMM", "GREEN",
  A1310="BWF", "YELLOW",
  OR(A1310="TNBE", A1310="TNBL", A1310="TNBD", A1310="TNWC", A1310="TNBW", A1310="THBS"), "PINK",
  A1310="CRWD", "BLUE",
  A1310="PASS", "WHITE"
)</f>
        <v>#N/A</v>
      </c>
    </row>
    <row r="1311" spans="1:23" x14ac:dyDescent="0.25">
      <c r="A1311" s="7"/>
      <c r="B1311"/>
      <c r="D1311" s="1"/>
      <c r="I1311" s="3"/>
      <c r="J1311" s="17"/>
      <c r="K1311" s="17"/>
      <c r="L1311" s="18"/>
      <c r="M1311" s="3"/>
      <c r="P1311" s="3"/>
      <c r="Q1311" s="4"/>
      <c r="R1311" s="19"/>
      <c r="S1311" s="20"/>
      <c r="U1311" s="3" t="str">
        <f t="shared" si="44"/>
        <v/>
      </c>
      <c r="V1311" s="4" t="str">
        <f t="shared" si="45"/>
        <v/>
      </c>
      <c r="W1311" s="21" t="e" cm="1">
        <f t="array" ref="W1311">_xlfn.IFS(
  A1311="BELL", "WHITE",
  A1311="GAMP", "ORANGE",
  A1311="GAMM", "GREEN",
  A1311="BWF", "YELLOW",
  OR(A1311="TNBE", A1311="TNBL", A1311="TNBD", A1311="TNWC", A1311="TNBW", A1311="THBS"), "PINK",
  A1311="CRWD", "BLUE",
  A1311="PASS", "WHITE"
)</f>
        <v>#N/A</v>
      </c>
    </row>
    <row r="1312" spans="1:23" x14ac:dyDescent="0.25">
      <c r="A1312" s="7"/>
      <c r="B1312"/>
      <c r="D1312" s="1"/>
      <c r="I1312" s="3"/>
      <c r="J1312" s="17"/>
      <c r="K1312" s="17"/>
      <c r="L1312" s="18"/>
      <c r="M1312" s="3"/>
      <c r="P1312" s="3"/>
      <c r="Q1312" s="4"/>
      <c r="R1312" s="19"/>
      <c r="S1312" s="20"/>
      <c r="U1312" s="3" t="str">
        <f t="shared" si="44"/>
        <v/>
      </c>
      <c r="V1312" s="4" t="str">
        <f t="shared" si="45"/>
        <v/>
      </c>
      <c r="W1312" s="21" t="e" cm="1">
        <f t="array" ref="W1312">_xlfn.IFS(
  A1312="BELL", "WHITE",
  A1312="GAMP", "ORANGE",
  A1312="GAMM", "GREEN",
  A1312="BWF", "YELLOW",
  OR(A1312="TNBE", A1312="TNBL", A1312="TNBD", A1312="TNWC", A1312="TNBW", A1312="THBS"), "PINK",
  A1312="CRWD", "BLUE",
  A1312="PASS", "WHITE"
)</f>
        <v>#N/A</v>
      </c>
    </row>
    <row r="1313" spans="1:23" x14ac:dyDescent="0.25">
      <c r="A1313" s="7"/>
      <c r="B1313"/>
      <c r="D1313" s="1"/>
      <c r="I1313" s="3"/>
      <c r="J1313" s="17"/>
      <c r="K1313" s="17"/>
      <c r="L1313" s="18"/>
      <c r="M1313" s="3"/>
      <c r="P1313" s="3"/>
      <c r="Q1313" s="4"/>
      <c r="R1313" s="19"/>
      <c r="S1313" s="20"/>
      <c r="U1313" s="3" t="str">
        <f t="shared" si="44"/>
        <v/>
      </c>
      <c r="V1313" s="4" t="str">
        <f t="shared" si="45"/>
        <v/>
      </c>
      <c r="W1313" s="21" t="e" cm="1">
        <f t="array" ref="W1313">_xlfn.IFS(
  A1313="BELL", "WHITE",
  A1313="GAMP", "ORANGE",
  A1313="GAMM", "GREEN",
  A1313="BWF", "YELLOW",
  OR(A1313="TNBE", A1313="TNBL", A1313="TNBD", A1313="TNWC", A1313="TNBW", A1313="THBS"), "PINK",
  A1313="CRWD", "BLUE",
  A1313="PASS", "WHITE"
)</f>
        <v>#N/A</v>
      </c>
    </row>
    <row r="1314" spans="1:23" x14ac:dyDescent="0.25">
      <c r="A1314" s="7"/>
      <c r="B1314"/>
      <c r="D1314" s="1"/>
      <c r="I1314" s="3"/>
      <c r="J1314" s="17"/>
      <c r="K1314" s="17"/>
      <c r="L1314" s="18"/>
      <c r="M1314" s="3"/>
      <c r="P1314" s="3"/>
      <c r="Q1314" s="4"/>
      <c r="R1314" s="19"/>
      <c r="S1314" s="20"/>
      <c r="U1314" s="3" t="str">
        <f t="shared" si="44"/>
        <v/>
      </c>
      <c r="V1314" s="4" t="str">
        <f t="shared" si="45"/>
        <v/>
      </c>
      <c r="W1314" s="21" t="e" cm="1">
        <f t="array" ref="W1314">_xlfn.IFS(
  A1314="BELL", "WHITE",
  A1314="GAMP", "ORANGE",
  A1314="GAMM", "GREEN",
  A1314="BWF", "YELLOW",
  OR(A1314="TNBE", A1314="TNBL", A1314="TNBD", A1314="TNWC", A1314="TNBW", A1314="THBS"), "PINK",
  A1314="CRWD", "BLUE",
  A1314="PASS", "WHITE"
)</f>
        <v>#N/A</v>
      </c>
    </row>
    <row r="1315" spans="1:23" x14ac:dyDescent="0.25">
      <c r="A1315" s="7"/>
      <c r="B1315"/>
      <c r="D1315" s="1"/>
      <c r="I1315" s="3"/>
      <c r="J1315" s="17"/>
      <c r="K1315" s="17"/>
      <c r="L1315" s="18"/>
      <c r="M1315" s="3"/>
      <c r="P1315" s="3"/>
      <c r="Q1315" s="4"/>
      <c r="R1315" s="19"/>
      <c r="S1315" s="20"/>
      <c r="U1315" s="3" t="str">
        <f t="shared" si="44"/>
        <v/>
      </c>
      <c r="V1315" s="4" t="str">
        <f t="shared" si="45"/>
        <v/>
      </c>
      <c r="W1315" s="21" t="e" cm="1">
        <f t="array" ref="W1315">_xlfn.IFS(
  A1315="BELL", "WHITE",
  A1315="GAMP", "ORANGE",
  A1315="GAMM", "GREEN",
  A1315="BWF", "YELLOW",
  OR(A1315="TNBE", A1315="TNBL", A1315="TNBD", A1315="TNWC", A1315="TNBW", A1315="THBS"), "PINK",
  A1315="CRWD", "BLUE",
  A1315="PASS", "WHITE"
)</f>
        <v>#N/A</v>
      </c>
    </row>
    <row r="1316" spans="1:23" x14ac:dyDescent="0.25">
      <c r="A1316" s="7"/>
      <c r="B1316"/>
      <c r="D1316" s="1"/>
      <c r="I1316" s="3"/>
      <c r="J1316" s="17"/>
      <c r="K1316" s="17"/>
      <c r="L1316" s="18"/>
      <c r="M1316" s="3"/>
      <c r="P1316" s="3"/>
      <c r="Q1316" s="4"/>
      <c r="R1316" s="19"/>
      <c r="S1316" s="20"/>
      <c r="U1316" s="3" t="str">
        <f t="shared" si="44"/>
        <v/>
      </c>
      <c r="V1316" s="4" t="str">
        <f t="shared" si="45"/>
        <v/>
      </c>
      <c r="W1316" s="21" t="e" cm="1">
        <f t="array" ref="W1316">_xlfn.IFS(
  A1316="BELL", "WHITE",
  A1316="GAMP", "ORANGE",
  A1316="GAMM", "GREEN",
  A1316="BWF", "YELLOW",
  OR(A1316="TNBE", A1316="TNBL", A1316="TNBD", A1316="TNWC", A1316="TNBW", A1316="THBS"), "PINK",
  A1316="CRWD", "BLUE",
  A1316="PASS", "WHITE"
)</f>
        <v>#N/A</v>
      </c>
    </row>
    <row r="1317" spans="1:23" x14ac:dyDescent="0.25">
      <c r="A1317" s="7"/>
      <c r="B1317"/>
      <c r="D1317" s="1"/>
      <c r="I1317" s="3"/>
      <c r="J1317" s="17"/>
      <c r="K1317" s="17"/>
      <c r="L1317" s="18"/>
      <c r="M1317" s="3"/>
      <c r="P1317" s="3"/>
      <c r="Q1317" s="4"/>
      <c r="R1317" s="19"/>
      <c r="S1317" s="20"/>
      <c r="U1317" s="3" t="str">
        <f t="shared" si="44"/>
        <v/>
      </c>
      <c r="V1317" s="4" t="str">
        <f t="shared" si="45"/>
        <v/>
      </c>
      <c r="W1317" s="21" t="e" cm="1">
        <f t="array" ref="W1317">_xlfn.IFS(
  A1317="BELL", "WHITE",
  A1317="GAMP", "ORANGE",
  A1317="GAMM", "GREEN",
  A1317="BWF", "YELLOW",
  OR(A1317="TNBE", A1317="TNBL", A1317="TNBD", A1317="TNWC", A1317="TNBW", A1317="THBS"), "PINK",
  A1317="CRWD", "BLUE",
  A1317="PASS", "WHITE"
)</f>
        <v>#N/A</v>
      </c>
    </row>
    <row r="1318" spans="1:23" x14ac:dyDescent="0.25">
      <c r="A1318" s="7"/>
      <c r="B1318"/>
      <c r="D1318" s="1"/>
      <c r="I1318" s="3"/>
      <c r="J1318" s="17"/>
      <c r="K1318" s="17"/>
      <c r="L1318" s="18"/>
      <c r="M1318" s="3"/>
      <c r="P1318" s="3"/>
      <c r="Q1318" s="4"/>
      <c r="R1318" s="19"/>
      <c r="S1318" s="20"/>
      <c r="U1318" s="3" t="str">
        <f t="shared" si="44"/>
        <v/>
      </c>
      <c r="V1318" s="4" t="str">
        <f t="shared" si="45"/>
        <v/>
      </c>
      <c r="W1318" s="21" t="e" cm="1">
        <f t="array" ref="W1318">_xlfn.IFS(
  A1318="BELL", "WHITE",
  A1318="GAMP", "ORANGE",
  A1318="GAMM", "GREEN",
  A1318="BWF", "YELLOW",
  OR(A1318="TNBE", A1318="TNBL", A1318="TNBD", A1318="TNWC", A1318="TNBW", A1318="THBS"), "PINK",
  A1318="CRWD", "BLUE",
  A1318="PASS", "WHITE"
)</f>
        <v>#N/A</v>
      </c>
    </row>
    <row r="1319" spans="1:23" x14ac:dyDescent="0.25">
      <c r="A1319" s="7"/>
      <c r="B1319"/>
      <c r="D1319" s="1"/>
      <c r="I1319" s="3"/>
      <c r="J1319" s="17"/>
      <c r="K1319" s="17"/>
      <c r="L1319" s="18"/>
      <c r="M1319" s="3"/>
      <c r="P1319" s="3"/>
      <c r="Q1319" s="4"/>
      <c r="R1319" s="19"/>
      <c r="S1319" s="20"/>
      <c r="U1319" s="3" t="str">
        <f t="shared" si="44"/>
        <v/>
      </c>
      <c r="V1319" s="4" t="str">
        <f t="shared" si="45"/>
        <v/>
      </c>
      <c r="W1319" s="21" t="e" cm="1">
        <f t="array" ref="W1319">_xlfn.IFS(
  A1319="BELL", "WHITE",
  A1319="GAMP", "ORANGE",
  A1319="GAMM", "GREEN",
  A1319="BWF", "YELLOW",
  OR(A1319="TNBE", A1319="TNBL", A1319="TNBD", A1319="TNWC", A1319="TNBW", A1319="THBS"), "PINK",
  A1319="CRWD", "BLUE",
  A1319="PASS", "WHITE"
)</f>
        <v>#N/A</v>
      </c>
    </row>
    <row r="1320" spans="1:23" x14ac:dyDescent="0.25">
      <c r="A1320" s="7"/>
      <c r="B1320"/>
      <c r="D1320" s="1"/>
      <c r="I1320" s="3"/>
      <c r="J1320" s="17"/>
      <c r="K1320" s="17"/>
      <c r="L1320" s="18"/>
      <c r="M1320" s="3"/>
      <c r="P1320" s="3"/>
      <c r="Q1320" s="4"/>
      <c r="R1320" s="19"/>
      <c r="S1320" s="20"/>
      <c r="U1320" s="3" t="str">
        <f t="shared" si="44"/>
        <v/>
      </c>
      <c r="V1320" s="4" t="str">
        <f t="shared" si="45"/>
        <v/>
      </c>
      <c r="W1320" s="21" t="e" cm="1">
        <f t="array" ref="W1320">_xlfn.IFS(
  A1320="BELL", "WHITE",
  A1320="GAMP", "ORANGE",
  A1320="GAMM", "GREEN",
  A1320="BWF", "YELLOW",
  OR(A1320="TNBE", A1320="TNBL", A1320="TNBD", A1320="TNWC", A1320="TNBW", A1320="THBS"), "PINK",
  A1320="CRWD", "BLUE",
  A1320="PASS", "WHITE"
)</f>
        <v>#N/A</v>
      </c>
    </row>
    <row r="1321" spans="1:23" x14ac:dyDescent="0.25">
      <c r="A1321" s="7"/>
      <c r="B1321"/>
      <c r="D1321" s="1"/>
      <c r="I1321" s="3"/>
      <c r="J1321" s="17"/>
      <c r="K1321" s="17"/>
      <c r="L1321" s="18"/>
      <c r="M1321" s="3"/>
      <c r="P1321" s="3"/>
      <c r="Q1321" s="4"/>
      <c r="R1321" s="19"/>
      <c r="S1321" s="20"/>
      <c r="U1321" s="3" t="str">
        <f t="shared" si="44"/>
        <v/>
      </c>
      <c r="V1321" s="4" t="str">
        <f t="shared" si="45"/>
        <v/>
      </c>
      <c r="W1321" s="21" t="e" cm="1">
        <f t="array" ref="W1321">_xlfn.IFS(
  A1321="BELL", "WHITE",
  A1321="GAMP", "ORANGE",
  A1321="GAMM", "GREEN",
  A1321="BWF", "YELLOW",
  OR(A1321="TNBE", A1321="TNBL", A1321="TNBD", A1321="TNWC", A1321="TNBW", A1321="THBS"), "PINK",
  A1321="CRWD", "BLUE",
  A1321="PASS", "WHITE"
)</f>
        <v>#N/A</v>
      </c>
    </row>
    <row r="1322" spans="1:23" x14ac:dyDescent="0.25">
      <c r="A1322" s="7"/>
      <c r="B1322"/>
      <c r="D1322" s="1"/>
      <c r="I1322" s="3"/>
      <c r="J1322" s="17"/>
      <c r="K1322" s="17"/>
      <c r="L1322" s="18"/>
      <c r="M1322" s="3"/>
      <c r="P1322" s="3"/>
      <c r="Q1322" s="4"/>
      <c r="R1322" s="19"/>
      <c r="S1322" s="20"/>
      <c r="U1322" s="3" t="str">
        <f t="shared" si="44"/>
        <v/>
      </c>
      <c r="V1322" s="4" t="str">
        <f t="shared" si="45"/>
        <v/>
      </c>
      <c r="W1322" s="21" t="e" cm="1">
        <f t="array" ref="W1322">_xlfn.IFS(
  A1322="BELL", "WHITE",
  A1322="GAMP", "ORANGE",
  A1322="GAMM", "GREEN",
  A1322="BWF", "YELLOW",
  OR(A1322="TNBE", A1322="TNBL", A1322="TNBD", A1322="TNWC", A1322="TNBW", A1322="THBS"), "PINK",
  A1322="CRWD", "BLUE",
  A1322="PASS", "WHITE"
)</f>
        <v>#N/A</v>
      </c>
    </row>
    <row r="1323" spans="1:23" x14ac:dyDescent="0.25">
      <c r="A1323" s="7"/>
      <c r="B1323"/>
      <c r="D1323" s="1"/>
      <c r="I1323" s="3"/>
      <c r="J1323" s="17"/>
      <c r="K1323" s="17"/>
      <c r="L1323" s="18"/>
      <c r="M1323" s="3"/>
      <c r="P1323" s="3"/>
      <c r="Q1323" s="4"/>
      <c r="R1323" s="19"/>
      <c r="S1323" s="20"/>
      <c r="U1323" s="3" t="str">
        <f t="shared" si="44"/>
        <v/>
      </c>
      <c r="V1323" s="4" t="str">
        <f t="shared" si="45"/>
        <v/>
      </c>
      <c r="W1323" s="21" t="e" cm="1">
        <f t="array" ref="W1323">_xlfn.IFS(
  A1323="BELL", "WHITE",
  A1323="GAMP", "ORANGE",
  A1323="GAMM", "GREEN",
  A1323="BWF", "YELLOW",
  OR(A1323="TNBE", A1323="TNBL", A1323="TNBD", A1323="TNWC", A1323="TNBW", A1323="THBS"), "PINK",
  A1323="CRWD", "BLUE",
  A1323="PASS", "WHITE"
)</f>
        <v>#N/A</v>
      </c>
    </row>
    <row r="1324" spans="1:23" x14ac:dyDescent="0.25">
      <c r="A1324" s="7"/>
      <c r="B1324"/>
      <c r="D1324" s="1"/>
      <c r="E1324" s="1"/>
      <c r="I1324" s="3"/>
      <c r="J1324" s="17"/>
      <c r="K1324" s="17"/>
      <c r="L1324" s="18"/>
      <c r="M1324" s="3"/>
      <c r="P1324" s="3"/>
      <c r="Q1324" s="4"/>
      <c r="R1324" s="19"/>
      <c r="S1324" s="20"/>
      <c r="U1324" s="3" t="str">
        <f t="shared" si="44"/>
        <v/>
      </c>
      <c r="V1324" s="4" t="str">
        <f t="shared" si="45"/>
        <v/>
      </c>
      <c r="W1324" s="21" t="e" cm="1">
        <f t="array" ref="W1324">_xlfn.IFS(
  A1324="BELL", "WHITE",
  A1324="GAMP", "ORANGE",
  A1324="GAMM", "GREEN",
  A1324="BWF", "YELLOW",
  OR(A1324="TNBE", A1324="TNBL", A1324="TNBD", A1324="TNWC", A1324="TNBW", A1324="THBS"), "PINK",
  A1324="CRWD", "BLUE",
  A1324="PASS", "WHITE"
)</f>
        <v>#N/A</v>
      </c>
    </row>
    <row r="1325" spans="1:23" x14ac:dyDescent="0.25">
      <c r="A1325" s="7"/>
      <c r="B1325" s="26"/>
      <c r="D1325" s="1"/>
      <c r="E1325" s="1"/>
      <c r="I1325" s="3"/>
      <c r="J1325" s="17"/>
      <c r="K1325" s="17"/>
      <c r="L1325" s="18"/>
      <c r="M1325" s="3"/>
      <c r="P1325" s="3"/>
      <c r="Q1325" s="4"/>
      <c r="R1325" s="19"/>
      <c r="S1325" s="20"/>
      <c r="U1325" s="3" t="str">
        <f t="shared" si="44"/>
        <v/>
      </c>
      <c r="V1325" s="4" t="str">
        <f t="shared" si="45"/>
        <v/>
      </c>
      <c r="W1325" s="21" t="e" cm="1">
        <f t="array" ref="W1325">_xlfn.IFS(
  A1325="BELL", "WHITE",
  A1325="GAMP", "ORANGE",
  A1325="GAMM", "GREEN",
  A1325="BWF", "YELLOW",
  OR(A1325="TNBE", A1325="TNBL", A1325="TNBD", A1325="TNWC", A1325="TNBW", A1325="THBS"), "PINK",
  A1325="CRWD", "BLUE",
  A1325="PASS", "WHITE"
)</f>
        <v>#N/A</v>
      </c>
    </row>
    <row r="1326" spans="1:23" x14ac:dyDescent="0.25">
      <c r="A1326" s="7"/>
      <c r="B1326" s="26"/>
      <c r="D1326" s="1"/>
      <c r="E1326" s="1"/>
      <c r="I1326" s="3"/>
      <c r="J1326" s="17"/>
      <c r="K1326" s="17"/>
      <c r="L1326" s="18"/>
      <c r="M1326" s="3"/>
      <c r="P1326" s="3"/>
      <c r="Q1326" s="4"/>
      <c r="R1326" s="19"/>
      <c r="S1326" s="20"/>
      <c r="U1326" s="3" t="str">
        <f t="shared" si="44"/>
        <v/>
      </c>
      <c r="V1326" s="4" t="str">
        <f t="shared" si="45"/>
        <v/>
      </c>
      <c r="W1326" s="21" t="e" cm="1">
        <f t="array" ref="W1326">_xlfn.IFS(
  A1326="BELL", "WHITE",
  A1326="GAMP", "ORANGE",
  A1326="GAMM", "GREEN",
  A1326="BWF", "YELLOW",
  OR(A1326="TNBE", A1326="TNBL", A1326="TNBD", A1326="TNWC", A1326="TNBW", A1326="THBS"), "PINK",
  A1326="CRWD", "BLUE",
  A1326="PASS", "WHITE"
)</f>
        <v>#N/A</v>
      </c>
    </row>
    <row r="1327" spans="1:23" x14ac:dyDescent="0.25">
      <c r="A1327" s="7"/>
      <c r="B1327"/>
      <c r="D1327" s="1"/>
      <c r="E1327" s="1"/>
      <c r="I1327" s="3"/>
      <c r="J1327" s="17"/>
      <c r="K1327" s="17"/>
      <c r="L1327" s="18"/>
      <c r="M1327" s="3"/>
      <c r="P1327" s="3"/>
      <c r="Q1327" s="4"/>
      <c r="R1327" s="19"/>
      <c r="S1327" s="20"/>
      <c r="U1327" s="3" t="str">
        <f t="shared" si="44"/>
        <v/>
      </c>
      <c r="V1327" s="4" t="str">
        <f t="shared" si="45"/>
        <v/>
      </c>
      <c r="W1327" s="21" t="e" cm="1">
        <f t="array" ref="W1327">_xlfn.IFS(
  A1327="BELL", "WHITE",
  A1327="GAMP", "ORANGE",
  A1327="GAMM", "GREEN",
  A1327="BWF", "YELLOW",
  OR(A1327="TNBE", A1327="TNBL", A1327="TNBD", A1327="TNWC", A1327="TNBW", A1327="THBS"), "PINK",
  A1327="CRWD", "BLUE",
  A1327="PASS", "WHITE"
)</f>
        <v>#N/A</v>
      </c>
    </row>
    <row r="1328" spans="1:23" x14ac:dyDescent="0.25">
      <c r="A1328" s="7"/>
      <c r="B1328"/>
      <c r="D1328" s="1"/>
      <c r="E1328" s="1"/>
      <c r="I1328" s="3"/>
      <c r="J1328" s="17"/>
      <c r="K1328" s="17"/>
      <c r="L1328" s="18"/>
      <c r="M1328" s="18"/>
      <c r="P1328" s="3"/>
      <c r="Q1328" s="4"/>
      <c r="R1328" s="19"/>
      <c r="S1328" s="20"/>
      <c r="U1328" s="3" t="str">
        <f t="shared" si="44"/>
        <v/>
      </c>
      <c r="V1328" s="4" t="str">
        <f t="shared" si="45"/>
        <v/>
      </c>
      <c r="W1328" s="21" t="e" cm="1">
        <f t="array" ref="W1328">_xlfn.IFS(
  A1328="BELL", "WHITE",
  A1328="GAMP", "ORANGE",
  A1328="GAMM", "GREEN",
  A1328="BWF", "YELLOW",
  OR(A1328="TNBE", A1328="TNBL", A1328="TNBD", A1328="TNWC", A1328="TNBW", A1328="THBS"), "PINK",
  A1328="CRWD", "BLUE",
  A1328="PASS", "WHITE"
)</f>
        <v>#N/A</v>
      </c>
    </row>
    <row r="1329" spans="1:23" x14ac:dyDescent="0.25">
      <c r="A1329" s="7"/>
      <c r="B1329"/>
      <c r="D1329" s="1"/>
      <c r="E1329" s="1"/>
      <c r="I1329" s="3"/>
      <c r="J1329" s="17"/>
      <c r="K1329" s="17"/>
      <c r="L1329" s="18"/>
      <c r="M1329" s="18"/>
      <c r="P1329" s="3"/>
      <c r="Q1329" s="4"/>
      <c r="R1329" s="19"/>
      <c r="S1329" s="20"/>
      <c r="U1329" s="3" t="str">
        <f t="shared" si="44"/>
        <v/>
      </c>
      <c r="V1329" s="4" t="str">
        <f t="shared" si="45"/>
        <v/>
      </c>
      <c r="W1329" s="21" t="e" cm="1">
        <f t="array" ref="W1329">_xlfn.IFS(
  A1329="BELL", "WHITE",
  A1329="GAMP", "ORANGE",
  A1329="GAMM", "GREEN",
  A1329="BWF", "YELLOW",
  OR(A1329="TNBE", A1329="TNBL", A1329="TNBD", A1329="TNWC", A1329="TNBW", A1329="THBS"), "PINK",
  A1329="CRWD", "BLUE",
  A1329="PASS", "WHITE"
)</f>
        <v>#N/A</v>
      </c>
    </row>
    <row r="1330" spans="1:23" x14ac:dyDescent="0.25">
      <c r="A1330" s="7"/>
      <c r="B1330"/>
      <c r="D1330" s="1"/>
      <c r="E1330" s="1"/>
      <c r="I1330" s="3"/>
      <c r="J1330" s="17"/>
      <c r="K1330" s="17"/>
      <c r="L1330" s="18"/>
      <c r="M1330" s="18"/>
      <c r="P1330" s="3"/>
      <c r="Q1330" s="4"/>
      <c r="R1330" s="19"/>
      <c r="S1330" s="20"/>
      <c r="U1330" s="3" t="str">
        <f t="shared" si="44"/>
        <v/>
      </c>
      <c r="V1330" s="4" t="str">
        <f t="shared" si="45"/>
        <v/>
      </c>
      <c r="W1330" s="21" t="e" cm="1">
        <f t="array" ref="W1330">_xlfn.IFS(
  A1330="BELL", "WHITE",
  A1330="GAMP", "ORANGE",
  A1330="GAMM", "GREEN",
  A1330="BWF", "YELLOW",
  OR(A1330="TNBE", A1330="TNBL", A1330="TNBD", A1330="TNWC", A1330="TNBW", A1330="THBS"), "PINK",
  A1330="CRWD", "BLUE",
  A1330="PASS", "WHITE"
)</f>
        <v>#N/A</v>
      </c>
    </row>
    <row r="1331" spans="1:23" x14ac:dyDescent="0.25">
      <c r="A1331" s="7"/>
      <c r="B1331"/>
      <c r="D1331" s="1"/>
      <c r="E1331" s="1"/>
      <c r="I1331" s="3"/>
      <c r="J1331" s="17"/>
      <c r="K1331" s="17"/>
      <c r="L1331" s="18"/>
      <c r="M1331" s="18"/>
      <c r="P1331" s="3"/>
      <c r="Q1331" s="4"/>
      <c r="R1331" s="19"/>
      <c r="S1331" s="20"/>
      <c r="U1331" s="3" t="str">
        <f t="shared" si="44"/>
        <v/>
      </c>
      <c r="V1331" s="4" t="str">
        <f t="shared" si="45"/>
        <v/>
      </c>
      <c r="W1331" s="21" t="e" cm="1">
        <f t="array" ref="W1331">_xlfn.IFS(
  A1331="BELL", "WHITE",
  A1331="GAMP", "ORANGE",
  A1331="GAMM", "GREEN",
  A1331="BWF", "YELLOW",
  OR(A1331="TNBE", A1331="TNBL", A1331="TNBD", A1331="TNWC", A1331="TNBW", A1331="THBS"), "PINK",
  A1331="CRWD", "BLUE",
  A1331="PASS", "WHITE"
)</f>
        <v>#N/A</v>
      </c>
    </row>
    <row r="1332" spans="1:23" x14ac:dyDescent="0.25">
      <c r="A1332" s="7"/>
      <c r="B1332"/>
      <c r="D1332" s="1"/>
      <c r="E1332" s="1"/>
      <c r="I1332" s="3"/>
      <c r="J1332" s="17"/>
      <c r="K1332" s="17"/>
      <c r="L1332" s="18"/>
      <c r="M1332" s="18"/>
      <c r="P1332" s="3"/>
      <c r="Q1332" s="4"/>
      <c r="R1332" s="19"/>
      <c r="S1332" s="20"/>
      <c r="U1332" s="3" t="str">
        <f t="shared" si="44"/>
        <v/>
      </c>
      <c r="V1332" s="4" t="str">
        <f t="shared" si="45"/>
        <v/>
      </c>
      <c r="W1332" s="21" t="e" cm="1">
        <f t="array" ref="W1332">_xlfn.IFS(
  A1332="BELL", "WHITE",
  A1332="GAMP", "ORANGE",
  A1332="GAMM", "GREEN",
  A1332="BWF", "YELLOW",
  OR(A1332="TNBE", A1332="TNBL", A1332="TNBD", A1332="TNWC", A1332="TNBW", A1332="THBS"), "PINK",
  A1332="CRWD", "BLUE",
  A1332="PASS", "WHITE"
)</f>
        <v>#N/A</v>
      </c>
    </row>
    <row r="1333" spans="1:23" x14ac:dyDescent="0.25">
      <c r="A1333" s="7"/>
      <c r="B1333"/>
      <c r="D1333" s="1"/>
      <c r="E1333" s="1"/>
      <c r="I1333" s="3"/>
      <c r="J1333" s="17"/>
      <c r="K1333" s="17"/>
      <c r="L1333" s="18"/>
      <c r="M1333" s="18"/>
      <c r="P1333" s="3"/>
      <c r="Q1333" s="4"/>
      <c r="R1333" s="19"/>
      <c r="S1333" s="20"/>
      <c r="U1333" s="3" t="str">
        <f t="shared" si="44"/>
        <v/>
      </c>
      <c r="V1333" s="4" t="str">
        <f t="shared" si="45"/>
        <v/>
      </c>
      <c r="W1333" s="21" t="e" cm="1">
        <f t="array" ref="W1333">_xlfn.IFS(
  A1333="BELL", "WHITE",
  A1333="GAMP", "ORANGE",
  A1333="GAMM", "GREEN",
  A1333="BWF", "YELLOW",
  OR(A1333="TNBE", A1333="TNBL", A1333="TNBD", A1333="TNWC", A1333="TNBW", A1333="THBS"), "PINK",
  A1333="CRWD", "BLUE",
  A1333="PASS", "WHITE"
)</f>
        <v>#N/A</v>
      </c>
    </row>
    <row r="1334" spans="1:23" x14ac:dyDescent="0.25">
      <c r="A1334" s="7"/>
      <c r="B1334"/>
      <c r="D1334" s="1"/>
      <c r="E1334" s="1"/>
      <c r="I1334" s="3"/>
      <c r="J1334" s="17"/>
      <c r="K1334" s="17"/>
      <c r="L1334" s="18"/>
      <c r="M1334" s="3"/>
      <c r="P1334" s="3"/>
      <c r="Q1334" s="4"/>
      <c r="R1334" s="19"/>
      <c r="S1334" s="20"/>
      <c r="U1334" s="3" t="str">
        <f t="shared" si="44"/>
        <v/>
      </c>
      <c r="V1334" s="4" t="str">
        <f t="shared" si="45"/>
        <v/>
      </c>
      <c r="W1334" s="21" t="e" cm="1">
        <f t="array" ref="W1334">_xlfn.IFS(
  A1334="BELL", "WHITE",
  A1334="GAMP", "ORANGE",
  A1334="GAMM", "GREEN",
  A1334="BWF", "YELLOW",
  OR(A1334="TNBE", A1334="TNBL", A1334="TNBD", A1334="TNWC", A1334="TNBW", A1334="THBS"), "PINK",
  A1334="CRWD", "BLUE",
  A1334="PASS", "WHITE"
)</f>
        <v>#N/A</v>
      </c>
    </row>
    <row r="1335" spans="1:23" x14ac:dyDescent="0.25">
      <c r="A1335" s="7"/>
      <c r="B1335"/>
      <c r="D1335" s="1"/>
      <c r="E1335" s="1"/>
      <c r="I1335" s="3"/>
      <c r="J1335" s="17"/>
      <c r="K1335" s="17"/>
      <c r="L1335" s="18"/>
      <c r="M1335" s="3"/>
      <c r="P1335" s="3"/>
      <c r="Q1335" s="4"/>
      <c r="R1335" s="19"/>
      <c r="S1335" s="20"/>
      <c r="U1335" s="3" t="str">
        <f t="shared" si="44"/>
        <v/>
      </c>
      <c r="V1335" s="4" t="str">
        <f t="shared" si="45"/>
        <v/>
      </c>
      <c r="W1335" s="21" t="e" cm="1">
        <f t="array" ref="W1335">_xlfn.IFS(
  A1335="BELL", "WHITE",
  A1335="GAMP", "ORANGE",
  A1335="GAMM", "GREEN",
  A1335="BWF", "YELLOW",
  OR(A1335="TNBE", A1335="TNBL", A1335="TNBD", A1335="TNWC", A1335="TNBW", A1335="THBS"), "PINK",
  A1335="CRWD", "BLUE",
  A1335="PASS", "WHITE"
)</f>
        <v>#N/A</v>
      </c>
    </row>
    <row r="1336" spans="1:23" x14ac:dyDescent="0.25">
      <c r="A1336" s="7"/>
      <c r="B1336"/>
      <c r="D1336" s="1"/>
      <c r="E1336" s="1"/>
      <c r="I1336" s="3"/>
      <c r="J1336" s="17"/>
      <c r="K1336" s="17"/>
      <c r="L1336" s="18"/>
      <c r="M1336" s="3"/>
      <c r="P1336" s="3"/>
      <c r="Q1336" s="4"/>
      <c r="R1336" s="19"/>
      <c r="S1336" s="20"/>
      <c r="U1336" s="3" t="str">
        <f t="shared" si="44"/>
        <v/>
      </c>
      <c r="V1336" s="4" t="str">
        <f t="shared" si="45"/>
        <v/>
      </c>
      <c r="W1336" s="21" t="e" cm="1">
        <f t="array" ref="W1336">_xlfn.IFS(
  A1336="BELL", "WHITE",
  A1336="GAMP", "ORANGE",
  A1336="GAMM", "GREEN",
  A1336="BWF", "YELLOW",
  OR(A1336="TNBE", A1336="TNBL", A1336="TNBD", A1336="TNWC", A1336="TNBW", A1336="THBS"), "PINK",
  A1336="CRWD", "BLUE",
  A1336="PASS", "WHITE"
)</f>
        <v>#N/A</v>
      </c>
    </row>
    <row r="1337" spans="1:23" x14ac:dyDescent="0.25">
      <c r="A1337" s="7"/>
      <c r="B1337" s="7"/>
      <c r="E1337" s="29"/>
      <c r="H1337" s="2"/>
      <c r="I1337" s="3"/>
      <c r="J1337" s="17"/>
      <c r="K1337" s="17"/>
      <c r="L1337" s="18"/>
      <c r="M1337" s="18"/>
      <c r="P1337" s="3"/>
      <c r="Q1337" s="4"/>
      <c r="R1337" s="19"/>
      <c r="S1337" s="20"/>
      <c r="U1337" s="3" t="str">
        <f t="shared" si="44"/>
        <v/>
      </c>
      <c r="V1337" s="4" t="str">
        <f t="shared" si="45"/>
        <v/>
      </c>
      <c r="W1337" s="21" t="e" cm="1">
        <f t="array" ref="W1337">_xlfn.IFS(
  A1337="BELL", "WHITE",
  A1337="GAMP", "ORANGE",
  A1337="GAMM", "GREEN",
  A1337="BWF", "YELLOW",
  OR(A1337="TNBE", A1337="TNBL", A1337="TNBD", A1337="TNWC", A1337="TNBW", A1337="THBS"), "PINK",
  A1337="CRWD", "BLUE",
  A1337="PASS", "WHITE"
)</f>
        <v>#N/A</v>
      </c>
    </row>
    <row r="1338" spans="1:23" x14ac:dyDescent="0.25">
      <c r="A1338" s="7"/>
      <c r="B1338" s="7"/>
      <c r="E1338" s="29"/>
      <c r="H1338" s="2"/>
      <c r="I1338" s="3"/>
      <c r="J1338" s="17"/>
      <c r="K1338" s="17"/>
      <c r="L1338" s="18"/>
      <c r="M1338" s="18"/>
      <c r="P1338" s="3"/>
      <c r="Q1338" s="4"/>
      <c r="R1338" s="19"/>
      <c r="S1338" s="20"/>
      <c r="U1338" s="3" t="str">
        <f t="shared" si="44"/>
        <v/>
      </c>
      <c r="V1338" s="4" t="str">
        <f t="shared" si="45"/>
        <v/>
      </c>
      <c r="W1338" s="21" t="e" cm="1">
        <f t="array" ref="W1338">_xlfn.IFS(
  A1338="BELL", "WHITE",
  A1338="GAMP", "ORANGE",
  A1338="GAMM", "GREEN",
  A1338="BWF", "YELLOW",
  OR(A1338="TNBE", A1338="TNBL", A1338="TNBD", A1338="TNWC", A1338="TNBW", A1338="THBS"), "PINK",
  A1338="CRWD", "BLUE",
  A1338="PASS", "WHITE"
)</f>
        <v>#N/A</v>
      </c>
    </row>
    <row r="1339" spans="1:23" x14ac:dyDescent="0.25">
      <c r="A1339" s="7"/>
      <c r="B1339" s="7"/>
      <c r="E1339" s="29"/>
      <c r="H1339" s="2"/>
      <c r="I1339" s="3"/>
      <c r="J1339" s="17"/>
      <c r="K1339" s="17"/>
      <c r="L1339" s="18"/>
      <c r="M1339" s="18"/>
      <c r="P1339" s="3"/>
      <c r="Q1339" s="4"/>
      <c r="R1339" s="19"/>
      <c r="S1339" s="20"/>
      <c r="U1339" s="3" t="str">
        <f t="shared" si="44"/>
        <v/>
      </c>
      <c r="V1339" s="4" t="str">
        <f t="shared" si="45"/>
        <v/>
      </c>
      <c r="W1339" s="21" t="e" cm="1">
        <f t="array" ref="W1339">_xlfn.IFS(
  A1339="BELL", "WHITE",
  A1339="GAMP", "ORANGE",
  A1339="GAMM", "GREEN",
  A1339="BWF", "YELLOW",
  OR(A1339="TNBE", A1339="TNBL", A1339="TNBD", A1339="TNWC", A1339="TNBW", A1339="THBS"), "PINK",
  A1339="CRWD", "BLUE",
  A1339="PASS", "WHITE"
)</f>
        <v>#N/A</v>
      </c>
    </row>
    <row r="1340" spans="1:23" x14ac:dyDescent="0.25">
      <c r="A1340" s="7"/>
      <c r="B1340" s="7"/>
      <c r="E1340" s="29"/>
      <c r="H1340" s="2"/>
      <c r="I1340" s="3"/>
      <c r="J1340" s="17"/>
      <c r="K1340" s="17"/>
      <c r="L1340" s="18"/>
      <c r="M1340" s="18"/>
      <c r="P1340" s="3"/>
      <c r="Q1340" s="4"/>
      <c r="R1340" s="19"/>
      <c r="S1340" s="20"/>
      <c r="U1340" s="3" t="str">
        <f t="shared" si="44"/>
        <v/>
      </c>
      <c r="V1340" s="4" t="str">
        <f t="shared" si="45"/>
        <v/>
      </c>
      <c r="W1340" s="21" t="e" cm="1">
        <f t="array" ref="W1340">_xlfn.IFS(
  A1340="BELL", "WHITE",
  A1340="GAMP", "ORANGE",
  A1340="GAMM", "GREEN",
  A1340="BWF", "YELLOW",
  OR(A1340="TNBE", A1340="TNBL", A1340="TNBD", A1340="TNWC", A1340="TNBW", A1340="THBS"), "PINK",
  A1340="CRWD", "BLUE",
  A1340="PASS", "WHITE"
)</f>
        <v>#N/A</v>
      </c>
    </row>
    <row r="1341" spans="1:23" x14ac:dyDescent="0.25">
      <c r="A1341" s="7"/>
      <c r="B1341" s="7"/>
      <c r="E1341" s="29"/>
      <c r="H1341" s="2"/>
      <c r="I1341" s="3"/>
      <c r="J1341" s="17"/>
      <c r="K1341" s="17"/>
      <c r="L1341" s="18"/>
      <c r="M1341" s="18"/>
      <c r="P1341" s="3"/>
      <c r="Q1341" s="4"/>
      <c r="R1341" s="19"/>
      <c r="S1341" s="20"/>
      <c r="U1341" s="3" t="str">
        <f t="shared" si="44"/>
        <v/>
      </c>
      <c r="V1341" s="4" t="str">
        <f t="shared" si="45"/>
        <v/>
      </c>
      <c r="W1341" s="21" t="e" cm="1">
        <f t="array" ref="W1341">_xlfn.IFS(
  A1341="BELL", "WHITE",
  A1341="GAMP", "ORANGE",
  A1341="GAMM", "GREEN",
  A1341="BWF", "YELLOW",
  OR(A1341="TNBE", A1341="TNBL", A1341="TNBD", A1341="TNWC", A1341="TNBW", A1341="THBS"), "PINK",
  A1341="CRWD", "BLUE",
  A1341="PASS", "WHITE"
)</f>
        <v>#N/A</v>
      </c>
    </row>
    <row r="1342" spans="1:23" x14ac:dyDescent="0.25">
      <c r="A1342" s="7"/>
      <c r="B1342" s="7"/>
      <c r="E1342" s="29"/>
      <c r="H1342" s="2"/>
      <c r="I1342" s="3"/>
      <c r="J1342" s="17"/>
      <c r="K1342" s="17"/>
      <c r="L1342" s="18"/>
      <c r="M1342" s="18"/>
      <c r="P1342" s="3"/>
      <c r="Q1342" s="4"/>
      <c r="R1342" s="19"/>
      <c r="S1342" s="20"/>
      <c r="U1342" s="3" t="str">
        <f t="shared" si="44"/>
        <v/>
      </c>
      <c r="V1342" s="4" t="str">
        <f t="shared" si="45"/>
        <v/>
      </c>
      <c r="W1342" s="21" t="e" cm="1">
        <f t="array" ref="W1342">_xlfn.IFS(
  A1342="BELL", "WHITE",
  A1342="GAMP", "ORANGE",
  A1342="GAMM", "GREEN",
  A1342="BWF", "YELLOW",
  OR(A1342="TNBE", A1342="TNBL", A1342="TNBD", A1342="TNWC", A1342="TNBW", A1342="THBS"), "PINK",
  A1342="CRWD", "BLUE",
  A1342="PASS", "WHITE"
)</f>
        <v>#N/A</v>
      </c>
    </row>
    <row r="1343" spans="1:23" x14ac:dyDescent="0.25">
      <c r="A1343" s="7"/>
      <c r="B1343" s="7"/>
      <c r="E1343" s="29"/>
      <c r="H1343" s="2"/>
      <c r="I1343" s="3"/>
      <c r="J1343" s="17"/>
      <c r="K1343" s="17"/>
      <c r="L1343" s="18"/>
      <c r="M1343" s="18"/>
      <c r="P1343" s="3"/>
      <c r="Q1343" s="4"/>
      <c r="R1343" s="19"/>
      <c r="S1343" s="20"/>
      <c r="U1343" s="3" t="str">
        <f t="shared" si="44"/>
        <v/>
      </c>
      <c r="V1343" s="4" t="str">
        <f t="shared" si="45"/>
        <v/>
      </c>
      <c r="W1343" s="21" t="e" cm="1">
        <f t="array" ref="W1343">_xlfn.IFS(
  A1343="BELL", "WHITE",
  A1343="GAMP", "ORANGE",
  A1343="GAMM", "GREEN",
  A1343="BWF", "YELLOW",
  OR(A1343="TNBE", A1343="TNBL", A1343="TNBD", A1343="TNWC", A1343="TNBW", A1343="THBS"), "PINK",
  A1343="CRWD", "BLUE",
  A1343="PASS", "WHITE"
)</f>
        <v>#N/A</v>
      </c>
    </row>
    <row r="1344" spans="1:23" x14ac:dyDescent="0.25">
      <c r="A1344" s="7"/>
      <c r="B1344" s="7"/>
      <c r="E1344" s="29"/>
      <c r="H1344" s="2"/>
      <c r="I1344" s="3"/>
      <c r="J1344" s="17"/>
      <c r="K1344" s="17"/>
      <c r="L1344" s="18"/>
      <c r="M1344" s="18"/>
      <c r="P1344" s="3"/>
      <c r="Q1344" s="4"/>
      <c r="R1344" s="19"/>
      <c r="S1344" s="20"/>
      <c r="U1344" s="3" t="str">
        <f t="shared" si="44"/>
        <v/>
      </c>
      <c r="V1344" s="4" t="str">
        <f t="shared" si="45"/>
        <v/>
      </c>
      <c r="W1344" s="21" t="e" cm="1">
        <f t="array" ref="W1344">_xlfn.IFS(
  A1344="BELL", "WHITE",
  A1344="GAMP", "ORANGE",
  A1344="GAMM", "GREEN",
  A1344="BWF", "YELLOW",
  OR(A1344="TNBE", A1344="TNBL", A1344="TNBD", A1344="TNWC", A1344="TNBW", A1344="THBS"), "PINK",
  A1344="CRWD", "BLUE",
  A1344="PASS", "WHITE"
)</f>
        <v>#N/A</v>
      </c>
    </row>
    <row r="1345" spans="1:23" x14ac:dyDescent="0.25">
      <c r="A1345" s="7"/>
      <c r="B1345" s="7"/>
      <c r="E1345" s="29"/>
      <c r="H1345" s="2"/>
      <c r="I1345" s="3"/>
      <c r="J1345" s="17"/>
      <c r="K1345" s="17"/>
      <c r="L1345" s="18"/>
      <c r="M1345" s="18"/>
      <c r="P1345" s="3"/>
      <c r="Q1345" s="4"/>
      <c r="R1345" s="19"/>
      <c r="S1345" s="20"/>
      <c r="U1345" s="3" t="str">
        <f t="shared" si="44"/>
        <v/>
      </c>
      <c r="V1345" s="4" t="str">
        <f t="shared" si="45"/>
        <v/>
      </c>
      <c r="W1345" s="21" t="e" cm="1">
        <f t="array" ref="W1345">_xlfn.IFS(
  A1345="BELL", "WHITE",
  A1345="GAMP", "ORANGE",
  A1345="GAMM", "GREEN",
  A1345="BWF", "YELLOW",
  OR(A1345="TNBE", A1345="TNBL", A1345="TNBD", A1345="TNWC", A1345="TNBW", A1345="THBS"), "PINK",
  A1345="CRWD", "BLUE",
  A1345="PASS", "WHITE"
)</f>
        <v>#N/A</v>
      </c>
    </row>
    <row r="1346" spans="1:23" x14ac:dyDescent="0.25">
      <c r="A1346" s="7"/>
      <c r="B1346" s="7"/>
      <c r="E1346" s="29"/>
      <c r="H1346" s="2"/>
      <c r="I1346" s="3"/>
      <c r="J1346" s="17"/>
      <c r="K1346" s="17"/>
      <c r="L1346" s="18"/>
      <c r="M1346" s="18"/>
      <c r="P1346" s="3"/>
      <c r="Q1346" s="4"/>
      <c r="R1346" s="19"/>
      <c r="S1346" s="20"/>
      <c r="U1346" s="3" t="str">
        <f t="shared" si="44"/>
        <v/>
      </c>
      <c r="V1346" s="4" t="str">
        <f t="shared" si="45"/>
        <v/>
      </c>
      <c r="W1346" s="21" t="e" cm="1">
        <f t="array" ref="W1346">_xlfn.IFS(
  A1346="BELL", "WHITE",
  A1346="GAMP", "ORANGE",
  A1346="GAMM", "GREEN",
  A1346="BWF", "YELLOW",
  OR(A1346="TNBE", A1346="TNBL", A1346="TNBD", A1346="TNWC", A1346="TNBW", A1346="THBS"), "PINK",
  A1346="CRWD", "BLUE",
  A1346="PASS", "WHITE"
)</f>
        <v>#N/A</v>
      </c>
    </row>
    <row r="1347" spans="1:23" x14ac:dyDescent="0.25">
      <c r="A1347" s="7"/>
      <c r="B1347" s="7"/>
      <c r="E1347" s="29"/>
      <c r="H1347" s="2"/>
      <c r="I1347" s="3"/>
      <c r="J1347" s="17"/>
      <c r="K1347" s="17"/>
      <c r="L1347" s="18"/>
      <c r="M1347" s="18"/>
      <c r="P1347" s="3"/>
      <c r="Q1347" s="4"/>
      <c r="R1347" s="19"/>
      <c r="S1347" s="20"/>
      <c r="U1347" s="3" t="str">
        <f t="shared" si="44"/>
        <v/>
      </c>
      <c r="V1347" s="4" t="str">
        <f t="shared" si="45"/>
        <v/>
      </c>
      <c r="W1347" s="21" t="e" cm="1">
        <f t="array" ref="W1347">_xlfn.IFS(
  A1347="BELL", "WHITE",
  A1347="GAMP", "ORANGE",
  A1347="GAMM", "GREEN",
  A1347="BWF", "YELLOW",
  OR(A1347="TNBE", A1347="TNBL", A1347="TNBD", A1347="TNWC", A1347="TNBW", A1347="THBS"), "PINK",
  A1347="CRWD", "BLUE",
  A1347="PASS", "WHITE"
)</f>
        <v>#N/A</v>
      </c>
    </row>
    <row r="1348" spans="1:23" x14ac:dyDescent="0.25">
      <c r="A1348" s="7"/>
      <c r="B1348" s="7"/>
      <c r="E1348" s="29"/>
      <c r="H1348" s="2"/>
      <c r="I1348" s="3"/>
      <c r="J1348" s="17"/>
      <c r="K1348" s="17"/>
      <c r="L1348" s="18"/>
      <c r="M1348" s="18"/>
      <c r="P1348" s="3"/>
      <c r="Q1348" s="4"/>
      <c r="R1348" s="19"/>
      <c r="S1348" s="20"/>
      <c r="U1348" s="3" t="str">
        <f t="shared" ref="U1348:U1411" si="46">IF(T1348="","",IF(T1348&gt;I1348,H1348,T1348/G1348))</f>
        <v/>
      </c>
      <c r="V1348" s="4" t="str">
        <f t="shared" ref="V1348:V1411" si="47">IF(T1348&gt;I1348,T1348-I1348,"")</f>
        <v/>
      </c>
      <c r="W1348" s="21" t="e" cm="1">
        <f t="array" ref="W1348">_xlfn.IFS(
  A1348="BELL", "WHITE",
  A1348="GAMP", "ORANGE",
  A1348="GAMM", "GREEN",
  A1348="BWF", "YELLOW",
  OR(A1348="TNBE", A1348="TNBL", A1348="TNBD", A1348="TNWC", A1348="TNBW", A1348="THBS"), "PINK",
  A1348="CRWD", "BLUE",
  A1348="PASS", "WHITE"
)</f>
        <v>#N/A</v>
      </c>
    </row>
    <row r="1349" spans="1:23" x14ac:dyDescent="0.25">
      <c r="A1349" s="7"/>
      <c r="B1349" s="7"/>
      <c r="E1349" s="29"/>
      <c r="H1349" s="2"/>
      <c r="I1349" s="3"/>
      <c r="J1349" s="17"/>
      <c r="K1349" s="17"/>
      <c r="L1349" s="18"/>
      <c r="M1349" s="3"/>
      <c r="P1349" s="3"/>
      <c r="Q1349" s="4"/>
      <c r="R1349" s="19"/>
      <c r="S1349" s="20"/>
      <c r="U1349" s="3" t="str">
        <f t="shared" si="46"/>
        <v/>
      </c>
      <c r="V1349" s="4" t="str">
        <f t="shared" si="47"/>
        <v/>
      </c>
      <c r="W1349" s="21" t="e" cm="1">
        <f t="array" ref="W1349">_xlfn.IFS(
  A1349="BELL", "WHITE",
  A1349="GAMP", "ORANGE",
  A1349="GAMM", "GREEN",
  A1349="BWF", "YELLOW",
  OR(A1349="TNBE", A1349="TNBL", A1349="TNBD", A1349="TNWC", A1349="TNBW", A1349="THBS"), "PINK",
  A1349="CRWD", "BLUE",
  A1349="PASS", "WHITE"
)</f>
        <v>#N/A</v>
      </c>
    </row>
    <row r="1350" spans="1:23" x14ac:dyDescent="0.25">
      <c r="A1350" s="7"/>
      <c r="B1350" s="7"/>
      <c r="E1350" s="29"/>
      <c r="H1350" s="2"/>
      <c r="I1350" s="3"/>
      <c r="J1350" s="17"/>
      <c r="K1350" s="17"/>
      <c r="L1350" s="18"/>
      <c r="M1350" s="18"/>
      <c r="P1350" s="3"/>
      <c r="Q1350" s="4"/>
      <c r="R1350" s="19"/>
      <c r="S1350" s="20"/>
      <c r="U1350" s="3" t="str">
        <f t="shared" si="46"/>
        <v/>
      </c>
      <c r="V1350" s="4" t="str">
        <f t="shared" si="47"/>
        <v/>
      </c>
      <c r="W1350" s="21" t="e" cm="1">
        <f t="array" ref="W1350">_xlfn.IFS(
  A1350="BELL", "WHITE",
  A1350="GAMP", "ORANGE",
  A1350="GAMM", "GREEN",
  A1350="BWF", "YELLOW",
  OR(A1350="TNBE", A1350="TNBL", A1350="TNBD", A1350="TNWC", A1350="TNBW", A1350="THBS"), "PINK",
  A1350="CRWD", "BLUE",
  A1350="PASS", "WHITE"
)</f>
        <v>#N/A</v>
      </c>
    </row>
    <row r="1351" spans="1:23" x14ac:dyDescent="0.25">
      <c r="A1351" s="7"/>
      <c r="B1351" s="7"/>
      <c r="E1351" s="29"/>
      <c r="H1351" s="2"/>
      <c r="I1351" s="3"/>
      <c r="J1351" s="17"/>
      <c r="K1351" s="17"/>
      <c r="L1351" s="18"/>
      <c r="M1351" s="18"/>
      <c r="P1351" s="3"/>
      <c r="Q1351" s="4"/>
      <c r="R1351" s="19"/>
      <c r="S1351" s="20"/>
      <c r="U1351" s="3" t="str">
        <f t="shared" si="46"/>
        <v/>
      </c>
      <c r="V1351" s="4" t="str">
        <f t="shared" si="47"/>
        <v/>
      </c>
      <c r="W1351" s="21" t="e" cm="1">
        <f t="array" ref="W1351">_xlfn.IFS(
  A1351="BELL", "WHITE",
  A1351="GAMP", "ORANGE",
  A1351="GAMM", "GREEN",
  A1351="BWF", "YELLOW",
  OR(A1351="TNBE", A1351="TNBL", A1351="TNBD", A1351="TNWC", A1351="TNBW", A1351="THBS"), "PINK",
  A1351="CRWD", "BLUE",
  A1351="PASS", "WHITE"
)</f>
        <v>#N/A</v>
      </c>
    </row>
    <row r="1352" spans="1:23" x14ac:dyDescent="0.25">
      <c r="A1352" s="7"/>
      <c r="B1352" s="7"/>
      <c r="E1352" s="29"/>
      <c r="H1352" s="2"/>
      <c r="I1352" s="3"/>
      <c r="J1352" s="17"/>
      <c r="K1352" s="17"/>
      <c r="L1352" s="18"/>
      <c r="M1352" s="3"/>
      <c r="P1352" s="3"/>
      <c r="Q1352" s="4"/>
      <c r="R1352" s="19"/>
      <c r="S1352" s="20"/>
      <c r="U1352" s="3" t="str">
        <f t="shared" si="46"/>
        <v/>
      </c>
      <c r="V1352" s="4" t="str">
        <f t="shared" si="47"/>
        <v/>
      </c>
      <c r="W1352" s="21" t="e" cm="1">
        <f t="array" ref="W1352">_xlfn.IFS(
  A1352="BELL", "WHITE",
  A1352="GAMP", "ORANGE",
  A1352="GAMM", "GREEN",
  A1352="BWF", "YELLOW",
  OR(A1352="TNBE", A1352="TNBL", A1352="TNBD", A1352="TNWC", A1352="TNBW", A1352="THBS"), "PINK",
  A1352="CRWD", "BLUE",
  A1352="PASS", "WHITE"
)</f>
        <v>#N/A</v>
      </c>
    </row>
    <row r="1353" spans="1:23" x14ac:dyDescent="0.25">
      <c r="A1353" s="7"/>
      <c r="B1353" s="7"/>
      <c r="E1353" s="29"/>
      <c r="H1353" s="2"/>
      <c r="I1353" s="3"/>
      <c r="J1353" s="17"/>
      <c r="K1353" s="17"/>
      <c r="L1353" s="18"/>
      <c r="M1353" s="3"/>
      <c r="P1353" s="3"/>
      <c r="Q1353" s="4"/>
      <c r="R1353" s="19"/>
      <c r="S1353" s="20"/>
      <c r="U1353" s="3" t="str">
        <f t="shared" si="46"/>
        <v/>
      </c>
      <c r="V1353" s="4" t="str">
        <f t="shared" si="47"/>
        <v/>
      </c>
      <c r="W1353" s="21" t="e" cm="1">
        <f t="array" ref="W1353">_xlfn.IFS(
  A1353="BELL", "WHITE",
  A1353="GAMP", "ORANGE",
  A1353="GAMM", "GREEN",
  A1353="BWF", "YELLOW",
  OR(A1353="TNBE", A1353="TNBL", A1353="TNBD", A1353="TNWC", A1353="TNBW", A1353="THBS"), "PINK",
  A1353="CRWD", "BLUE",
  A1353="PASS", "WHITE"
)</f>
        <v>#N/A</v>
      </c>
    </row>
    <row r="1354" spans="1:23" x14ac:dyDescent="0.25">
      <c r="A1354" s="7"/>
      <c r="B1354" s="7"/>
      <c r="E1354" s="29"/>
      <c r="H1354" s="2"/>
      <c r="I1354" s="3"/>
      <c r="J1354" s="17"/>
      <c r="K1354" s="17"/>
      <c r="L1354" s="18"/>
      <c r="M1354" s="18"/>
      <c r="P1354" s="3"/>
      <c r="Q1354" s="4"/>
      <c r="R1354" s="19"/>
      <c r="S1354" s="20"/>
      <c r="U1354" s="3" t="str">
        <f t="shared" si="46"/>
        <v/>
      </c>
      <c r="V1354" s="4" t="str">
        <f t="shared" si="47"/>
        <v/>
      </c>
      <c r="W1354" s="21" t="e" cm="1">
        <f t="array" ref="W1354">_xlfn.IFS(
  A1354="BELL", "WHITE",
  A1354="GAMP", "ORANGE",
  A1354="GAMM", "GREEN",
  A1354="BWF", "YELLOW",
  OR(A1354="TNBE", A1354="TNBL", A1354="TNBD", A1354="TNWC", A1354="TNBW", A1354="THBS"), "PINK",
  A1354="CRWD", "BLUE",
  A1354="PASS", "WHITE"
)</f>
        <v>#N/A</v>
      </c>
    </row>
    <row r="1355" spans="1:23" x14ac:dyDescent="0.25">
      <c r="A1355" s="7"/>
      <c r="B1355" s="7"/>
      <c r="E1355" s="29"/>
      <c r="H1355" s="2"/>
      <c r="I1355" s="3"/>
      <c r="J1355" s="17"/>
      <c r="K1355" s="17"/>
      <c r="L1355" s="18"/>
      <c r="M1355" s="18"/>
      <c r="P1355" s="3"/>
      <c r="Q1355" s="4"/>
      <c r="R1355" s="19"/>
      <c r="S1355" s="20"/>
      <c r="U1355" s="3" t="str">
        <f t="shared" si="46"/>
        <v/>
      </c>
      <c r="V1355" s="4" t="str">
        <f t="shared" si="47"/>
        <v/>
      </c>
      <c r="W1355" s="21" t="e" cm="1">
        <f t="array" ref="W1355">_xlfn.IFS(
  A1355="BELL", "WHITE",
  A1355="GAMP", "ORANGE",
  A1355="GAMM", "GREEN",
  A1355="BWF", "YELLOW",
  OR(A1355="TNBE", A1355="TNBL", A1355="TNBD", A1355="TNWC", A1355="TNBW", A1355="THBS"), "PINK",
  A1355="CRWD", "BLUE",
  A1355="PASS", "WHITE"
)</f>
        <v>#N/A</v>
      </c>
    </row>
    <row r="1356" spans="1:23" x14ac:dyDescent="0.25">
      <c r="A1356" s="7"/>
      <c r="B1356" s="7"/>
      <c r="E1356" s="29"/>
      <c r="H1356" s="2"/>
      <c r="I1356" s="3"/>
      <c r="J1356" s="17"/>
      <c r="K1356" s="17"/>
      <c r="L1356" s="18"/>
      <c r="M1356" s="18"/>
      <c r="P1356" s="3"/>
      <c r="Q1356" s="4"/>
      <c r="R1356" s="19"/>
      <c r="S1356" s="20"/>
      <c r="U1356" s="3" t="str">
        <f t="shared" si="46"/>
        <v/>
      </c>
      <c r="V1356" s="4" t="str">
        <f t="shared" si="47"/>
        <v/>
      </c>
      <c r="W1356" s="21" t="e" cm="1">
        <f t="array" ref="W1356">_xlfn.IFS(
  A1356="BELL", "WHITE",
  A1356="GAMP", "ORANGE",
  A1356="GAMM", "GREEN",
  A1356="BWF", "YELLOW",
  OR(A1356="TNBE", A1356="TNBL", A1356="TNBD", A1356="TNWC", A1356="TNBW", A1356="THBS"), "PINK",
  A1356="CRWD", "BLUE",
  A1356="PASS", "WHITE"
)</f>
        <v>#N/A</v>
      </c>
    </row>
    <row r="1357" spans="1:23" x14ac:dyDescent="0.25">
      <c r="A1357" s="7"/>
      <c r="B1357" s="7"/>
      <c r="E1357" s="29"/>
      <c r="H1357" s="2"/>
      <c r="I1357" s="3"/>
      <c r="J1357" s="17"/>
      <c r="K1357" s="17"/>
      <c r="L1357" s="18"/>
      <c r="M1357" s="18"/>
      <c r="P1357" s="3"/>
      <c r="Q1357" s="4"/>
      <c r="R1357" s="19"/>
      <c r="S1357" s="20"/>
      <c r="U1357" s="3" t="str">
        <f t="shared" si="46"/>
        <v/>
      </c>
      <c r="V1357" s="4" t="str">
        <f t="shared" si="47"/>
        <v/>
      </c>
      <c r="W1357" s="21" t="e" cm="1">
        <f t="array" ref="W1357">_xlfn.IFS(
  A1357="BELL", "WHITE",
  A1357="GAMP", "ORANGE",
  A1357="GAMM", "GREEN",
  A1357="BWF", "YELLOW",
  OR(A1357="TNBE", A1357="TNBL", A1357="TNBD", A1357="TNWC", A1357="TNBW", A1357="THBS"), "PINK",
  A1357="CRWD", "BLUE",
  A1357="PASS", "WHITE"
)</f>
        <v>#N/A</v>
      </c>
    </row>
    <row r="1358" spans="1:23" x14ac:dyDescent="0.25">
      <c r="A1358" s="7"/>
      <c r="B1358" s="7"/>
      <c r="E1358" s="29"/>
      <c r="H1358" s="2"/>
      <c r="I1358" s="3"/>
      <c r="J1358" s="17"/>
      <c r="K1358" s="17"/>
      <c r="L1358" s="18"/>
      <c r="M1358" s="18"/>
      <c r="P1358" s="3"/>
      <c r="Q1358" s="4"/>
      <c r="R1358" s="19"/>
      <c r="S1358" s="20"/>
      <c r="U1358" s="3" t="str">
        <f t="shared" si="46"/>
        <v/>
      </c>
      <c r="V1358" s="4" t="str">
        <f t="shared" si="47"/>
        <v/>
      </c>
      <c r="W1358" s="21" t="e" cm="1">
        <f t="array" ref="W1358">_xlfn.IFS(
  A1358="BELL", "WHITE",
  A1358="GAMP", "ORANGE",
  A1358="GAMM", "GREEN",
  A1358="BWF", "YELLOW",
  OR(A1358="TNBE", A1358="TNBL", A1358="TNBD", A1358="TNWC", A1358="TNBW", A1358="THBS"), "PINK",
  A1358="CRWD", "BLUE",
  A1358="PASS", "WHITE"
)</f>
        <v>#N/A</v>
      </c>
    </row>
    <row r="1359" spans="1:23" x14ac:dyDescent="0.25">
      <c r="A1359" s="7"/>
      <c r="B1359" s="7"/>
      <c r="E1359" s="29"/>
      <c r="H1359" s="2"/>
      <c r="I1359" s="3"/>
      <c r="J1359" s="17"/>
      <c r="K1359" s="17"/>
      <c r="L1359" s="18"/>
      <c r="M1359" s="18"/>
      <c r="P1359" s="3"/>
      <c r="Q1359" s="4"/>
      <c r="R1359" s="19"/>
      <c r="S1359" s="20"/>
      <c r="U1359" s="3" t="str">
        <f t="shared" si="46"/>
        <v/>
      </c>
      <c r="V1359" s="4" t="str">
        <f t="shared" si="47"/>
        <v/>
      </c>
      <c r="W1359" s="21" t="e" cm="1">
        <f t="array" ref="W1359">_xlfn.IFS(
  A1359="BELL", "WHITE",
  A1359="GAMP", "ORANGE",
  A1359="GAMM", "GREEN",
  A1359="BWF", "YELLOW",
  OR(A1359="TNBE", A1359="TNBL", A1359="TNBD", A1359="TNWC", A1359="TNBW", A1359="THBS"), "PINK",
  A1359="CRWD", "BLUE",
  A1359="PASS", "WHITE"
)</f>
        <v>#N/A</v>
      </c>
    </row>
    <row r="1360" spans="1:23" x14ac:dyDescent="0.25">
      <c r="A1360" s="7"/>
      <c r="B1360" s="7"/>
      <c r="E1360" s="29"/>
      <c r="H1360" s="2"/>
      <c r="I1360" s="3"/>
      <c r="J1360" s="17"/>
      <c r="K1360" s="17"/>
      <c r="L1360" s="18"/>
      <c r="M1360" s="18"/>
      <c r="P1360" s="3"/>
      <c r="Q1360" s="4"/>
      <c r="R1360" s="19"/>
      <c r="S1360" s="20"/>
      <c r="U1360" s="3" t="str">
        <f t="shared" si="46"/>
        <v/>
      </c>
      <c r="V1360" s="4" t="str">
        <f t="shared" si="47"/>
        <v/>
      </c>
      <c r="W1360" s="21" t="e" cm="1">
        <f t="array" ref="W1360">_xlfn.IFS(
  A1360="BELL", "WHITE",
  A1360="GAMP", "ORANGE",
  A1360="GAMM", "GREEN",
  A1360="BWF", "YELLOW",
  OR(A1360="TNBE", A1360="TNBL", A1360="TNBD", A1360="TNWC", A1360="TNBW", A1360="THBS"), "PINK",
  A1360="CRWD", "BLUE",
  A1360="PASS", "WHITE"
)</f>
        <v>#N/A</v>
      </c>
    </row>
    <row r="1361" spans="1:23" x14ac:dyDescent="0.25">
      <c r="A1361" s="7"/>
      <c r="B1361" s="7"/>
      <c r="E1361" s="29"/>
      <c r="H1361" s="2"/>
      <c r="I1361" s="3"/>
      <c r="J1361" s="17"/>
      <c r="K1361" s="17"/>
      <c r="L1361" s="18"/>
      <c r="M1361" s="18"/>
      <c r="P1361" s="3"/>
      <c r="Q1361" s="4"/>
      <c r="R1361" s="19"/>
      <c r="S1361" s="20"/>
      <c r="U1361" s="3" t="str">
        <f t="shared" si="46"/>
        <v/>
      </c>
      <c r="V1361" s="4" t="str">
        <f t="shared" si="47"/>
        <v/>
      </c>
      <c r="W1361" s="21" t="e" cm="1">
        <f t="array" ref="W1361">_xlfn.IFS(
  A1361="BELL", "WHITE",
  A1361="GAMP", "ORANGE",
  A1361="GAMM", "GREEN",
  A1361="BWF", "YELLOW",
  OR(A1361="TNBE", A1361="TNBL", A1361="TNBD", A1361="TNWC", A1361="TNBW", A1361="THBS"), "PINK",
  A1361="CRWD", "BLUE",
  A1361="PASS", "WHITE"
)</f>
        <v>#N/A</v>
      </c>
    </row>
    <row r="1362" spans="1:23" x14ac:dyDescent="0.25">
      <c r="A1362" s="7"/>
      <c r="B1362" s="7"/>
      <c r="E1362" s="29"/>
      <c r="H1362" s="2"/>
      <c r="I1362" s="3"/>
      <c r="J1362" s="17"/>
      <c r="K1362" s="17"/>
      <c r="L1362" s="18"/>
      <c r="M1362" s="18"/>
      <c r="P1362" s="3"/>
      <c r="Q1362" s="4"/>
      <c r="R1362" s="19"/>
      <c r="S1362" s="20"/>
      <c r="U1362" s="3" t="str">
        <f t="shared" si="46"/>
        <v/>
      </c>
      <c r="V1362" s="4" t="str">
        <f t="shared" si="47"/>
        <v/>
      </c>
      <c r="W1362" s="21" t="e" cm="1">
        <f t="array" ref="W1362">_xlfn.IFS(
  A1362="BELL", "WHITE",
  A1362="GAMP", "ORANGE",
  A1362="GAMM", "GREEN",
  A1362="BWF", "YELLOW",
  OR(A1362="TNBE", A1362="TNBL", A1362="TNBD", A1362="TNWC", A1362="TNBW", A1362="THBS"), "PINK",
  A1362="CRWD", "BLUE",
  A1362="PASS", "WHITE"
)</f>
        <v>#N/A</v>
      </c>
    </row>
    <row r="1363" spans="1:23" x14ac:dyDescent="0.25">
      <c r="A1363" s="7"/>
      <c r="B1363" s="7"/>
      <c r="E1363" s="29"/>
      <c r="H1363" s="2"/>
      <c r="I1363" s="3"/>
      <c r="J1363" s="17"/>
      <c r="K1363" s="17"/>
      <c r="L1363" s="18"/>
      <c r="M1363" s="18"/>
      <c r="P1363" s="3"/>
      <c r="Q1363" s="4"/>
      <c r="R1363" s="19"/>
      <c r="S1363" s="20"/>
      <c r="U1363" s="3" t="str">
        <f t="shared" si="46"/>
        <v/>
      </c>
      <c r="V1363" s="4" t="str">
        <f t="shared" si="47"/>
        <v/>
      </c>
      <c r="W1363" s="21" t="e" cm="1">
        <f t="array" ref="W1363">_xlfn.IFS(
  A1363="BELL", "WHITE",
  A1363="GAMP", "ORANGE",
  A1363="GAMM", "GREEN",
  A1363="BWF", "YELLOW",
  OR(A1363="TNBE", A1363="TNBL", A1363="TNBD", A1363="TNWC", A1363="TNBW", A1363="THBS"), "PINK",
  A1363="CRWD", "BLUE",
  A1363="PASS", "WHITE"
)</f>
        <v>#N/A</v>
      </c>
    </row>
    <row r="1364" spans="1:23" x14ac:dyDescent="0.25">
      <c r="A1364" s="7"/>
      <c r="B1364" s="7"/>
      <c r="E1364" s="29"/>
      <c r="H1364" s="2"/>
      <c r="I1364" s="3"/>
      <c r="J1364" s="17"/>
      <c r="K1364" s="17"/>
      <c r="L1364" s="18"/>
      <c r="M1364" s="18"/>
      <c r="P1364" s="3"/>
      <c r="Q1364" s="4"/>
      <c r="R1364" s="19"/>
      <c r="S1364" s="20"/>
      <c r="U1364" s="3" t="str">
        <f t="shared" si="46"/>
        <v/>
      </c>
      <c r="V1364" s="4" t="str">
        <f t="shared" si="47"/>
        <v/>
      </c>
      <c r="W1364" s="21" t="e" cm="1">
        <f t="array" ref="W1364">_xlfn.IFS(
  A1364="BELL", "WHITE",
  A1364="GAMP", "ORANGE",
  A1364="GAMM", "GREEN",
  A1364="BWF", "YELLOW",
  OR(A1364="TNBE", A1364="TNBL", A1364="TNBD", A1364="TNWC", A1364="TNBW", A1364="THBS"), "PINK",
  A1364="CRWD", "BLUE",
  A1364="PASS", "WHITE"
)</f>
        <v>#N/A</v>
      </c>
    </row>
    <row r="1365" spans="1:23" x14ac:dyDescent="0.25">
      <c r="A1365" s="7"/>
      <c r="B1365" s="7"/>
      <c r="E1365" s="29"/>
      <c r="H1365" s="2"/>
      <c r="I1365" s="3"/>
      <c r="J1365" s="17"/>
      <c r="K1365" s="17"/>
      <c r="L1365" s="18"/>
      <c r="M1365" s="18"/>
      <c r="P1365" s="3"/>
      <c r="Q1365" s="4"/>
      <c r="R1365" s="19"/>
      <c r="S1365" s="20"/>
      <c r="U1365" s="3" t="str">
        <f t="shared" si="46"/>
        <v/>
      </c>
      <c r="V1365" s="4" t="str">
        <f t="shared" si="47"/>
        <v/>
      </c>
      <c r="W1365" s="21" t="e" cm="1">
        <f t="array" ref="W1365">_xlfn.IFS(
  A1365="BELL", "WHITE",
  A1365="GAMP", "ORANGE",
  A1365="GAMM", "GREEN",
  A1365="BWF", "YELLOW",
  OR(A1365="TNBE", A1365="TNBL", A1365="TNBD", A1365="TNWC", A1365="TNBW", A1365="THBS"), "PINK",
  A1365="CRWD", "BLUE",
  A1365="PASS", "WHITE"
)</f>
        <v>#N/A</v>
      </c>
    </row>
    <row r="1366" spans="1:23" x14ac:dyDescent="0.25">
      <c r="A1366" s="7"/>
      <c r="B1366" s="7"/>
      <c r="E1366" s="29"/>
      <c r="H1366" s="2"/>
      <c r="I1366" s="3"/>
      <c r="J1366" s="17"/>
      <c r="K1366" s="17"/>
      <c r="L1366" s="18"/>
      <c r="M1366" s="18"/>
      <c r="P1366" s="3"/>
      <c r="Q1366" s="4"/>
      <c r="R1366" s="19"/>
      <c r="S1366" s="20"/>
      <c r="U1366" s="3" t="str">
        <f t="shared" si="46"/>
        <v/>
      </c>
      <c r="V1366" s="4" t="str">
        <f t="shared" si="47"/>
        <v/>
      </c>
      <c r="W1366" s="21" t="e" cm="1">
        <f t="array" ref="W1366">_xlfn.IFS(
  A1366="BELL", "WHITE",
  A1366="GAMP", "ORANGE",
  A1366="GAMM", "GREEN",
  A1366="BWF", "YELLOW",
  OR(A1366="TNBE", A1366="TNBL", A1366="TNBD", A1366="TNWC", A1366="TNBW", A1366="THBS"), "PINK",
  A1366="CRWD", "BLUE",
  A1366="PASS", "WHITE"
)</f>
        <v>#N/A</v>
      </c>
    </row>
    <row r="1367" spans="1:23" x14ac:dyDescent="0.25">
      <c r="A1367" s="7"/>
      <c r="B1367" s="7"/>
      <c r="E1367" s="29"/>
      <c r="H1367" s="2"/>
      <c r="I1367" s="3"/>
      <c r="J1367" s="17"/>
      <c r="K1367" s="17"/>
      <c r="L1367" s="18"/>
      <c r="M1367" s="18"/>
      <c r="P1367" s="3"/>
      <c r="Q1367" s="4"/>
      <c r="R1367" s="19"/>
      <c r="S1367" s="20"/>
      <c r="U1367" s="3" t="str">
        <f t="shared" si="46"/>
        <v/>
      </c>
      <c r="V1367" s="4" t="str">
        <f t="shared" si="47"/>
        <v/>
      </c>
      <c r="W1367" s="21" t="e" cm="1">
        <f t="array" ref="W1367">_xlfn.IFS(
  A1367="BELL", "WHITE",
  A1367="GAMP", "ORANGE",
  A1367="GAMM", "GREEN",
  A1367="BWF", "YELLOW",
  OR(A1367="TNBE", A1367="TNBL", A1367="TNBD", A1367="TNWC", A1367="TNBW", A1367="THBS"), "PINK",
  A1367="CRWD", "BLUE",
  A1367="PASS", "WHITE"
)</f>
        <v>#N/A</v>
      </c>
    </row>
    <row r="1368" spans="1:23" x14ac:dyDescent="0.25">
      <c r="A1368" s="7"/>
      <c r="B1368" s="7"/>
      <c r="E1368" s="29"/>
      <c r="H1368" s="2"/>
      <c r="I1368" s="3"/>
      <c r="J1368" s="17"/>
      <c r="K1368" s="17"/>
      <c r="L1368" s="18"/>
      <c r="M1368" s="18"/>
      <c r="P1368" s="3"/>
      <c r="Q1368" s="4"/>
      <c r="R1368" s="19"/>
      <c r="S1368" s="20"/>
      <c r="U1368" s="3" t="str">
        <f t="shared" si="46"/>
        <v/>
      </c>
      <c r="V1368" s="4" t="str">
        <f t="shared" si="47"/>
        <v/>
      </c>
      <c r="W1368" s="21" t="e" cm="1">
        <f t="array" ref="W1368">_xlfn.IFS(
  A1368="BELL", "WHITE",
  A1368="GAMP", "ORANGE",
  A1368="GAMM", "GREEN",
  A1368="BWF", "YELLOW",
  OR(A1368="TNBE", A1368="TNBL", A1368="TNBD", A1368="TNWC", A1368="TNBW", A1368="THBS"), "PINK",
  A1368="CRWD", "BLUE",
  A1368="PASS", "WHITE"
)</f>
        <v>#N/A</v>
      </c>
    </row>
    <row r="1369" spans="1:23" x14ac:dyDescent="0.25">
      <c r="A1369" s="7"/>
      <c r="B1369" s="7"/>
      <c r="E1369" s="29"/>
      <c r="H1369" s="2"/>
      <c r="I1369" s="3"/>
      <c r="J1369" s="17"/>
      <c r="K1369" s="17"/>
      <c r="L1369" s="18"/>
      <c r="M1369" s="18"/>
      <c r="P1369" s="3"/>
      <c r="Q1369" s="4"/>
      <c r="R1369" s="19"/>
      <c r="S1369" s="20"/>
      <c r="U1369" s="3" t="str">
        <f t="shared" si="46"/>
        <v/>
      </c>
      <c r="V1369" s="4" t="str">
        <f t="shared" si="47"/>
        <v/>
      </c>
      <c r="W1369" s="21" t="e" cm="1">
        <f t="array" ref="W1369">_xlfn.IFS(
  A1369="BELL", "WHITE",
  A1369="GAMP", "ORANGE",
  A1369="GAMM", "GREEN",
  A1369="BWF", "YELLOW",
  OR(A1369="TNBE", A1369="TNBL", A1369="TNBD", A1369="TNWC", A1369="TNBW", A1369="THBS"), "PINK",
  A1369="CRWD", "BLUE",
  A1369="PASS", "WHITE"
)</f>
        <v>#N/A</v>
      </c>
    </row>
    <row r="1370" spans="1:23" x14ac:dyDescent="0.25">
      <c r="A1370" s="7"/>
      <c r="B1370" s="7"/>
      <c r="E1370" s="29"/>
      <c r="H1370" s="2"/>
      <c r="I1370" s="3"/>
      <c r="J1370" s="17"/>
      <c r="K1370" s="17"/>
      <c r="L1370" s="18"/>
      <c r="M1370" s="3"/>
      <c r="P1370" s="3"/>
      <c r="Q1370" s="4"/>
      <c r="R1370" s="19"/>
      <c r="S1370" s="20"/>
      <c r="U1370" s="3" t="str">
        <f t="shared" si="46"/>
        <v/>
      </c>
      <c r="V1370" s="4" t="str">
        <f t="shared" si="47"/>
        <v/>
      </c>
      <c r="W1370" s="21" t="e" cm="1">
        <f t="array" ref="W1370">_xlfn.IFS(
  A1370="BELL", "WHITE",
  A1370="GAMP", "ORANGE",
  A1370="GAMM", "GREEN",
  A1370="BWF", "YELLOW",
  OR(A1370="TNBE", A1370="TNBL", A1370="TNBD", A1370="TNWC", A1370="TNBW", A1370="THBS"), "PINK",
  A1370="CRWD", "BLUE",
  A1370="PASS", "WHITE"
)</f>
        <v>#N/A</v>
      </c>
    </row>
    <row r="1371" spans="1:23" x14ac:dyDescent="0.25">
      <c r="A1371" s="7"/>
      <c r="B1371" s="7"/>
      <c r="E1371" s="29"/>
      <c r="H1371" s="2"/>
      <c r="I1371" s="3"/>
      <c r="J1371" s="17"/>
      <c r="K1371" s="17"/>
      <c r="L1371" s="18"/>
      <c r="M1371" s="3"/>
      <c r="P1371" s="3"/>
      <c r="Q1371" s="4"/>
      <c r="R1371" s="19"/>
      <c r="S1371" s="20"/>
      <c r="U1371" s="3" t="str">
        <f t="shared" si="46"/>
        <v/>
      </c>
      <c r="V1371" s="4" t="str">
        <f t="shared" si="47"/>
        <v/>
      </c>
      <c r="W1371" s="21" t="e" cm="1">
        <f t="array" ref="W1371">_xlfn.IFS(
  A1371="BELL", "WHITE",
  A1371="GAMP", "ORANGE",
  A1371="GAMM", "GREEN",
  A1371="BWF", "YELLOW",
  OR(A1371="TNBE", A1371="TNBL", A1371="TNBD", A1371="TNWC", A1371="TNBW", A1371="THBS"), "PINK",
  A1371="CRWD", "BLUE",
  A1371="PASS", "WHITE"
)</f>
        <v>#N/A</v>
      </c>
    </row>
    <row r="1372" spans="1:23" x14ac:dyDescent="0.25">
      <c r="A1372" s="7"/>
      <c r="B1372" s="7"/>
      <c r="E1372" s="29"/>
      <c r="H1372" s="2"/>
      <c r="I1372" s="3"/>
      <c r="J1372" s="17"/>
      <c r="K1372" s="17"/>
      <c r="L1372" s="18"/>
      <c r="M1372" s="18"/>
      <c r="P1372" s="3"/>
      <c r="Q1372" s="4"/>
      <c r="R1372" s="19"/>
      <c r="S1372" s="20"/>
      <c r="U1372" s="3" t="str">
        <f t="shared" si="46"/>
        <v/>
      </c>
      <c r="V1372" s="4" t="str">
        <f t="shared" si="47"/>
        <v/>
      </c>
      <c r="W1372" s="21" t="e" cm="1">
        <f t="array" ref="W1372">_xlfn.IFS(
  A1372="BELL", "WHITE",
  A1372="GAMP", "ORANGE",
  A1372="GAMM", "GREEN",
  A1372="BWF", "YELLOW",
  OR(A1372="TNBE", A1372="TNBL", A1372="TNBD", A1372="TNWC", A1372="TNBW", A1372="THBS"), "PINK",
  A1372="CRWD", "BLUE",
  A1372="PASS", "WHITE"
)</f>
        <v>#N/A</v>
      </c>
    </row>
    <row r="1373" spans="1:23" x14ac:dyDescent="0.25">
      <c r="A1373" s="7"/>
      <c r="B1373" s="7"/>
      <c r="E1373" s="29"/>
      <c r="H1373" s="2"/>
      <c r="I1373" s="3"/>
      <c r="J1373" s="17"/>
      <c r="K1373" s="17"/>
      <c r="L1373" s="18"/>
      <c r="M1373" s="18"/>
      <c r="P1373" s="3"/>
      <c r="Q1373" s="4"/>
      <c r="R1373" s="19"/>
      <c r="S1373" s="20"/>
      <c r="U1373" s="3" t="str">
        <f t="shared" si="46"/>
        <v/>
      </c>
      <c r="V1373" s="4" t="str">
        <f t="shared" si="47"/>
        <v/>
      </c>
      <c r="W1373" s="21" t="e" cm="1">
        <f t="array" ref="W1373">_xlfn.IFS(
  A1373="BELL", "WHITE",
  A1373="GAMP", "ORANGE",
  A1373="GAMM", "GREEN",
  A1373="BWF", "YELLOW",
  OR(A1373="TNBE", A1373="TNBL", A1373="TNBD", A1373="TNWC", A1373="TNBW", A1373="THBS"), "PINK",
  A1373="CRWD", "BLUE",
  A1373="PASS", "WHITE"
)</f>
        <v>#N/A</v>
      </c>
    </row>
    <row r="1374" spans="1:23" x14ac:dyDescent="0.25">
      <c r="A1374" s="7"/>
      <c r="B1374" s="7"/>
      <c r="E1374" s="29"/>
      <c r="H1374" s="2"/>
      <c r="I1374" s="3"/>
      <c r="J1374" s="17"/>
      <c r="K1374" s="17"/>
      <c r="L1374" s="18"/>
      <c r="M1374" s="3"/>
      <c r="P1374" s="3"/>
      <c r="Q1374" s="4"/>
      <c r="R1374" s="19"/>
      <c r="S1374" s="20"/>
      <c r="U1374" s="3" t="str">
        <f t="shared" si="46"/>
        <v/>
      </c>
      <c r="V1374" s="4" t="str">
        <f t="shared" si="47"/>
        <v/>
      </c>
      <c r="W1374" s="21" t="e" cm="1">
        <f t="array" ref="W1374">_xlfn.IFS(
  A1374="BELL", "WHITE",
  A1374="GAMP", "ORANGE",
  A1374="GAMM", "GREEN",
  A1374="BWF", "YELLOW",
  OR(A1374="TNBE", A1374="TNBL", A1374="TNBD", A1374="TNWC", A1374="TNBW", A1374="THBS"), "PINK",
  A1374="CRWD", "BLUE",
  A1374="PASS", "WHITE"
)</f>
        <v>#N/A</v>
      </c>
    </row>
    <row r="1375" spans="1:23" x14ac:dyDescent="0.25">
      <c r="A1375" s="7"/>
      <c r="B1375" s="7"/>
      <c r="E1375" s="29"/>
      <c r="H1375" s="2"/>
      <c r="I1375" s="3"/>
      <c r="J1375" s="17"/>
      <c r="K1375" s="17"/>
      <c r="L1375" s="18"/>
      <c r="M1375" s="3"/>
      <c r="P1375" s="3"/>
      <c r="Q1375" s="4"/>
      <c r="R1375" s="19"/>
      <c r="S1375" s="20"/>
      <c r="U1375" s="3" t="str">
        <f t="shared" si="46"/>
        <v/>
      </c>
      <c r="V1375" s="4" t="str">
        <f t="shared" si="47"/>
        <v/>
      </c>
      <c r="W1375" s="21" t="e" cm="1">
        <f t="array" ref="W1375">_xlfn.IFS(
  A1375="BELL", "WHITE",
  A1375="GAMP", "ORANGE",
  A1375="GAMM", "GREEN",
  A1375="BWF", "YELLOW",
  OR(A1375="TNBE", A1375="TNBL", A1375="TNBD", A1375="TNWC", A1375="TNBW", A1375="THBS"), "PINK",
  A1375="CRWD", "BLUE",
  A1375="PASS", "WHITE"
)</f>
        <v>#N/A</v>
      </c>
    </row>
    <row r="1376" spans="1:23" x14ac:dyDescent="0.25">
      <c r="A1376" s="7"/>
      <c r="B1376" s="7"/>
      <c r="E1376" s="29"/>
      <c r="H1376" s="2"/>
      <c r="I1376" s="3"/>
      <c r="J1376" s="17"/>
      <c r="K1376" s="17"/>
      <c r="L1376" s="18"/>
      <c r="M1376" s="3"/>
      <c r="P1376" s="3"/>
      <c r="Q1376" s="4"/>
      <c r="R1376" s="19"/>
      <c r="S1376" s="20"/>
      <c r="U1376" s="3" t="str">
        <f t="shared" si="46"/>
        <v/>
      </c>
      <c r="V1376" s="4" t="str">
        <f t="shared" si="47"/>
        <v/>
      </c>
      <c r="W1376" s="21" t="e" cm="1">
        <f t="array" ref="W1376">_xlfn.IFS(
  A1376="BELL", "WHITE",
  A1376="GAMP", "ORANGE",
  A1376="GAMM", "GREEN",
  A1376="BWF", "YELLOW",
  OR(A1376="TNBE", A1376="TNBL", A1376="TNBD", A1376="TNWC", A1376="TNBW", A1376="THBS"), "PINK",
  A1376="CRWD", "BLUE",
  A1376="PASS", "WHITE"
)</f>
        <v>#N/A</v>
      </c>
    </row>
    <row r="1377" spans="1:23" x14ac:dyDescent="0.25">
      <c r="A1377" s="7"/>
      <c r="B1377" s="7"/>
      <c r="E1377" s="29"/>
      <c r="H1377" s="2"/>
      <c r="I1377" s="3"/>
      <c r="J1377" s="17"/>
      <c r="K1377" s="17"/>
      <c r="L1377" s="18"/>
      <c r="M1377" s="18"/>
      <c r="P1377" s="3"/>
      <c r="Q1377" s="4"/>
      <c r="R1377" s="19"/>
      <c r="S1377" s="20"/>
      <c r="U1377" s="3" t="str">
        <f t="shared" si="46"/>
        <v/>
      </c>
      <c r="V1377" s="4" t="str">
        <f t="shared" si="47"/>
        <v/>
      </c>
      <c r="W1377" s="21" t="e" cm="1">
        <f t="array" ref="W1377">_xlfn.IFS(
  A1377="BELL", "WHITE",
  A1377="GAMP", "ORANGE",
  A1377="GAMM", "GREEN",
  A1377="BWF", "YELLOW",
  OR(A1377="TNBE", A1377="TNBL", A1377="TNBD", A1377="TNWC", A1377="TNBW", A1377="THBS"), "PINK",
  A1377="CRWD", "BLUE",
  A1377="PASS", "WHITE"
)</f>
        <v>#N/A</v>
      </c>
    </row>
    <row r="1378" spans="1:23" x14ac:dyDescent="0.25">
      <c r="A1378" s="7"/>
      <c r="B1378" s="7"/>
      <c r="E1378" s="29"/>
      <c r="H1378" s="2"/>
      <c r="I1378" s="3"/>
      <c r="J1378" s="17"/>
      <c r="K1378" s="17"/>
      <c r="L1378" s="18"/>
      <c r="M1378" s="18"/>
      <c r="P1378" s="3"/>
      <c r="Q1378" s="4"/>
      <c r="R1378" s="19"/>
      <c r="S1378" s="20"/>
      <c r="U1378" s="3" t="str">
        <f t="shared" si="46"/>
        <v/>
      </c>
      <c r="V1378" s="4" t="str">
        <f t="shared" si="47"/>
        <v/>
      </c>
      <c r="W1378" s="21" t="e" cm="1">
        <f t="array" ref="W1378">_xlfn.IFS(
  A1378="BELL", "WHITE",
  A1378="GAMP", "ORANGE",
  A1378="GAMM", "GREEN",
  A1378="BWF", "YELLOW",
  OR(A1378="TNBE", A1378="TNBL", A1378="TNBD", A1378="TNWC", A1378="TNBW", A1378="THBS"), "PINK",
  A1378="CRWD", "BLUE",
  A1378="PASS", "WHITE"
)</f>
        <v>#N/A</v>
      </c>
    </row>
    <row r="1379" spans="1:23" x14ac:dyDescent="0.25">
      <c r="A1379" s="7"/>
      <c r="B1379" s="7"/>
      <c r="E1379" s="29"/>
      <c r="H1379" s="2"/>
      <c r="I1379" s="3"/>
      <c r="J1379" s="17"/>
      <c r="K1379" s="17"/>
      <c r="L1379" s="18"/>
      <c r="M1379" s="3"/>
      <c r="P1379" s="3"/>
      <c r="Q1379" s="4"/>
      <c r="R1379" s="19"/>
      <c r="S1379" s="20"/>
      <c r="U1379" s="3" t="str">
        <f t="shared" si="46"/>
        <v/>
      </c>
      <c r="V1379" s="4" t="str">
        <f t="shared" si="47"/>
        <v/>
      </c>
      <c r="W1379" s="21" t="e" cm="1">
        <f t="array" ref="W1379">_xlfn.IFS(
  A1379="BELL", "WHITE",
  A1379="GAMP", "ORANGE",
  A1379="GAMM", "GREEN",
  A1379="BWF", "YELLOW",
  OR(A1379="TNBE", A1379="TNBL", A1379="TNBD", A1379="TNWC", A1379="TNBW", A1379="THBS"), "PINK",
  A1379="CRWD", "BLUE",
  A1379="PASS", "WHITE"
)</f>
        <v>#N/A</v>
      </c>
    </row>
    <row r="1380" spans="1:23" x14ac:dyDescent="0.25">
      <c r="A1380" s="7"/>
      <c r="B1380" s="7"/>
      <c r="E1380" s="29"/>
      <c r="H1380" s="2"/>
      <c r="I1380" s="3"/>
      <c r="J1380" s="17"/>
      <c r="K1380" s="17"/>
      <c r="L1380" s="18"/>
      <c r="M1380" s="18"/>
      <c r="P1380" s="3"/>
      <c r="Q1380" s="4"/>
      <c r="R1380" s="19"/>
      <c r="S1380" s="20"/>
      <c r="U1380" s="3" t="str">
        <f t="shared" si="46"/>
        <v/>
      </c>
      <c r="V1380" s="4" t="str">
        <f t="shared" si="47"/>
        <v/>
      </c>
      <c r="W1380" s="21" t="e" cm="1">
        <f t="array" ref="W1380">_xlfn.IFS(
  A1380="BELL", "WHITE",
  A1380="GAMP", "ORANGE",
  A1380="GAMM", "GREEN",
  A1380="BWF", "YELLOW",
  OR(A1380="TNBE", A1380="TNBL", A1380="TNBD", A1380="TNWC", A1380="TNBW", A1380="THBS"), "PINK",
  A1380="CRWD", "BLUE",
  A1380="PASS", "WHITE"
)</f>
        <v>#N/A</v>
      </c>
    </row>
    <row r="1381" spans="1:23" x14ac:dyDescent="0.25">
      <c r="A1381" s="7"/>
      <c r="B1381" s="7"/>
      <c r="E1381" s="29"/>
      <c r="H1381" s="2"/>
      <c r="I1381" s="3"/>
      <c r="J1381" s="17"/>
      <c r="K1381" s="17"/>
      <c r="L1381" s="18"/>
      <c r="M1381" s="18"/>
      <c r="P1381" s="3"/>
      <c r="Q1381" s="4"/>
      <c r="R1381" s="19"/>
      <c r="S1381" s="20"/>
      <c r="U1381" s="3" t="str">
        <f t="shared" si="46"/>
        <v/>
      </c>
      <c r="V1381" s="4" t="str">
        <f t="shared" si="47"/>
        <v/>
      </c>
      <c r="W1381" s="21" t="e" cm="1">
        <f t="array" ref="W1381">_xlfn.IFS(
  A1381="BELL", "WHITE",
  A1381="GAMP", "ORANGE",
  A1381="GAMM", "GREEN",
  A1381="BWF", "YELLOW",
  OR(A1381="TNBE", A1381="TNBL", A1381="TNBD", A1381="TNWC", A1381="TNBW", A1381="THBS"), "PINK",
  A1381="CRWD", "BLUE",
  A1381="PASS", "WHITE"
)</f>
        <v>#N/A</v>
      </c>
    </row>
    <row r="1382" spans="1:23" x14ac:dyDescent="0.25">
      <c r="A1382" s="7"/>
      <c r="B1382" s="7"/>
      <c r="E1382" s="29"/>
      <c r="H1382" s="2"/>
      <c r="I1382" s="3"/>
      <c r="J1382" s="17"/>
      <c r="K1382" s="17"/>
      <c r="L1382" s="18"/>
      <c r="M1382" s="3"/>
      <c r="P1382" s="3"/>
      <c r="Q1382" s="4"/>
      <c r="R1382" s="19"/>
      <c r="S1382" s="20"/>
      <c r="U1382" s="3" t="str">
        <f t="shared" si="46"/>
        <v/>
      </c>
      <c r="V1382" s="4" t="str">
        <f t="shared" si="47"/>
        <v/>
      </c>
      <c r="W1382" s="21" t="e" cm="1">
        <f t="array" ref="W1382">_xlfn.IFS(
  A1382="BELL", "WHITE",
  A1382="GAMP", "ORANGE",
  A1382="GAMM", "GREEN",
  A1382="BWF", "YELLOW",
  OR(A1382="TNBE", A1382="TNBL", A1382="TNBD", A1382="TNWC", A1382="TNBW", A1382="THBS"), "PINK",
  A1382="CRWD", "BLUE",
  A1382="PASS", "WHITE"
)</f>
        <v>#N/A</v>
      </c>
    </row>
    <row r="1383" spans="1:23" x14ac:dyDescent="0.25">
      <c r="A1383" s="7"/>
      <c r="B1383" s="7"/>
      <c r="E1383" s="29"/>
      <c r="H1383" s="2"/>
      <c r="I1383" s="3"/>
      <c r="J1383" s="17"/>
      <c r="K1383" s="17"/>
      <c r="L1383" s="18"/>
      <c r="M1383" s="3"/>
      <c r="P1383" s="3"/>
      <c r="Q1383" s="4"/>
      <c r="R1383" s="19"/>
      <c r="S1383" s="20"/>
      <c r="U1383" s="3" t="str">
        <f t="shared" si="46"/>
        <v/>
      </c>
      <c r="V1383" s="4" t="str">
        <f t="shared" si="47"/>
        <v/>
      </c>
      <c r="W1383" s="21" t="e" cm="1">
        <f t="array" ref="W1383">_xlfn.IFS(
  A1383="BELL", "WHITE",
  A1383="GAMP", "ORANGE",
  A1383="GAMM", "GREEN",
  A1383="BWF", "YELLOW",
  OR(A1383="TNBE", A1383="TNBL", A1383="TNBD", A1383="TNWC", A1383="TNBW", A1383="THBS"), "PINK",
  A1383="CRWD", "BLUE",
  A1383="PASS", "WHITE"
)</f>
        <v>#N/A</v>
      </c>
    </row>
    <row r="1384" spans="1:23" x14ac:dyDescent="0.25">
      <c r="A1384" s="7"/>
      <c r="B1384" s="7"/>
      <c r="E1384" s="29"/>
      <c r="H1384" s="2"/>
      <c r="I1384" s="3"/>
      <c r="J1384" s="17"/>
      <c r="K1384" s="17"/>
      <c r="L1384" s="18"/>
      <c r="M1384" s="18"/>
      <c r="P1384" s="3"/>
      <c r="Q1384" s="4"/>
      <c r="R1384" s="19"/>
      <c r="S1384" s="20"/>
      <c r="U1384" s="3" t="str">
        <f t="shared" si="46"/>
        <v/>
      </c>
      <c r="V1384" s="4" t="str">
        <f t="shared" si="47"/>
        <v/>
      </c>
      <c r="W1384" s="21" t="e" cm="1">
        <f t="array" ref="W1384">_xlfn.IFS(
  A1384="BELL", "WHITE",
  A1384="GAMP", "ORANGE",
  A1384="GAMM", "GREEN",
  A1384="BWF", "YELLOW",
  OR(A1384="TNBE", A1384="TNBL", A1384="TNBD", A1384="TNWC", A1384="TNBW", A1384="THBS"), "PINK",
  A1384="CRWD", "BLUE",
  A1384="PASS", "WHITE"
)</f>
        <v>#N/A</v>
      </c>
    </row>
    <row r="1385" spans="1:23" x14ac:dyDescent="0.25">
      <c r="A1385" s="7"/>
      <c r="B1385" s="7"/>
      <c r="E1385" s="29"/>
      <c r="H1385" s="2"/>
      <c r="I1385" s="3"/>
      <c r="J1385" s="17"/>
      <c r="K1385" s="17"/>
      <c r="L1385" s="18"/>
      <c r="M1385" s="18"/>
      <c r="P1385" s="3"/>
      <c r="Q1385" s="4"/>
      <c r="R1385" s="19"/>
      <c r="S1385" s="20"/>
      <c r="U1385" s="3" t="str">
        <f t="shared" si="46"/>
        <v/>
      </c>
      <c r="V1385" s="4" t="str">
        <f t="shared" si="47"/>
        <v/>
      </c>
      <c r="W1385" s="21" t="e" cm="1">
        <f t="array" ref="W1385">_xlfn.IFS(
  A1385="BELL", "WHITE",
  A1385="GAMP", "ORANGE",
  A1385="GAMM", "GREEN",
  A1385="BWF", "YELLOW",
  OR(A1385="TNBE", A1385="TNBL", A1385="TNBD", A1385="TNWC", A1385="TNBW", A1385="THBS"), "PINK",
  A1385="CRWD", "BLUE",
  A1385="PASS", "WHITE"
)</f>
        <v>#N/A</v>
      </c>
    </row>
    <row r="1386" spans="1:23" x14ac:dyDescent="0.25">
      <c r="A1386" s="7"/>
      <c r="B1386" s="7"/>
      <c r="E1386" s="29"/>
      <c r="H1386" s="2"/>
      <c r="I1386" s="3"/>
      <c r="J1386" s="17"/>
      <c r="K1386" s="17"/>
      <c r="L1386" s="18"/>
      <c r="M1386" s="18"/>
      <c r="P1386" s="3"/>
      <c r="Q1386" s="4"/>
      <c r="R1386" s="19"/>
      <c r="S1386" s="20"/>
      <c r="U1386" s="3" t="str">
        <f t="shared" si="46"/>
        <v/>
      </c>
      <c r="V1386" s="4" t="str">
        <f t="shared" si="47"/>
        <v/>
      </c>
      <c r="W1386" s="21" t="e" cm="1">
        <f t="array" ref="W1386">_xlfn.IFS(
  A1386="BELL", "WHITE",
  A1386="GAMP", "ORANGE",
  A1386="GAMM", "GREEN",
  A1386="BWF", "YELLOW",
  OR(A1386="TNBE", A1386="TNBL", A1386="TNBD", A1386="TNWC", A1386="TNBW", A1386="THBS"), "PINK",
  A1386="CRWD", "BLUE",
  A1386="PASS", "WHITE"
)</f>
        <v>#N/A</v>
      </c>
    </row>
    <row r="1387" spans="1:23" x14ac:dyDescent="0.25">
      <c r="A1387" s="7"/>
      <c r="B1387" s="7"/>
      <c r="E1387" s="29"/>
      <c r="H1387" s="2"/>
      <c r="I1387" s="3"/>
      <c r="J1387" s="17"/>
      <c r="K1387" s="17"/>
      <c r="L1387" s="18"/>
      <c r="M1387" s="18"/>
      <c r="P1387" s="3"/>
      <c r="Q1387" s="4"/>
      <c r="R1387" s="19"/>
      <c r="S1387" s="20"/>
      <c r="U1387" s="3" t="str">
        <f t="shared" si="46"/>
        <v/>
      </c>
      <c r="V1387" s="4" t="str">
        <f t="shared" si="47"/>
        <v/>
      </c>
      <c r="W1387" s="21" t="e" cm="1">
        <f t="array" ref="W1387">_xlfn.IFS(
  A1387="BELL", "WHITE",
  A1387="GAMP", "ORANGE",
  A1387="GAMM", "GREEN",
  A1387="BWF", "YELLOW",
  OR(A1387="TNBE", A1387="TNBL", A1387="TNBD", A1387="TNWC", A1387="TNBW", A1387="THBS"), "PINK",
  A1387="CRWD", "BLUE",
  A1387="PASS", "WHITE"
)</f>
        <v>#N/A</v>
      </c>
    </row>
    <row r="1388" spans="1:23" x14ac:dyDescent="0.25">
      <c r="A1388" s="7"/>
      <c r="B1388" s="7"/>
      <c r="E1388" s="29"/>
      <c r="H1388" s="2"/>
      <c r="I1388" s="3"/>
      <c r="J1388" s="17"/>
      <c r="K1388" s="17"/>
      <c r="L1388" s="18"/>
      <c r="M1388" s="18"/>
      <c r="P1388" s="3"/>
      <c r="Q1388" s="4"/>
      <c r="R1388" s="19"/>
      <c r="S1388" s="20"/>
      <c r="U1388" s="3" t="str">
        <f t="shared" si="46"/>
        <v/>
      </c>
      <c r="V1388" s="4" t="str">
        <f t="shared" si="47"/>
        <v/>
      </c>
      <c r="W1388" s="21" t="e" cm="1">
        <f t="array" ref="W1388">_xlfn.IFS(
  A1388="BELL", "WHITE",
  A1388="GAMP", "ORANGE",
  A1388="GAMM", "GREEN",
  A1388="BWF", "YELLOW",
  OR(A1388="TNBE", A1388="TNBL", A1388="TNBD", A1388="TNWC", A1388="TNBW", A1388="THBS"), "PINK",
  A1388="CRWD", "BLUE",
  A1388="PASS", "WHITE"
)</f>
        <v>#N/A</v>
      </c>
    </row>
    <row r="1389" spans="1:23" x14ac:dyDescent="0.25">
      <c r="A1389" s="7"/>
      <c r="B1389" s="7"/>
      <c r="E1389" s="29"/>
      <c r="H1389" s="2"/>
      <c r="I1389" s="3"/>
      <c r="J1389" s="17"/>
      <c r="K1389" s="17"/>
      <c r="L1389" s="18"/>
      <c r="M1389" s="18"/>
      <c r="P1389" s="3"/>
      <c r="Q1389" s="4"/>
      <c r="R1389" s="19"/>
      <c r="S1389" s="20"/>
      <c r="U1389" s="3" t="str">
        <f t="shared" si="46"/>
        <v/>
      </c>
      <c r="V1389" s="4" t="str">
        <f t="shared" si="47"/>
        <v/>
      </c>
      <c r="W1389" s="21" t="e" cm="1">
        <f t="array" ref="W1389">_xlfn.IFS(
  A1389="BELL", "WHITE",
  A1389="GAMP", "ORANGE",
  A1389="GAMM", "GREEN",
  A1389="BWF", "YELLOW",
  OR(A1389="TNBE", A1389="TNBL", A1389="TNBD", A1389="TNWC", A1389="TNBW", A1389="THBS"), "PINK",
  A1389="CRWD", "BLUE",
  A1389="PASS", "WHITE"
)</f>
        <v>#N/A</v>
      </c>
    </row>
    <row r="1390" spans="1:23" x14ac:dyDescent="0.25">
      <c r="A1390" s="7"/>
      <c r="B1390" s="7"/>
      <c r="E1390" s="29"/>
      <c r="H1390" s="2"/>
      <c r="I1390" s="3"/>
      <c r="J1390" s="17"/>
      <c r="K1390" s="17"/>
      <c r="L1390" s="18"/>
      <c r="M1390" s="18"/>
      <c r="P1390" s="3"/>
      <c r="Q1390" s="4"/>
      <c r="R1390" s="19"/>
      <c r="S1390" s="20"/>
      <c r="U1390" s="3" t="str">
        <f t="shared" si="46"/>
        <v/>
      </c>
      <c r="V1390" s="4" t="str">
        <f t="shared" si="47"/>
        <v/>
      </c>
      <c r="W1390" s="21" t="e" cm="1">
        <f t="array" ref="W1390">_xlfn.IFS(
  A1390="BELL", "WHITE",
  A1390="GAMP", "ORANGE",
  A1390="GAMM", "GREEN",
  A1390="BWF", "YELLOW",
  OR(A1390="TNBE", A1390="TNBL", A1390="TNBD", A1390="TNWC", A1390="TNBW", A1390="THBS"), "PINK",
  A1390="CRWD", "BLUE",
  A1390="PASS", "WHITE"
)</f>
        <v>#N/A</v>
      </c>
    </row>
    <row r="1391" spans="1:23" x14ac:dyDescent="0.25">
      <c r="A1391" s="7"/>
      <c r="B1391" s="7"/>
      <c r="E1391" s="29"/>
      <c r="H1391" s="2"/>
      <c r="I1391" s="3"/>
      <c r="J1391" s="17"/>
      <c r="K1391" s="17"/>
      <c r="L1391" s="18"/>
      <c r="M1391" s="18"/>
      <c r="P1391" s="3"/>
      <c r="Q1391" s="4"/>
      <c r="R1391" s="19"/>
      <c r="S1391" s="20"/>
      <c r="U1391" s="3" t="str">
        <f t="shared" si="46"/>
        <v/>
      </c>
      <c r="V1391" s="4" t="str">
        <f t="shared" si="47"/>
        <v/>
      </c>
      <c r="W1391" s="21" t="e" cm="1">
        <f t="array" ref="W1391">_xlfn.IFS(
  A1391="BELL", "WHITE",
  A1391="GAMP", "ORANGE",
  A1391="GAMM", "GREEN",
  A1391="BWF", "YELLOW",
  OR(A1391="TNBE", A1391="TNBL", A1391="TNBD", A1391="TNWC", A1391="TNBW", A1391="THBS"), "PINK",
  A1391="CRWD", "BLUE",
  A1391="PASS", "WHITE"
)</f>
        <v>#N/A</v>
      </c>
    </row>
    <row r="1392" spans="1:23" x14ac:dyDescent="0.25">
      <c r="A1392" s="7"/>
      <c r="B1392" s="7"/>
      <c r="E1392" s="29"/>
      <c r="H1392" s="2"/>
      <c r="I1392" s="3"/>
      <c r="J1392" s="17"/>
      <c r="K1392" s="17"/>
      <c r="L1392" s="18"/>
      <c r="M1392" s="18"/>
      <c r="P1392" s="3"/>
      <c r="Q1392" s="4"/>
      <c r="R1392" s="19"/>
      <c r="S1392" s="20"/>
      <c r="U1392" s="3" t="str">
        <f t="shared" si="46"/>
        <v/>
      </c>
      <c r="V1392" s="4" t="str">
        <f t="shared" si="47"/>
        <v/>
      </c>
      <c r="W1392" s="21" t="e" cm="1">
        <f t="array" ref="W1392">_xlfn.IFS(
  A1392="BELL", "WHITE",
  A1392="GAMP", "ORANGE",
  A1392="GAMM", "GREEN",
  A1392="BWF", "YELLOW",
  OR(A1392="TNBE", A1392="TNBL", A1392="TNBD", A1392="TNWC", A1392="TNBW", A1392="THBS"), "PINK",
  A1392="CRWD", "BLUE",
  A1392="PASS", "WHITE"
)</f>
        <v>#N/A</v>
      </c>
    </row>
    <row r="1393" spans="1:23" x14ac:dyDescent="0.25">
      <c r="A1393" s="7"/>
      <c r="B1393" s="7"/>
      <c r="E1393" s="29"/>
      <c r="H1393" s="2"/>
      <c r="I1393" s="3"/>
      <c r="J1393" s="17"/>
      <c r="K1393" s="17"/>
      <c r="L1393" s="18"/>
      <c r="M1393" s="18"/>
      <c r="P1393" s="3"/>
      <c r="Q1393" s="4"/>
      <c r="R1393" s="19"/>
      <c r="S1393" s="20"/>
      <c r="U1393" s="3" t="str">
        <f t="shared" si="46"/>
        <v/>
      </c>
      <c r="V1393" s="4" t="str">
        <f t="shared" si="47"/>
        <v/>
      </c>
      <c r="W1393" s="21" t="e" cm="1">
        <f t="array" ref="W1393">_xlfn.IFS(
  A1393="BELL", "WHITE",
  A1393="GAMP", "ORANGE",
  A1393="GAMM", "GREEN",
  A1393="BWF", "YELLOW",
  OR(A1393="TNBE", A1393="TNBL", A1393="TNBD", A1393="TNWC", A1393="TNBW", A1393="THBS"), "PINK",
  A1393="CRWD", "BLUE",
  A1393="PASS", "WHITE"
)</f>
        <v>#N/A</v>
      </c>
    </row>
    <row r="1394" spans="1:23" x14ac:dyDescent="0.25">
      <c r="A1394" s="7"/>
      <c r="B1394" s="7"/>
      <c r="E1394" s="29"/>
      <c r="H1394" s="2"/>
      <c r="I1394" s="3"/>
      <c r="J1394" s="17"/>
      <c r="K1394" s="17"/>
      <c r="L1394" s="18"/>
      <c r="M1394" s="18"/>
      <c r="P1394" s="3"/>
      <c r="Q1394" s="4"/>
      <c r="R1394" s="19"/>
      <c r="S1394" s="20"/>
      <c r="U1394" s="3" t="str">
        <f t="shared" si="46"/>
        <v/>
      </c>
      <c r="V1394" s="4" t="str">
        <f t="shared" si="47"/>
        <v/>
      </c>
      <c r="W1394" s="21" t="e" cm="1">
        <f t="array" ref="W1394">_xlfn.IFS(
  A1394="BELL", "WHITE",
  A1394="GAMP", "ORANGE",
  A1394="GAMM", "GREEN",
  A1394="BWF", "YELLOW",
  OR(A1394="TNBE", A1394="TNBL", A1394="TNBD", A1394="TNWC", A1394="TNBW", A1394="THBS"), "PINK",
  A1394="CRWD", "BLUE",
  A1394="PASS", "WHITE"
)</f>
        <v>#N/A</v>
      </c>
    </row>
    <row r="1395" spans="1:23" x14ac:dyDescent="0.25">
      <c r="A1395" s="7"/>
      <c r="B1395" s="7"/>
      <c r="E1395" s="29"/>
      <c r="H1395" s="2"/>
      <c r="I1395" s="3"/>
      <c r="J1395" s="17"/>
      <c r="K1395" s="17"/>
      <c r="L1395" s="18"/>
      <c r="M1395" s="18"/>
      <c r="P1395" s="3"/>
      <c r="Q1395" s="4"/>
      <c r="R1395" s="19"/>
      <c r="S1395" s="20"/>
      <c r="U1395" s="3" t="str">
        <f t="shared" si="46"/>
        <v/>
      </c>
      <c r="V1395" s="4" t="str">
        <f t="shared" si="47"/>
        <v/>
      </c>
      <c r="W1395" s="21" t="e" cm="1">
        <f t="array" ref="W1395">_xlfn.IFS(
  A1395="BELL", "WHITE",
  A1395="GAMP", "ORANGE",
  A1395="GAMM", "GREEN",
  A1395="BWF", "YELLOW",
  OR(A1395="TNBE", A1395="TNBL", A1395="TNBD", A1395="TNWC", A1395="TNBW", A1395="THBS"), "PINK",
  A1395="CRWD", "BLUE",
  A1395="PASS", "WHITE"
)</f>
        <v>#N/A</v>
      </c>
    </row>
    <row r="1396" spans="1:23" x14ac:dyDescent="0.25">
      <c r="A1396" s="7"/>
      <c r="B1396" s="7"/>
      <c r="E1396" s="29"/>
      <c r="H1396" s="2"/>
      <c r="I1396" s="3"/>
      <c r="J1396" s="17"/>
      <c r="K1396" s="17"/>
      <c r="L1396" s="18"/>
      <c r="M1396" s="18"/>
      <c r="P1396" s="3"/>
      <c r="Q1396" s="4"/>
      <c r="R1396" s="19"/>
      <c r="S1396" s="20"/>
      <c r="U1396" s="3" t="str">
        <f t="shared" si="46"/>
        <v/>
      </c>
      <c r="V1396" s="4" t="str">
        <f t="shared" si="47"/>
        <v/>
      </c>
      <c r="W1396" s="21" t="e" cm="1">
        <f t="array" ref="W1396">_xlfn.IFS(
  A1396="BELL", "WHITE",
  A1396="GAMP", "ORANGE",
  A1396="GAMM", "GREEN",
  A1396="BWF", "YELLOW",
  OR(A1396="TNBE", A1396="TNBL", A1396="TNBD", A1396="TNWC", A1396="TNBW", A1396="THBS"), "PINK",
  A1396="CRWD", "BLUE",
  A1396="PASS", "WHITE"
)</f>
        <v>#N/A</v>
      </c>
    </row>
    <row r="1397" spans="1:23" x14ac:dyDescent="0.25">
      <c r="A1397" s="7"/>
      <c r="B1397" s="7"/>
      <c r="E1397" s="29"/>
      <c r="H1397" s="2"/>
      <c r="I1397" s="3"/>
      <c r="J1397" s="17"/>
      <c r="K1397" s="17"/>
      <c r="L1397" s="18"/>
      <c r="M1397" s="18"/>
      <c r="P1397" s="3"/>
      <c r="Q1397" s="4"/>
      <c r="R1397" s="19"/>
      <c r="S1397" s="20"/>
      <c r="U1397" s="3" t="str">
        <f t="shared" si="46"/>
        <v/>
      </c>
      <c r="V1397" s="4" t="str">
        <f t="shared" si="47"/>
        <v/>
      </c>
      <c r="W1397" s="21" t="e" cm="1">
        <f t="array" ref="W1397">_xlfn.IFS(
  A1397="BELL", "WHITE",
  A1397="GAMP", "ORANGE",
  A1397="GAMM", "GREEN",
  A1397="BWF", "YELLOW",
  OR(A1397="TNBE", A1397="TNBL", A1397="TNBD", A1397="TNWC", A1397="TNBW", A1397="THBS"), "PINK",
  A1397="CRWD", "BLUE",
  A1397="PASS", "WHITE"
)</f>
        <v>#N/A</v>
      </c>
    </row>
    <row r="1398" spans="1:23" x14ac:dyDescent="0.25">
      <c r="A1398" s="7"/>
      <c r="B1398" s="7"/>
      <c r="E1398" s="29"/>
      <c r="H1398" s="2"/>
      <c r="I1398" s="3"/>
      <c r="J1398" s="17"/>
      <c r="K1398" s="17"/>
      <c r="L1398" s="18"/>
      <c r="M1398" s="18"/>
      <c r="P1398" s="3"/>
      <c r="Q1398" s="4"/>
      <c r="R1398" s="19"/>
      <c r="S1398" s="20"/>
      <c r="U1398" s="3" t="str">
        <f t="shared" si="46"/>
        <v/>
      </c>
      <c r="V1398" s="4" t="str">
        <f t="shared" si="47"/>
        <v/>
      </c>
      <c r="W1398" s="21" t="e" cm="1">
        <f t="array" ref="W1398">_xlfn.IFS(
  A1398="BELL", "WHITE",
  A1398="GAMP", "ORANGE",
  A1398="GAMM", "GREEN",
  A1398="BWF", "YELLOW",
  OR(A1398="TNBE", A1398="TNBL", A1398="TNBD", A1398="TNWC", A1398="TNBW", A1398="THBS"), "PINK",
  A1398="CRWD", "BLUE",
  A1398="PASS", "WHITE"
)</f>
        <v>#N/A</v>
      </c>
    </row>
    <row r="1399" spans="1:23" x14ac:dyDescent="0.25">
      <c r="A1399" s="7"/>
      <c r="B1399" s="7"/>
      <c r="E1399" s="29"/>
      <c r="H1399" s="2"/>
      <c r="I1399" s="3"/>
      <c r="J1399" s="17"/>
      <c r="K1399" s="17"/>
      <c r="L1399" s="18"/>
      <c r="M1399" s="18"/>
      <c r="P1399" s="3"/>
      <c r="Q1399" s="4"/>
      <c r="R1399" s="19"/>
      <c r="S1399" s="20"/>
      <c r="U1399" s="3" t="str">
        <f t="shared" si="46"/>
        <v/>
      </c>
      <c r="V1399" s="4" t="str">
        <f t="shared" si="47"/>
        <v/>
      </c>
      <c r="W1399" s="21" t="e" cm="1">
        <f t="array" ref="W1399">_xlfn.IFS(
  A1399="BELL", "WHITE",
  A1399="GAMP", "ORANGE",
  A1399="GAMM", "GREEN",
  A1399="BWF", "YELLOW",
  OR(A1399="TNBE", A1399="TNBL", A1399="TNBD", A1399="TNWC", A1399="TNBW", A1399="THBS"), "PINK",
  A1399="CRWD", "BLUE",
  A1399="PASS", "WHITE"
)</f>
        <v>#N/A</v>
      </c>
    </row>
    <row r="1400" spans="1:23" x14ac:dyDescent="0.25">
      <c r="A1400" s="7"/>
      <c r="B1400" s="7"/>
      <c r="E1400" s="29"/>
      <c r="H1400" s="2"/>
      <c r="I1400" s="3"/>
      <c r="J1400" s="17"/>
      <c r="K1400" s="17"/>
      <c r="L1400" s="18"/>
      <c r="M1400" s="18"/>
      <c r="P1400" s="3"/>
      <c r="Q1400" s="4"/>
      <c r="R1400" s="19"/>
      <c r="S1400" s="20"/>
      <c r="U1400" s="3" t="str">
        <f t="shared" si="46"/>
        <v/>
      </c>
      <c r="V1400" s="4" t="str">
        <f t="shared" si="47"/>
        <v/>
      </c>
      <c r="W1400" s="21" t="e" cm="1">
        <f t="array" ref="W1400">_xlfn.IFS(
  A1400="BELL", "WHITE",
  A1400="GAMP", "ORANGE",
  A1400="GAMM", "GREEN",
  A1400="BWF", "YELLOW",
  OR(A1400="TNBE", A1400="TNBL", A1400="TNBD", A1400="TNWC", A1400="TNBW", A1400="THBS"), "PINK",
  A1400="CRWD", "BLUE",
  A1400="PASS", "WHITE"
)</f>
        <v>#N/A</v>
      </c>
    </row>
    <row r="1401" spans="1:23" x14ac:dyDescent="0.25">
      <c r="A1401" s="7"/>
      <c r="B1401" s="7"/>
      <c r="E1401" s="29"/>
      <c r="H1401" s="2"/>
      <c r="I1401" s="3"/>
      <c r="J1401" s="17"/>
      <c r="K1401" s="17"/>
      <c r="L1401" s="18"/>
      <c r="M1401" s="18"/>
      <c r="P1401" s="3"/>
      <c r="Q1401" s="4"/>
      <c r="R1401" s="19"/>
      <c r="S1401" s="20"/>
      <c r="U1401" s="3" t="str">
        <f t="shared" si="46"/>
        <v/>
      </c>
      <c r="V1401" s="4" t="str">
        <f t="shared" si="47"/>
        <v/>
      </c>
      <c r="W1401" s="21" t="e" cm="1">
        <f t="array" ref="W1401">_xlfn.IFS(
  A1401="BELL", "WHITE",
  A1401="GAMP", "ORANGE",
  A1401="GAMM", "GREEN",
  A1401="BWF", "YELLOW",
  OR(A1401="TNBE", A1401="TNBL", A1401="TNBD", A1401="TNWC", A1401="TNBW", A1401="THBS"), "PINK",
  A1401="CRWD", "BLUE",
  A1401="PASS", "WHITE"
)</f>
        <v>#N/A</v>
      </c>
    </row>
    <row r="1402" spans="1:23" x14ac:dyDescent="0.25">
      <c r="A1402" s="7"/>
      <c r="B1402" s="7"/>
      <c r="E1402" s="29"/>
      <c r="H1402" s="2"/>
      <c r="I1402" s="3"/>
      <c r="J1402" s="17"/>
      <c r="K1402" s="17"/>
      <c r="L1402" s="18"/>
      <c r="M1402" s="18"/>
      <c r="P1402" s="3"/>
      <c r="Q1402" s="4"/>
      <c r="R1402" s="19"/>
      <c r="S1402" s="20"/>
      <c r="U1402" s="3" t="str">
        <f t="shared" si="46"/>
        <v/>
      </c>
      <c r="V1402" s="4" t="str">
        <f t="shared" si="47"/>
        <v/>
      </c>
      <c r="W1402" s="21" t="e" cm="1">
        <f t="array" ref="W1402">_xlfn.IFS(
  A1402="BELL", "WHITE",
  A1402="GAMP", "ORANGE",
  A1402="GAMM", "GREEN",
  A1402="BWF", "YELLOW",
  OR(A1402="TNBE", A1402="TNBL", A1402="TNBD", A1402="TNWC", A1402="TNBW", A1402="THBS"), "PINK",
  A1402="CRWD", "BLUE",
  A1402="PASS", "WHITE"
)</f>
        <v>#N/A</v>
      </c>
    </row>
    <row r="1403" spans="1:23" x14ac:dyDescent="0.25">
      <c r="A1403" s="7"/>
      <c r="B1403" s="7"/>
      <c r="E1403" s="29"/>
      <c r="H1403" s="2"/>
      <c r="I1403" s="3"/>
      <c r="J1403" s="17"/>
      <c r="K1403" s="17"/>
      <c r="L1403" s="18"/>
      <c r="M1403" s="18"/>
      <c r="P1403" s="3"/>
      <c r="Q1403" s="4"/>
      <c r="R1403" s="19"/>
      <c r="S1403" s="20"/>
      <c r="U1403" s="3" t="str">
        <f t="shared" si="46"/>
        <v/>
      </c>
      <c r="V1403" s="4" t="str">
        <f t="shared" si="47"/>
        <v/>
      </c>
      <c r="W1403" s="21" t="e" cm="1">
        <f t="array" ref="W1403">_xlfn.IFS(
  A1403="BELL", "WHITE",
  A1403="GAMP", "ORANGE",
  A1403="GAMM", "GREEN",
  A1403="BWF", "YELLOW",
  OR(A1403="TNBE", A1403="TNBL", A1403="TNBD", A1403="TNWC", A1403="TNBW", A1403="THBS"), "PINK",
  A1403="CRWD", "BLUE",
  A1403="PASS", "WHITE"
)</f>
        <v>#N/A</v>
      </c>
    </row>
    <row r="1404" spans="1:23" x14ac:dyDescent="0.25">
      <c r="A1404" s="7"/>
      <c r="B1404" s="7"/>
      <c r="E1404" s="29"/>
      <c r="H1404" s="2"/>
      <c r="I1404" s="3"/>
      <c r="J1404" s="17"/>
      <c r="K1404" s="17"/>
      <c r="L1404" s="18"/>
      <c r="M1404" s="18"/>
      <c r="P1404" s="3"/>
      <c r="Q1404" s="4"/>
      <c r="R1404" s="19"/>
      <c r="S1404" s="20"/>
      <c r="U1404" s="3" t="str">
        <f t="shared" si="46"/>
        <v/>
      </c>
      <c r="V1404" s="4" t="str">
        <f t="shared" si="47"/>
        <v/>
      </c>
      <c r="W1404" s="21" t="e" cm="1">
        <f t="array" ref="W1404">_xlfn.IFS(
  A1404="BELL", "WHITE",
  A1404="GAMP", "ORANGE",
  A1404="GAMM", "GREEN",
  A1404="BWF", "YELLOW",
  OR(A1404="TNBE", A1404="TNBL", A1404="TNBD", A1404="TNWC", A1404="TNBW", A1404="THBS"), "PINK",
  A1404="CRWD", "BLUE",
  A1404="PASS", "WHITE"
)</f>
        <v>#N/A</v>
      </c>
    </row>
    <row r="1405" spans="1:23" x14ac:dyDescent="0.25">
      <c r="A1405" s="7"/>
      <c r="B1405" s="7"/>
      <c r="E1405" s="29"/>
      <c r="H1405" s="2"/>
      <c r="I1405" s="3"/>
      <c r="J1405" s="17"/>
      <c r="K1405" s="17"/>
      <c r="L1405" s="18"/>
      <c r="M1405" s="18"/>
      <c r="P1405" s="3"/>
      <c r="Q1405" s="4"/>
      <c r="R1405" s="19"/>
      <c r="S1405" s="20"/>
      <c r="U1405" s="3" t="str">
        <f t="shared" si="46"/>
        <v/>
      </c>
      <c r="V1405" s="4" t="str">
        <f t="shared" si="47"/>
        <v/>
      </c>
      <c r="W1405" s="21" t="e" cm="1">
        <f t="array" ref="W1405">_xlfn.IFS(
  A1405="BELL", "WHITE",
  A1405="GAMP", "ORANGE",
  A1405="GAMM", "GREEN",
  A1405="BWF", "YELLOW",
  OR(A1405="TNBE", A1405="TNBL", A1405="TNBD", A1405="TNWC", A1405="TNBW", A1405="THBS"), "PINK",
  A1405="CRWD", "BLUE",
  A1405="PASS", "WHITE"
)</f>
        <v>#N/A</v>
      </c>
    </row>
    <row r="1406" spans="1:23" x14ac:dyDescent="0.25">
      <c r="A1406" s="7"/>
      <c r="B1406" s="7"/>
      <c r="E1406" s="29"/>
      <c r="H1406" s="2"/>
      <c r="I1406" s="3"/>
      <c r="J1406" s="17"/>
      <c r="K1406" s="17"/>
      <c r="L1406" s="18"/>
      <c r="M1406" s="18"/>
      <c r="P1406" s="3"/>
      <c r="Q1406" s="4"/>
      <c r="R1406" s="19"/>
      <c r="S1406" s="20"/>
      <c r="U1406" s="3" t="str">
        <f t="shared" si="46"/>
        <v/>
      </c>
      <c r="V1406" s="4" t="str">
        <f t="shared" si="47"/>
        <v/>
      </c>
      <c r="W1406" s="21" t="e" cm="1">
        <f t="array" ref="W1406">_xlfn.IFS(
  A1406="BELL", "WHITE",
  A1406="GAMP", "ORANGE",
  A1406="GAMM", "GREEN",
  A1406="BWF", "YELLOW",
  OR(A1406="TNBE", A1406="TNBL", A1406="TNBD", A1406="TNWC", A1406="TNBW", A1406="THBS"), "PINK",
  A1406="CRWD", "BLUE",
  A1406="PASS", "WHITE"
)</f>
        <v>#N/A</v>
      </c>
    </row>
    <row r="1407" spans="1:23" x14ac:dyDescent="0.25">
      <c r="A1407" s="7"/>
      <c r="B1407" s="7"/>
      <c r="E1407" s="29"/>
      <c r="H1407" s="2"/>
      <c r="I1407" s="3"/>
      <c r="J1407" s="17"/>
      <c r="K1407" s="17"/>
      <c r="L1407" s="18"/>
      <c r="M1407" s="18"/>
      <c r="P1407" s="3"/>
      <c r="Q1407" s="4"/>
      <c r="R1407" s="19"/>
      <c r="S1407" s="20"/>
      <c r="U1407" s="3" t="str">
        <f t="shared" si="46"/>
        <v/>
      </c>
      <c r="V1407" s="4" t="str">
        <f t="shared" si="47"/>
        <v/>
      </c>
      <c r="W1407" s="21" t="e" cm="1">
        <f t="array" ref="W1407">_xlfn.IFS(
  A1407="BELL", "WHITE",
  A1407="GAMP", "ORANGE",
  A1407="GAMM", "GREEN",
  A1407="BWF", "YELLOW",
  OR(A1407="TNBE", A1407="TNBL", A1407="TNBD", A1407="TNWC", A1407="TNBW", A1407="THBS"), "PINK",
  A1407="CRWD", "BLUE",
  A1407="PASS", "WHITE"
)</f>
        <v>#N/A</v>
      </c>
    </row>
    <row r="1408" spans="1:23" x14ac:dyDescent="0.25">
      <c r="A1408" s="7"/>
      <c r="B1408" s="7"/>
      <c r="E1408" s="29"/>
      <c r="H1408" s="2"/>
      <c r="I1408" s="3"/>
      <c r="J1408" s="17"/>
      <c r="K1408" s="17"/>
      <c r="L1408" s="18"/>
      <c r="M1408" s="18"/>
      <c r="P1408" s="3"/>
      <c r="Q1408" s="4"/>
      <c r="R1408" s="19"/>
      <c r="S1408" s="20"/>
      <c r="U1408" s="3" t="str">
        <f t="shared" si="46"/>
        <v/>
      </c>
      <c r="V1408" s="4" t="str">
        <f t="shared" si="47"/>
        <v/>
      </c>
      <c r="W1408" s="21" t="e" cm="1">
        <f t="array" ref="W1408">_xlfn.IFS(
  A1408="BELL", "WHITE",
  A1408="GAMP", "ORANGE",
  A1408="GAMM", "GREEN",
  A1408="BWF", "YELLOW",
  OR(A1408="TNBE", A1408="TNBL", A1408="TNBD", A1408="TNWC", A1408="TNBW", A1408="THBS"), "PINK",
  A1408="CRWD", "BLUE",
  A1408="PASS", "WHITE"
)</f>
        <v>#N/A</v>
      </c>
    </row>
    <row r="1409" spans="1:23" x14ac:dyDescent="0.25">
      <c r="A1409" s="7"/>
      <c r="B1409" s="7"/>
      <c r="E1409" s="29"/>
      <c r="H1409" s="2"/>
      <c r="I1409" s="3"/>
      <c r="J1409" s="17"/>
      <c r="K1409" s="17"/>
      <c r="L1409" s="18"/>
      <c r="M1409" s="18"/>
      <c r="P1409" s="3"/>
      <c r="Q1409" s="4"/>
      <c r="R1409" s="19"/>
      <c r="S1409" s="20"/>
      <c r="U1409" s="3" t="str">
        <f t="shared" si="46"/>
        <v/>
      </c>
      <c r="V1409" s="4" t="str">
        <f t="shared" si="47"/>
        <v/>
      </c>
      <c r="W1409" s="21" t="e" cm="1">
        <f t="array" ref="W1409">_xlfn.IFS(
  A1409="BELL", "WHITE",
  A1409="GAMP", "ORANGE",
  A1409="GAMM", "GREEN",
  A1409="BWF", "YELLOW",
  OR(A1409="TNBE", A1409="TNBL", A1409="TNBD", A1409="TNWC", A1409="TNBW", A1409="THBS"), "PINK",
  A1409="CRWD", "BLUE",
  A1409="PASS", "WHITE"
)</f>
        <v>#N/A</v>
      </c>
    </row>
    <row r="1410" spans="1:23" x14ac:dyDescent="0.25">
      <c r="A1410" s="7"/>
      <c r="B1410" s="7"/>
      <c r="E1410" s="29"/>
      <c r="H1410" s="2"/>
      <c r="I1410" s="3"/>
      <c r="J1410" s="17"/>
      <c r="K1410" s="17"/>
      <c r="L1410" s="18"/>
      <c r="M1410" s="18"/>
      <c r="P1410" s="3"/>
      <c r="Q1410" s="4"/>
      <c r="R1410" s="19"/>
      <c r="S1410" s="20"/>
      <c r="U1410" s="3" t="str">
        <f t="shared" si="46"/>
        <v/>
      </c>
      <c r="V1410" s="4" t="str">
        <f t="shared" si="47"/>
        <v/>
      </c>
      <c r="W1410" s="21" t="e" cm="1">
        <f t="array" ref="W1410">_xlfn.IFS(
  A1410="BELL", "WHITE",
  A1410="GAMP", "ORANGE",
  A1410="GAMM", "GREEN",
  A1410="BWF", "YELLOW",
  OR(A1410="TNBE", A1410="TNBL", A1410="TNBD", A1410="TNWC", A1410="TNBW", A1410="THBS"), "PINK",
  A1410="CRWD", "BLUE",
  A1410="PASS", "WHITE"
)</f>
        <v>#N/A</v>
      </c>
    </row>
    <row r="1411" spans="1:23" x14ac:dyDescent="0.25">
      <c r="A1411" s="7"/>
      <c r="B1411" s="7"/>
      <c r="E1411" s="29"/>
      <c r="H1411" s="2"/>
      <c r="I1411" s="3"/>
      <c r="J1411" s="17"/>
      <c r="K1411" s="17"/>
      <c r="L1411" s="18"/>
      <c r="M1411" s="18"/>
      <c r="P1411" s="3"/>
      <c r="Q1411" s="4"/>
      <c r="R1411" s="19"/>
      <c r="S1411" s="20"/>
      <c r="U1411" s="3" t="str">
        <f t="shared" si="46"/>
        <v/>
      </c>
      <c r="V1411" s="4" t="str">
        <f t="shared" si="47"/>
        <v/>
      </c>
      <c r="W1411" s="21" t="e" cm="1">
        <f t="array" ref="W1411">_xlfn.IFS(
  A1411="BELL", "WHITE",
  A1411="GAMP", "ORANGE",
  A1411="GAMM", "GREEN",
  A1411="BWF", "YELLOW",
  OR(A1411="TNBE", A1411="TNBL", A1411="TNBD", A1411="TNWC", A1411="TNBW", A1411="THBS"), "PINK",
  A1411="CRWD", "BLUE",
  A1411="PASS", "WHITE"
)</f>
        <v>#N/A</v>
      </c>
    </row>
    <row r="1412" spans="1:23" x14ac:dyDescent="0.25">
      <c r="A1412" s="7"/>
      <c r="B1412" s="7"/>
      <c r="E1412" s="29"/>
      <c r="H1412" s="2"/>
      <c r="I1412" s="3"/>
      <c r="J1412" s="17"/>
      <c r="K1412" s="17"/>
      <c r="L1412" s="18"/>
      <c r="M1412" s="18"/>
      <c r="P1412" s="3"/>
      <c r="Q1412" s="4"/>
      <c r="R1412" s="19"/>
      <c r="S1412" s="20"/>
      <c r="U1412" s="3" t="str">
        <f t="shared" ref="U1412:U1475" si="48">IF(T1412="","",IF(T1412&gt;I1412,H1412,T1412/G1412))</f>
        <v/>
      </c>
      <c r="V1412" s="4" t="str">
        <f t="shared" ref="V1412:V1475" si="49">IF(T1412&gt;I1412,T1412-I1412,"")</f>
        <v/>
      </c>
      <c r="W1412" s="21" t="e" cm="1">
        <f t="array" ref="W1412">_xlfn.IFS(
  A1412="BELL", "WHITE",
  A1412="GAMP", "ORANGE",
  A1412="GAMM", "GREEN",
  A1412="BWF", "YELLOW",
  OR(A1412="TNBE", A1412="TNBL", A1412="TNBD", A1412="TNWC", A1412="TNBW", A1412="THBS"), "PINK",
  A1412="CRWD", "BLUE",
  A1412="PASS", "WHITE"
)</f>
        <v>#N/A</v>
      </c>
    </row>
    <row r="1413" spans="1:23" x14ac:dyDescent="0.25">
      <c r="A1413" s="7"/>
      <c r="B1413" s="7"/>
      <c r="E1413" s="29"/>
      <c r="H1413" s="2"/>
      <c r="I1413" s="3"/>
      <c r="J1413" s="17"/>
      <c r="K1413" s="17"/>
      <c r="L1413" s="18"/>
      <c r="M1413" s="18"/>
      <c r="P1413" s="3"/>
      <c r="Q1413" s="4"/>
      <c r="R1413" s="19"/>
      <c r="S1413" s="20"/>
      <c r="U1413" s="3" t="str">
        <f t="shared" si="48"/>
        <v/>
      </c>
      <c r="V1413" s="4" t="str">
        <f t="shared" si="49"/>
        <v/>
      </c>
      <c r="W1413" s="21" t="e" cm="1">
        <f t="array" ref="W1413">_xlfn.IFS(
  A1413="BELL", "WHITE",
  A1413="GAMP", "ORANGE",
  A1413="GAMM", "GREEN",
  A1413="BWF", "YELLOW",
  OR(A1413="TNBE", A1413="TNBL", A1413="TNBD", A1413="TNWC", A1413="TNBW", A1413="THBS"), "PINK",
  A1413="CRWD", "BLUE",
  A1413="PASS", "WHITE"
)</f>
        <v>#N/A</v>
      </c>
    </row>
    <row r="1414" spans="1:23" x14ac:dyDescent="0.25">
      <c r="A1414" s="7"/>
      <c r="B1414" s="7"/>
      <c r="E1414" s="29"/>
      <c r="H1414" s="2"/>
      <c r="I1414" s="3"/>
      <c r="J1414" s="17"/>
      <c r="K1414" s="17"/>
      <c r="L1414" s="18"/>
      <c r="M1414" s="18"/>
      <c r="P1414" s="3"/>
      <c r="Q1414" s="4"/>
      <c r="R1414" s="19"/>
      <c r="S1414" s="20"/>
      <c r="U1414" s="3" t="str">
        <f t="shared" si="48"/>
        <v/>
      </c>
      <c r="V1414" s="4" t="str">
        <f t="shared" si="49"/>
        <v/>
      </c>
      <c r="W1414" s="21" t="e" cm="1">
        <f t="array" ref="W1414">_xlfn.IFS(
  A1414="BELL", "WHITE",
  A1414="GAMP", "ORANGE",
  A1414="GAMM", "GREEN",
  A1414="BWF", "YELLOW",
  OR(A1414="TNBE", A1414="TNBL", A1414="TNBD", A1414="TNWC", A1414="TNBW", A1414="THBS"), "PINK",
  A1414="CRWD", "BLUE",
  A1414="PASS", "WHITE"
)</f>
        <v>#N/A</v>
      </c>
    </row>
    <row r="1415" spans="1:23" x14ac:dyDescent="0.25">
      <c r="A1415" s="7"/>
      <c r="B1415" s="7"/>
      <c r="E1415" s="29"/>
      <c r="H1415" s="2"/>
      <c r="I1415" s="3"/>
      <c r="J1415" s="17"/>
      <c r="K1415" s="17"/>
      <c r="L1415" s="18"/>
      <c r="M1415" s="18"/>
      <c r="P1415" s="3"/>
      <c r="Q1415" s="4"/>
      <c r="R1415" s="19"/>
      <c r="S1415" s="20"/>
      <c r="U1415" s="3" t="str">
        <f t="shared" si="48"/>
        <v/>
      </c>
      <c r="V1415" s="4" t="str">
        <f t="shared" si="49"/>
        <v/>
      </c>
      <c r="W1415" s="21" t="e" cm="1">
        <f t="array" ref="W1415">_xlfn.IFS(
  A1415="BELL", "WHITE",
  A1415="GAMP", "ORANGE",
  A1415="GAMM", "GREEN",
  A1415="BWF", "YELLOW",
  OR(A1415="TNBE", A1415="TNBL", A1415="TNBD", A1415="TNWC", A1415="TNBW", A1415="THBS"), "PINK",
  A1415="CRWD", "BLUE",
  A1415="PASS", "WHITE"
)</f>
        <v>#N/A</v>
      </c>
    </row>
    <row r="1416" spans="1:23" x14ac:dyDescent="0.25">
      <c r="A1416" s="7"/>
      <c r="B1416" s="7"/>
      <c r="E1416" s="29"/>
      <c r="H1416" s="2"/>
      <c r="I1416" s="3"/>
      <c r="J1416" s="17"/>
      <c r="K1416" s="17"/>
      <c r="L1416" s="18"/>
      <c r="M1416" s="3"/>
      <c r="P1416" s="3"/>
      <c r="Q1416" s="4"/>
      <c r="R1416" s="19"/>
      <c r="S1416" s="20"/>
      <c r="U1416" s="3" t="str">
        <f t="shared" si="48"/>
        <v/>
      </c>
      <c r="V1416" s="4" t="str">
        <f t="shared" si="49"/>
        <v/>
      </c>
      <c r="W1416" s="21" t="e" cm="1">
        <f t="array" ref="W1416">_xlfn.IFS(
  A1416="BELL", "WHITE",
  A1416="GAMP", "ORANGE",
  A1416="GAMM", "GREEN",
  A1416="BWF", "YELLOW",
  OR(A1416="TNBE", A1416="TNBL", A1416="TNBD", A1416="TNWC", A1416="TNBW", A1416="THBS"), "PINK",
  A1416="CRWD", "BLUE",
  A1416="PASS", "WHITE"
)</f>
        <v>#N/A</v>
      </c>
    </row>
    <row r="1417" spans="1:23" x14ac:dyDescent="0.25">
      <c r="A1417" s="7"/>
      <c r="B1417" s="7"/>
      <c r="E1417" s="29"/>
      <c r="H1417" s="2"/>
      <c r="I1417" s="3"/>
      <c r="J1417" s="17"/>
      <c r="K1417" s="17"/>
      <c r="L1417" s="18"/>
      <c r="M1417" s="18"/>
      <c r="P1417" s="3"/>
      <c r="Q1417" s="4"/>
      <c r="R1417" s="19"/>
      <c r="S1417" s="20"/>
      <c r="U1417" s="3" t="str">
        <f t="shared" si="48"/>
        <v/>
      </c>
      <c r="V1417" s="4" t="str">
        <f t="shared" si="49"/>
        <v/>
      </c>
      <c r="W1417" s="21" t="e" cm="1">
        <f t="array" ref="W1417">_xlfn.IFS(
  A1417="BELL", "WHITE",
  A1417="GAMP", "ORANGE",
  A1417="GAMM", "GREEN",
  A1417="BWF", "YELLOW",
  OR(A1417="TNBE", A1417="TNBL", A1417="TNBD", A1417="TNWC", A1417="TNBW", A1417="THBS"), "PINK",
  A1417="CRWD", "BLUE",
  A1417="PASS", "WHITE"
)</f>
        <v>#N/A</v>
      </c>
    </row>
    <row r="1418" spans="1:23" x14ac:dyDescent="0.25">
      <c r="A1418" s="7"/>
      <c r="B1418" s="7"/>
      <c r="E1418" s="29"/>
      <c r="H1418" s="2"/>
      <c r="I1418" s="3"/>
      <c r="J1418" s="17"/>
      <c r="K1418" s="17"/>
      <c r="L1418" s="18"/>
      <c r="M1418" s="18"/>
      <c r="P1418" s="3"/>
      <c r="Q1418" s="4"/>
      <c r="R1418" s="19"/>
      <c r="S1418" s="20"/>
      <c r="U1418" s="3" t="str">
        <f t="shared" si="48"/>
        <v/>
      </c>
      <c r="V1418" s="4" t="str">
        <f t="shared" si="49"/>
        <v/>
      </c>
      <c r="W1418" s="21" t="e" cm="1">
        <f t="array" ref="W1418">_xlfn.IFS(
  A1418="BELL", "WHITE",
  A1418="GAMP", "ORANGE",
  A1418="GAMM", "GREEN",
  A1418="BWF", "YELLOW",
  OR(A1418="TNBE", A1418="TNBL", A1418="TNBD", A1418="TNWC", A1418="TNBW", A1418="THBS"), "PINK",
  A1418="CRWD", "BLUE",
  A1418="PASS", "WHITE"
)</f>
        <v>#N/A</v>
      </c>
    </row>
    <row r="1419" spans="1:23" x14ac:dyDescent="0.25">
      <c r="A1419" s="7"/>
      <c r="B1419" s="7"/>
      <c r="E1419" s="29"/>
      <c r="H1419" s="2"/>
      <c r="I1419" s="3"/>
      <c r="J1419" s="17"/>
      <c r="K1419" s="17"/>
      <c r="L1419" s="18"/>
      <c r="M1419" s="18"/>
      <c r="P1419" s="3"/>
      <c r="Q1419" s="4"/>
      <c r="R1419" s="19"/>
      <c r="S1419" s="20"/>
      <c r="U1419" s="3" t="str">
        <f t="shared" si="48"/>
        <v/>
      </c>
      <c r="V1419" s="4" t="str">
        <f t="shared" si="49"/>
        <v/>
      </c>
      <c r="W1419" s="21" t="e" cm="1">
        <f t="array" ref="W1419">_xlfn.IFS(
  A1419="BELL", "WHITE",
  A1419="GAMP", "ORANGE",
  A1419="GAMM", "GREEN",
  A1419="BWF", "YELLOW",
  OR(A1419="TNBE", A1419="TNBL", A1419="TNBD", A1419="TNWC", A1419="TNBW", A1419="THBS"), "PINK",
  A1419="CRWD", "BLUE",
  A1419="PASS", "WHITE"
)</f>
        <v>#N/A</v>
      </c>
    </row>
    <row r="1420" spans="1:23" x14ac:dyDescent="0.25">
      <c r="A1420" s="7"/>
      <c r="B1420" s="7"/>
      <c r="H1420" s="2"/>
      <c r="I1420" s="3"/>
      <c r="J1420" s="17"/>
      <c r="K1420" s="17"/>
      <c r="L1420" s="18"/>
      <c r="M1420" s="18"/>
      <c r="P1420" s="3"/>
      <c r="Q1420" s="4"/>
      <c r="R1420" s="19"/>
      <c r="S1420" s="20"/>
      <c r="U1420" s="3" t="str">
        <f t="shared" si="48"/>
        <v/>
      </c>
      <c r="V1420" s="4" t="str">
        <f t="shared" si="49"/>
        <v/>
      </c>
      <c r="W1420" s="21" t="e" cm="1">
        <f t="array" ref="W1420">_xlfn.IFS(
  A1420="BELL", "WHITE",
  A1420="GAMP", "ORANGE",
  A1420="GAMM", "GREEN",
  A1420="BWF", "YELLOW",
  OR(A1420="TNBE", A1420="TNBL", A1420="TNBD", A1420="TNWC", A1420="TNBW", A1420="THBS"), "PINK",
  A1420="CRWD", "BLUE",
  A1420="PASS", "WHITE"
)</f>
        <v>#N/A</v>
      </c>
    </row>
    <row r="1421" spans="1:23" x14ac:dyDescent="0.25">
      <c r="A1421" s="7"/>
      <c r="B1421" s="7"/>
      <c r="E1421" s="29"/>
      <c r="H1421" s="2"/>
      <c r="I1421" s="3"/>
      <c r="J1421" s="17"/>
      <c r="K1421" s="17"/>
      <c r="L1421" s="18"/>
      <c r="M1421" s="18"/>
      <c r="P1421" s="3"/>
      <c r="Q1421" s="4"/>
      <c r="R1421" s="19"/>
      <c r="S1421" s="20"/>
      <c r="U1421" s="3" t="str">
        <f t="shared" si="48"/>
        <v/>
      </c>
      <c r="V1421" s="4" t="str">
        <f t="shared" si="49"/>
        <v/>
      </c>
      <c r="W1421" s="21" t="e" cm="1">
        <f t="array" ref="W1421">_xlfn.IFS(
  A1421="BELL", "WHITE",
  A1421="GAMP", "ORANGE",
  A1421="GAMM", "GREEN",
  A1421="BWF", "YELLOW",
  OR(A1421="TNBE", A1421="TNBL", A1421="TNBD", A1421="TNWC", A1421="TNBW", A1421="THBS"), "PINK",
  A1421="CRWD", "BLUE",
  A1421="PASS", "WHITE"
)</f>
        <v>#N/A</v>
      </c>
    </row>
    <row r="1422" spans="1:23" x14ac:dyDescent="0.25">
      <c r="A1422" s="7"/>
      <c r="B1422" s="7"/>
      <c r="E1422" s="29"/>
      <c r="H1422" s="2"/>
      <c r="I1422" s="3"/>
      <c r="J1422" s="17"/>
      <c r="K1422" s="17"/>
      <c r="L1422" s="18"/>
      <c r="M1422" s="18"/>
      <c r="P1422" s="3"/>
      <c r="Q1422" s="4"/>
      <c r="R1422" s="19"/>
      <c r="S1422" s="20"/>
      <c r="U1422" s="3" t="str">
        <f t="shared" si="48"/>
        <v/>
      </c>
      <c r="V1422" s="4" t="str">
        <f t="shared" si="49"/>
        <v/>
      </c>
      <c r="W1422" s="21" t="e" cm="1">
        <f t="array" ref="W1422">_xlfn.IFS(
  A1422="BELL", "WHITE",
  A1422="GAMP", "ORANGE",
  A1422="GAMM", "GREEN",
  A1422="BWF", "YELLOW",
  OR(A1422="TNBE", A1422="TNBL", A1422="TNBD", A1422="TNWC", A1422="TNBW", A1422="THBS"), "PINK",
  A1422="CRWD", "BLUE",
  A1422="PASS", "WHITE"
)</f>
        <v>#N/A</v>
      </c>
    </row>
    <row r="1423" spans="1:23" x14ac:dyDescent="0.25">
      <c r="A1423" s="7"/>
      <c r="B1423" s="46"/>
      <c r="E1423" s="29"/>
      <c r="H1423" s="2"/>
      <c r="I1423" s="3"/>
      <c r="J1423" s="17"/>
      <c r="K1423" s="17"/>
      <c r="L1423" s="18"/>
      <c r="M1423" s="3"/>
      <c r="P1423" s="3"/>
      <c r="Q1423" s="4"/>
      <c r="R1423" s="19"/>
      <c r="S1423" s="20"/>
      <c r="U1423" s="3" t="str">
        <f t="shared" si="48"/>
        <v/>
      </c>
      <c r="V1423" s="4" t="str">
        <f t="shared" si="49"/>
        <v/>
      </c>
      <c r="W1423" s="21" t="e" cm="1">
        <f t="array" ref="W1423">_xlfn.IFS(
  A1423="BELL", "WHITE",
  A1423="GAMP", "ORANGE",
  A1423="GAMM", "GREEN",
  A1423="BWF", "YELLOW",
  OR(A1423="TNBE", A1423="TNBL", A1423="TNBD", A1423="TNWC", A1423="TNBW", A1423="THBS"), "PINK",
  A1423="CRWD", "BLUE",
  A1423="PASS", "WHITE"
)</f>
        <v>#N/A</v>
      </c>
    </row>
    <row r="1424" spans="1:23" x14ac:dyDescent="0.25">
      <c r="A1424" s="7"/>
      <c r="B1424" s="7"/>
      <c r="E1424" s="29"/>
      <c r="H1424" s="2"/>
      <c r="I1424" s="3"/>
      <c r="J1424" s="17"/>
      <c r="K1424" s="17"/>
      <c r="L1424" s="18"/>
      <c r="M1424" s="3"/>
      <c r="P1424" s="3"/>
      <c r="Q1424" s="4"/>
      <c r="R1424" s="19"/>
      <c r="S1424" s="20"/>
      <c r="U1424" s="3" t="str">
        <f t="shared" si="48"/>
        <v/>
      </c>
      <c r="V1424" s="4" t="str">
        <f t="shared" si="49"/>
        <v/>
      </c>
      <c r="W1424" s="21" t="e" cm="1">
        <f t="array" ref="W1424">_xlfn.IFS(
  A1424="BELL", "WHITE",
  A1424="GAMP", "ORANGE",
  A1424="GAMM", "GREEN",
  A1424="BWF", "YELLOW",
  OR(A1424="TNBE", A1424="TNBL", A1424="TNBD", A1424="TNWC", A1424="TNBW", A1424="THBS"), "PINK",
  A1424="CRWD", "BLUE",
  A1424="PASS", "WHITE"
)</f>
        <v>#N/A</v>
      </c>
    </row>
    <row r="1425" spans="1:23" x14ac:dyDescent="0.25">
      <c r="A1425" s="7"/>
      <c r="B1425" s="7"/>
      <c r="E1425" s="29"/>
      <c r="H1425" s="2"/>
      <c r="I1425" s="3"/>
      <c r="J1425" s="17"/>
      <c r="K1425" s="17"/>
      <c r="L1425" s="18"/>
      <c r="M1425" s="3"/>
      <c r="P1425" s="3"/>
      <c r="Q1425" s="4"/>
      <c r="R1425" s="19"/>
      <c r="S1425" s="20"/>
      <c r="U1425" s="3" t="str">
        <f t="shared" si="48"/>
        <v/>
      </c>
      <c r="V1425" s="4" t="str">
        <f t="shared" si="49"/>
        <v/>
      </c>
      <c r="W1425" s="21" t="e" cm="1">
        <f t="array" ref="W1425">_xlfn.IFS(
  A1425="BELL", "WHITE",
  A1425="GAMP", "ORANGE",
  A1425="GAMM", "GREEN",
  A1425="BWF", "YELLOW",
  OR(A1425="TNBE", A1425="TNBL", A1425="TNBD", A1425="TNWC", A1425="TNBW", A1425="THBS"), "PINK",
  A1425="CRWD", "BLUE",
  A1425="PASS", "WHITE"
)</f>
        <v>#N/A</v>
      </c>
    </row>
    <row r="1426" spans="1:23" x14ac:dyDescent="0.25">
      <c r="A1426" s="7"/>
      <c r="B1426" s="7"/>
      <c r="E1426" s="29"/>
      <c r="H1426" s="2"/>
      <c r="I1426" s="3"/>
      <c r="J1426" s="17"/>
      <c r="K1426" s="17"/>
      <c r="L1426" s="18"/>
      <c r="M1426" s="3"/>
      <c r="P1426" s="3"/>
      <c r="Q1426" s="4"/>
      <c r="R1426" s="19"/>
      <c r="S1426" s="20"/>
      <c r="U1426" s="3" t="str">
        <f t="shared" si="48"/>
        <v/>
      </c>
      <c r="V1426" s="4" t="str">
        <f t="shared" si="49"/>
        <v/>
      </c>
      <c r="W1426" s="21" t="e" cm="1">
        <f t="array" ref="W1426">_xlfn.IFS(
  A1426="BELL", "WHITE",
  A1426="GAMP", "ORANGE",
  A1426="GAMM", "GREEN",
  A1426="BWF", "YELLOW",
  OR(A1426="TNBE", A1426="TNBL", A1426="TNBD", A1426="TNWC", A1426="TNBW", A1426="THBS"), "PINK",
  A1426="CRWD", "BLUE",
  A1426="PASS", "WHITE"
)</f>
        <v>#N/A</v>
      </c>
    </row>
    <row r="1427" spans="1:23" x14ac:dyDescent="0.25">
      <c r="A1427" s="7"/>
      <c r="B1427" s="7"/>
      <c r="E1427" s="29"/>
      <c r="H1427" s="2"/>
      <c r="I1427" s="3"/>
      <c r="J1427" s="17"/>
      <c r="K1427" s="17"/>
      <c r="L1427" s="18"/>
      <c r="M1427" s="3"/>
      <c r="P1427" s="3"/>
      <c r="Q1427" s="4"/>
      <c r="R1427" s="19"/>
      <c r="S1427" s="20"/>
      <c r="U1427" s="3" t="str">
        <f t="shared" si="48"/>
        <v/>
      </c>
      <c r="V1427" s="4" t="str">
        <f t="shared" si="49"/>
        <v/>
      </c>
      <c r="W1427" s="21" t="e" cm="1">
        <f t="array" ref="W1427">_xlfn.IFS(
  A1427="BELL", "WHITE",
  A1427="GAMP", "ORANGE",
  A1427="GAMM", "GREEN",
  A1427="BWF", "YELLOW",
  OR(A1427="TNBE", A1427="TNBL", A1427="TNBD", A1427="TNWC", A1427="TNBW", A1427="THBS"), "PINK",
  A1427="CRWD", "BLUE",
  A1427="PASS", "WHITE"
)</f>
        <v>#N/A</v>
      </c>
    </row>
    <row r="1428" spans="1:23" x14ac:dyDescent="0.25">
      <c r="A1428" s="7"/>
      <c r="B1428" s="46"/>
      <c r="E1428" s="29"/>
      <c r="H1428" s="2"/>
      <c r="I1428" s="3"/>
      <c r="J1428" s="17"/>
      <c r="K1428" s="17"/>
      <c r="L1428" s="18"/>
      <c r="M1428" s="3"/>
      <c r="P1428" s="3"/>
      <c r="Q1428" s="4"/>
      <c r="R1428" s="19"/>
      <c r="S1428" s="20"/>
      <c r="U1428" s="3" t="str">
        <f t="shared" si="48"/>
        <v/>
      </c>
      <c r="V1428" s="4" t="str">
        <f t="shared" si="49"/>
        <v/>
      </c>
      <c r="W1428" s="21" t="e" cm="1">
        <f t="array" ref="W1428">_xlfn.IFS(
  A1428="BELL", "WHITE",
  A1428="GAMP", "ORANGE",
  A1428="GAMM", "GREEN",
  A1428="BWF", "YELLOW",
  OR(A1428="TNBE", A1428="TNBL", A1428="TNBD", A1428="TNWC", A1428="TNBW", A1428="THBS"), "PINK",
  A1428="CRWD", "BLUE",
  A1428="PASS", "WHITE"
)</f>
        <v>#N/A</v>
      </c>
    </row>
    <row r="1429" spans="1:23" x14ac:dyDescent="0.25">
      <c r="A1429" s="7"/>
      <c r="B1429" s="46"/>
      <c r="E1429" s="29"/>
      <c r="H1429" s="2"/>
      <c r="I1429" s="3"/>
      <c r="J1429" s="17"/>
      <c r="K1429" s="17"/>
      <c r="L1429" s="18"/>
      <c r="M1429" s="3"/>
      <c r="P1429" s="3"/>
      <c r="Q1429" s="4"/>
      <c r="R1429" s="19"/>
      <c r="S1429" s="20"/>
      <c r="U1429" s="3" t="str">
        <f t="shared" si="48"/>
        <v/>
      </c>
      <c r="V1429" s="4" t="str">
        <f t="shared" si="49"/>
        <v/>
      </c>
      <c r="W1429" s="21" t="e" cm="1">
        <f t="array" ref="W1429">_xlfn.IFS(
  A1429="BELL", "WHITE",
  A1429="GAMP", "ORANGE",
  A1429="GAMM", "GREEN",
  A1429="BWF", "YELLOW",
  OR(A1429="TNBE", A1429="TNBL", A1429="TNBD", A1429="TNWC", A1429="TNBW", A1429="THBS"), "PINK",
  A1429="CRWD", "BLUE",
  A1429="PASS", "WHITE"
)</f>
        <v>#N/A</v>
      </c>
    </row>
    <row r="1430" spans="1:23" x14ac:dyDescent="0.25">
      <c r="A1430" s="7"/>
      <c r="B1430" s="46"/>
      <c r="E1430" s="29"/>
      <c r="H1430" s="2"/>
      <c r="I1430" s="3"/>
      <c r="J1430" s="17"/>
      <c r="K1430" s="17"/>
      <c r="L1430" s="18"/>
      <c r="M1430" s="3"/>
      <c r="P1430" s="3"/>
      <c r="Q1430" s="4"/>
      <c r="R1430" s="19"/>
      <c r="S1430" s="20"/>
      <c r="U1430" s="3" t="str">
        <f t="shared" si="48"/>
        <v/>
      </c>
      <c r="V1430" s="4" t="str">
        <f t="shared" si="49"/>
        <v/>
      </c>
      <c r="W1430" s="21" t="e" cm="1">
        <f t="array" ref="W1430">_xlfn.IFS(
  A1430="BELL", "WHITE",
  A1430="GAMP", "ORANGE",
  A1430="GAMM", "GREEN",
  A1430="BWF", "YELLOW",
  OR(A1430="TNBE", A1430="TNBL", A1430="TNBD", A1430="TNWC", A1430="TNBW", A1430="THBS"), "PINK",
  A1430="CRWD", "BLUE",
  A1430="PASS", "WHITE"
)</f>
        <v>#N/A</v>
      </c>
    </row>
    <row r="1431" spans="1:23" x14ac:dyDescent="0.25">
      <c r="A1431" s="7"/>
      <c r="B1431" s="7"/>
      <c r="E1431" s="29"/>
      <c r="H1431" s="2"/>
      <c r="I1431" s="3"/>
      <c r="J1431" s="17"/>
      <c r="K1431" s="17"/>
      <c r="L1431" s="18"/>
      <c r="M1431" s="3"/>
      <c r="P1431" s="3"/>
      <c r="Q1431" s="4"/>
      <c r="R1431" s="19"/>
      <c r="S1431" s="20"/>
      <c r="U1431" s="3" t="str">
        <f t="shared" si="48"/>
        <v/>
      </c>
      <c r="V1431" s="4" t="str">
        <f t="shared" si="49"/>
        <v/>
      </c>
      <c r="W1431" s="21" t="e" cm="1">
        <f t="array" ref="W1431">_xlfn.IFS(
  A1431="BELL", "WHITE",
  A1431="GAMP", "ORANGE",
  A1431="GAMM", "GREEN",
  A1431="BWF", "YELLOW",
  OR(A1431="TNBE", A1431="TNBL", A1431="TNBD", A1431="TNWC", A1431="TNBW", A1431="THBS"), "PINK",
  A1431="CRWD", "BLUE",
  A1431="PASS", "WHITE"
)</f>
        <v>#N/A</v>
      </c>
    </row>
    <row r="1432" spans="1:23" x14ac:dyDescent="0.25">
      <c r="A1432" s="7"/>
      <c r="B1432" s="7"/>
      <c r="E1432" s="29"/>
      <c r="H1432" s="2"/>
      <c r="I1432" s="3"/>
      <c r="J1432" s="17"/>
      <c r="K1432" s="17"/>
      <c r="L1432" s="18"/>
      <c r="M1432" s="3"/>
      <c r="P1432" s="3"/>
      <c r="Q1432" s="4"/>
      <c r="R1432" s="19"/>
      <c r="S1432" s="20"/>
      <c r="U1432" s="3" t="str">
        <f t="shared" si="48"/>
        <v/>
      </c>
      <c r="V1432" s="4" t="str">
        <f t="shared" si="49"/>
        <v/>
      </c>
      <c r="W1432" s="21" t="e" cm="1">
        <f t="array" ref="W1432">_xlfn.IFS(
  A1432="BELL", "WHITE",
  A1432="GAMP", "ORANGE",
  A1432="GAMM", "GREEN",
  A1432="BWF", "YELLOW",
  OR(A1432="TNBE", A1432="TNBL", A1432="TNBD", A1432="TNWC", A1432="TNBW", A1432="THBS"), "PINK",
  A1432="CRWD", "BLUE",
  A1432="PASS", "WHITE"
)</f>
        <v>#N/A</v>
      </c>
    </row>
    <row r="1433" spans="1:23" x14ac:dyDescent="0.25">
      <c r="A1433" s="7"/>
      <c r="B1433" s="7"/>
      <c r="E1433" s="29"/>
      <c r="H1433" s="2"/>
      <c r="I1433" s="3"/>
      <c r="J1433" s="17"/>
      <c r="K1433" s="17"/>
      <c r="L1433" s="18"/>
      <c r="M1433" s="3"/>
      <c r="P1433" s="3"/>
      <c r="Q1433" s="4"/>
      <c r="R1433" s="19"/>
      <c r="S1433" s="20"/>
      <c r="U1433" s="3" t="str">
        <f t="shared" si="48"/>
        <v/>
      </c>
      <c r="V1433" s="4" t="str">
        <f t="shared" si="49"/>
        <v/>
      </c>
      <c r="W1433" s="21" t="e" cm="1">
        <f t="array" ref="W1433">_xlfn.IFS(
  A1433="BELL", "WHITE",
  A1433="GAMP", "ORANGE",
  A1433="GAMM", "GREEN",
  A1433="BWF", "YELLOW",
  OR(A1433="TNBE", A1433="TNBL", A1433="TNBD", A1433="TNWC", A1433="TNBW", A1433="THBS"), "PINK",
  A1433="CRWD", "BLUE",
  A1433="PASS", "WHITE"
)</f>
        <v>#N/A</v>
      </c>
    </row>
    <row r="1434" spans="1:23" x14ac:dyDescent="0.25">
      <c r="A1434" s="7"/>
      <c r="B1434" s="7"/>
      <c r="E1434" s="29"/>
      <c r="H1434" s="2"/>
      <c r="I1434" s="3"/>
      <c r="J1434" s="17"/>
      <c r="K1434" s="17"/>
      <c r="L1434" s="18"/>
      <c r="M1434" s="3"/>
      <c r="P1434" s="3"/>
      <c r="Q1434" s="4"/>
      <c r="R1434" s="19"/>
      <c r="S1434" s="20"/>
      <c r="U1434" s="3" t="str">
        <f t="shared" si="48"/>
        <v/>
      </c>
      <c r="V1434" s="4" t="str">
        <f t="shared" si="49"/>
        <v/>
      </c>
      <c r="W1434" s="21" t="e" cm="1">
        <f t="array" ref="W1434">_xlfn.IFS(
  A1434="BELL", "WHITE",
  A1434="GAMP", "ORANGE",
  A1434="GAMM", "GREEN",
  A1434="BWF", "YELLOW",
  OR(A1434="TNBE", A1434="TNBL", A1434="TNBD", A1434="TNWC", A1434="TNBW", A1434="THBS"), "PINK",
  A1434="CRWD", "BLUE",
  A1434="PASS", "WHITE"
)</f>
        <v>#N/A</v>
      </c>
    </row>
    <row r="1435" spans="1:23" x14ac:dyDescent="0.25">
      <c r="A1435" s="7"/>
      <c r="B1435" s="7"/>
      <c r="E1435" s="29"/>
      <c r="H1435" s="2"/>
      <c r="I1435" s="3"/>
      <c r="J1435" s="17"/>
      <c r="K1435" s="17"/>
      <c r="L1435" s="18"/>
      <c r="M1435" s="18"/>
      <c r="P1435" s="3"/>
      <c r="Q1435" s="4"/>
      <c r="R1435" s="19"/>
      <c r="S1435" s="20"/>
      <c r="U1435" s="3" t="str">
        <f t="shared" si="48"/>
        <v/>
      </c>
      <c r="V1435" s="4" t="str">
        <f t="shared" si="49"/>
        <v/>
      </c>
      <c r="W1435" s="21" t="e" cm="1">
        <f t="array" ref="W1435">_xlfn.IFS(
  A1435="BELL", "WHITE",
  A1435="GAMP", "ORANGE",
  A1435="GAMM", "GREEN",
  A1435="BWF", "YELLOW",
  OR(A1435="TNBE", A1435="TNBL", A1435="TNBD", A1435="TNWC", A1435="TNBW", A1435="THBS"), "PINK",
  A1435="CRWD", "BLUE",
  A1435="PASS", "WHITE"
)</f>
        <v>#N/A</v>
      </c>
    </row>
    <row r="1436" spans="1:23" x14ac:dyDescent="0.25">
      <c r="A1436" s="7"/>
      <c r="B1436" s="7"/>
      <c r="E1436" s="29"/>
      <c r="H1436" s="2"/>
      <c r="I1436" s="3"/>
      <c r="J1436" s="17"/>
      <c r="K1436" s="17"/>
      <c r="L1436" s="18"/>
      <c r="M1436" s="18"/>
      <c r="P1436" s="3"/>
      <c r="Q1436" s="4"/>
      <c r="R1436" s="19"/>
      <c r="S1436" s="20"/>
      <c r="U1436" s="3" t="str">
        <f t="shared" si="48"/>
        <v/>
      </c>
      <c r="V1436" s="4" t="str">
        <f t="shared" si="49"/>
        <v/>
      </c>
      <c r="W1436" s="21" t="e" cm="1">
        <f t="array" ref="W1436">_xlfn.IFS(
  A1436="BELL", "WHITE",
  A1436="GAMP", "ORANGE",
  A1436="GAMM", "GREEN",
  A1436="BWF", "YELLOW",
  OR(A1436="TNBE", A1436="TNBL", A1436="TNBD", A1436="TNWC", A1436="TNBW", A1436="THBS"), "PINK",
  A1436="CRWD", "BLUE",
  A1436="PASS", "WHITE"
)</f>
        <v>#N/A</v>
      </c>
    </row>
    <row r="1437" spans="1:23" x14ac:dyDescent="0.25">
      <c r="A1437" s="7"/>
      <c r="B1437" s="7"/>
      <c r="E1437" s="29"/>
      <c r="H1437" s="2"/>
      <c r="I1437" s="3"/>
      <c r="J1437" s="17"/>
      <c r="K1437" s="17"/>
      <c r="L1437" s="18"/>
      <c r="M1437" s="18"/>
      <c r="P1437" s="3"/>
      <c r="Q1437" s="4"/>
      <c r="R1437" s="19"/>
      <c r="S1437" s="20"/>
      <c r="U1437" s="3" t="str">
        <f t="shared" si="48"/>
        <v/>
      </c>
      <c r="V1437" s="4" t="str">
        <f t="shared" si="49"/>
        <v/>
      </c>
      <c r="W1437" s="21" t="e" cm="1">
        <f t="array" ref="W1437">_xlfn.IFS(
  A1437="BELL", "WHITE",
  A1437="GAMP", "ORANGE",
  A1437="GAMM", "GREEN",
  A1437="BWF", "YELLOW",
  OR(A1437="TNBE", A1437="TNBL", A1437="TNBD", A1437="TNWC", A1437="TNBW", A1437="THBS"), "PINK",
  A1437="CRWD", "BLUE",
  A1437="PASS", "WHITE"
)</f>
        <v>#N/A</v>
      </c>
    </row>
    <row r="1438" spans="1:23" x14ac:dyDescent="0.25">
      <c r="A1438" s="7"/>
      <c r="B1438" s="46"/>
      <c r="E1438" s="29"/>
      <c r="H1438" s="2"/>
      <c r="I1438" s="3"/>
      <c r="J1438" s="17"/>
      <c r="K1438" s="17"/>
      <c r="L1438" s="18"/>
      <c r="M1438" s="3"/>
      <c r="P1438" s="3"/>
      <c r="Q1438" s="4"/>
      <c r="R1438" s="19"/>
      <c r="S1438" s="20"/>
      <c r="U1438" s="3" t="str">
        <f t="shared" si="48"/>
        <v/>
      </c>
      <c r="V1438" s="4" t="str">
        <f t="shared" si="49"/>
        <v/>
      </c>
      <c r="W1438" s="21" t="e" cm="1">
        <f t="array" ref="W1438">_xlfn.IFS(
  A1438="BELL", "WHITE",
  A1438="GAMP", "ORANGE",
  A1438="GAMM", "GREEN",
  A1438="BWF", "YELLOW",
  OR(A1438="TNBE", A1438="TNBL", A1438="TNBD", A1438="TNWC", A1438="TNBW", A1438="THBS"), "PINK",
  A1438="CRWD", "BLUE",
  A1438="PASS", "WHITE"
)</f>
        <v>#N/A</v>
      </c>
    </row>
    <row r="1439" spans="1:23" x14ac:dyDescent="0.25">
      <c r="A1439" s="7"/>
      <c r="B1439" s="7"/>
      <c r="E1439" s="29"/>
      <c r="H1439" s="2"/>
      <c r="I1439" s="3"/>
      <c r="J1439" s="17"/>
      <c r="K1439" s="17"/>
      <c r="L1439" s="18"/>
      <c r="M1439" s="3"/>
      <c r="P1439" s="3"/>
      <c r="Q1439" s="4"/>
      <c r="R1439" s="19"/>
      <c r="S1439" s="20"/>
      <c r="U1439" s="3" t="str">
        <f t="shared" si="48"/>
        <v/>
      </c>
      <c r="V1439" s="4" t="str">
        <f t="shared" si="49"/>
        <v/>
      </c>
      <c r="W1439" s="21" t="e" cm="1">
        <f t="array" ref="W1439">_xlfn.IFS(
  A1439="BELL", "WHITE",
  A1439="GAMP", "ORANGE",
  A1439="GAMM", "GREEN",
  A1439="BWF", "YELLOW",
  OR(A1439="TNBE", A1439="TNBL", A1439="TNBD", A1439="TNWC", A1439="TNBW", A1439="THBS"), "PINK",
  A1439="CRWD", "BLUE",
  A1439="PASS", "WHITE"
)</f>
        <v>#N/A</v>
      </c>
    </row>
    <row r="1440" spans="1:23" x14ac:dyDescent="0.25">
      <c r="A1440" s="7"/>
      <c r="B1440" s="7"/>
      <c r="E1440" s="29"/>
      <c r="H1440" s="2"/>
      <c r="I1440" s="3"/>
      <c r="J1440" s="17"/>
      <c r="K1440" s="17"/>
      <c r="L1440" s="18"/>
      <c r="M1440" s="3"/>
      <c r="P1440" s="3"/>
      <c r="Q1440" s="4"/>
      <c r="R1440" s="19"/>
      <c r="S1440" s="20"/>
      <c r="U1440" s="3" t="str">
        <f t="shared" si="48"/>
        <v/>
      </c>
      <c r="V1440" s="4" t="str">
        <f t="shared" si="49"/>
        <v/>
      </c>
      <c r="W1440" s="21" t="e" cm="1">
        <f t="array" ref="W1440">_xlfn.IFS(
  A1440="BELL", "WHITE",
  A1440="GAMP", "ORANGE",
  A1440="GAMM", "GREEN",
  A1440="BWF", "YELLOW",
  OR(A1440="TNBE", A1440="TNBL", A1440="TNBD", A1440="TNWC", A1440="TNBW", A1440="THBS"), "PINK",
  A1440="CRWD", "BLUE",
  A1440="PASS", "WHITE"
)</f>
        <v>#N/A</v>
      </c>
    </row>
    <row r="1441" spans="1:23" x14ac:dyDescent="0.25">
      <c r="A1441" s="7"/>
      <c r="B1441" s="7"/>
      <c r="E1441" s="29"/>
      <c r="H1441" s="2"/>
      <c r="I1441" s="3"/>
      <c r="J1441" s="17"/>
      <c r="K1441" s="17"/>
      <c r="L1441" s="18"/>
      <c r="M1441" s="3"/>
      <c r="P1441" s="3"/>
      <c r="Q1441" s="4"/>
      <c r="R1441" s="19"/>
      <c r="S1441" s="20"/>
      <c r="U1441" s="3" t="str">
        <f t="shared" si="48"/>
        <v/>
      </c>
      <c r="V1441" s="4" t="str">
        <f t="shared" si="49"/>
        <v/>
      </c>
      <c r="W1441" s="21" t="e" cm="1">
        <f t="array" ref="W1441">_xlfn.IFS(
  A1441="BELL", "WHITE",
  A1441="GAMP", "ORANGE",
  A1441="GAMM", "GREEN",
  A1441="BWF", "YELLOW",
  OR(A1441="TNBE", A1441="TNBL", A1441="TNBD", A1441="TNWC", A1441="TNBW", A1441="THBS"), "PINK",
  A1441="CRWD", "BLUE",
  A1441="PASS", "WHITE"
)</f>
        <v>#N/A</v>
      </c>
    </row>
    <row r="1442" spans="1:23" x14ac:dyDescent="0.25">
      <c r="A1442" s="7"/>
      <c r="B1442" s="46"/>
      <c r="E1442" s="29"/>
      <c r="H1442" s="2"/>
      <c r="I1442" s="3"/>
      <c r="J1442" s="17"/>
      <c r="K1442" s="17"/>
      <c r="L1442" s="18"/>
      <c r="M1442" s="3"/>
      <c r="P1442" s="3"/>
      <c r="Q1442" s="4"/>
      <c r="R1442" s="19"/>
      <c r="S1442" s="20"/>
      <c r="U1442" s="3" t="str">
        <f t="shared" si="48"/>
        <v/>
      </c>
      <c r="V1442" s="4" t="str">
        <f t="shared" si="49"/>
        <v/>
      </c>
      <c r="W1442" s="21" t="e" cm="1">
        <f t="array" ref="W1442">_xlfn.IFS(
  A1442="BELL", "WHITE",
  A1442="GAMP", "ORANGE",
  A1442="GAMM", "GREEN",
  A1442="BWF", "YELLOW",
  OR(A1442="TNBE", A1442="TNBL", A1442="TNBD", A1442="TNWC", A1442="TNBW", A1442="THBS"), "PINK",
  A1442="CRWD", "BLUE",
  A1442="PASS", "WHITE"
)</f>
        <v>#N/A</v>
      </c>
    </row>
    <row r="1443" spans="1:23" x14ac:dyDescent="0.25">
      <c r="A1443" s="7"/>
      <c r="B1443" s="46"/>
      <c r="E1443" s="29"/>
      <c r="H1443" s="2"/>
      <c r="I1443" s="3"/>
      <c r="J1443" s="17"/>
      <c r="K1443" s="17"/>
      <c r="L1443" s="18"/>
      <c r="M1443" s="3"/>
      <c r="P1443" s="3"/>
      <c r="Q1443" s="4"/>
      <c r="R1443" s="19"/>
      <c r="S1443" s="20"/>
      <c r="U1443" s="3" t="str">
        <f t="shared" si="48"/>
        <v/>
      </c>
      <c r="V1443" s="4" t="str">
        <f t="shared" si="49"/>
        <v/>
      </c>
      <c r="W1443" s="21" t="e" cm="1">
        <f t="array" ref="W1443">_xlfn.IFS(
  A1443="BELL", "WHITE",
  A1443="GAMP", "ORANGE",
  A1443="GAMM", "GREEN",
  A1443="BWF", "YELLOW",
  OR(A1443="TNBE", A1443="TNBL", A1443="TNBD", A1443="TNWC", A1443="TNBW", A1443="THBS"), "PINK",
  A1443="CRWD", "BLUE",
  A1443="PASS", "WHITE"
)</f>
        <v>#N/A</v>
      </c>
    </row>
    <row r="1444" spans="1:23" x14ac:dyDescent="0.25">
      <c r="A1444" s="7"/>
      <c r="B1444" s="7"/>
      <c r="E1444" s="29"/>
      <c r="H1444" s="2"/>
      <c r="I1444" s="3"/>
      <c r="J1444" s="17"/>
      <c r="K1444" s="17"/>
      <c r="L1444" s="18"/>
      <c r="M1444" s="3"/>
      <c r="P1444" s="3"/>
      <c r="Q1444" s="4"/>
      <c r="R1444" s="19"/>
      <c r="S1444" s="20"/>
      <c r="U1444" s="3" t="str">
        <f t="shared" si="48"/>
        <v/>
      </c>
      <c r="V1444" s="4" t="str">
        <f t="shared" si="49"/>
        <v/>
      </c>
      <c r="W1444" s="21" t="e" cm="1">
        <f t="array" ref="W1444">_xlfn.IFS(
  A1444="BELL", "WHITE",
  A1444="GAMP", "ORANGE",
  A1444="GAMM", "GREEN",
  A1444="BWF", "YELLOW",
  OR(A1444="TNBE", A1444="TNBL", A1444="TNBD", A1444="TNWC", A1444="TNBW", A1444="THBS"), "PINK",
  A1444="CRWD", "BLUE",
  A1444="PASS", "WHITE"
)</f>
        <v>#N/A</v>
      </c>
    </row>
    <row r="1445" spans="1:23" x14ac:dyDescent="0.25">
      <c r="A1445" s="7"/>
      <c r="B1445" s="7"/>
      <c r="E1445" s="29"/>
      <c r="H1445" s="2"/>
      <c r="I1445" s="3"/>
      <c r="J1445" s="17"/>
      <c r="K1445" s="17"/>
      <c r="L1445" s="18"/>
      <c r="M1445" s="3"/>
      <c r="P1445" s="3"/>
      <c r="Q1445" s="4"/>
      <c r="R1445" s="19"/>
      <c r="S1445" s="20"/>
      <c r="U1445" s="3" t="str">
        <f t="shared" si="48"/>
        <v/>
      </c>
      <c r="V1445" s="4" t="str">
        <f t="shared" si="49"/>
        <v/>
      </c>
      <c r="W1445" s="21" t="e" cm="1">
        <f t="array" ref="W1445">_xlfn.IFS(
  A1445="BELL", "WHITE",
  A1445="GAMP", "ORANGE",
  A1445="GAMM", "GREEN",
  A1445="BWF", "YELLOW",
  OR(A1445="TNBE", A1445="TNBL", A1445="TNBD", A1445="TNWC", A1445="TNBW", A1445="THBS"), "PINK",
  A1445="CRWD", "BLUE",
  A1445="PASS", "WHITE"
)</f>
        <v>#N/A</v>
      </c>
    </row>
    <row r="1446" spans="1:23" x14ac:dyDescent="0.25">
      <c r="A1446" s="7"/>
      <c r="B1446" s="7"/>
      <c r="E1446" s="29"/>
      <c r="H1446" s="2"/>
      <c r="I1446" s="3"/>
      <c r="J1446" s="17"/>
      <c r="K1446" s="17"/>
      <c r="L1446" s="18"/>
      <c r="M1446" s="3"/>
      <c r="P1446" s="3"/>
      <c r="Q1446" s="4"/>
      <c r="R1446" s="19"/>
      <c r="S1446" s="20"/>
      <c r="U1446" s="3" t="str">
        <f t="shared" si="48"/>
        <v/>
      </c>
      <c r="V1446" s="4" t="str">
        <f t="shared" si="49"/>
        <v/>
      </c>
      <c r="W1446" s="21" t="e" cm="1">
        <f t="array" ref="W1446">_xlfn.IFS(
  A1446="BELL", "WHITE",
  A1446="GAMP", "ORANGE",
  A1446="GAMM", "GREEN",
  A1446="BWF", "YELLOW",
  OR(A1446="TNBE", A1446="TNBL", A1446="TNBD", A1446="TNWC", A1446="TNBW", A1446="THBS"), "PINK",
  A1446="CRWD", "BLUE",
  A1446="PASS", "WHITE"
)</f>
        <v>#N/A</v>
      </c>
    </row>
    <row r="1447" spans="1:23" x14ac:dyDescent="0.25">
      <c r="A1447" s="7"/>
      <c r="B1447" s="7"/>
      <c r="E1447" s="29"/>
      <c r="H1447" s="2"/>
      <c r="I1447" s="3"/>
      <c r="J1447" s="17"/>
      <c r="K1447" s="17"/>
      <c r="L1447" s="18"/>
      <c r="M1447" s="18"/>
      <c r="P1447" s="3"/>
      <c r="Q1447" s="4"/>
      <c r="R1447" s="19"/>
      <c r="S1447" s="20"/>
      <c r="U1447" s="3" t="str">
        <f t="shared" si="48"/>
        <v/>
      </c>
      <c r="V1447" s="4" t="str">
        <f t="shared" si="49"/>
        <v/>
      </c>
      <c r="W1447" s="21" t="e" cm="1">
        <f t="array" ref="W1447">_xlfn.IFS(
  A1447="BELL", "WHITE",
  A1447="GAMP", "ORANGE",
  A1447="GAMM", "GREEN",
  A1447="BWF", "YELLOW",
  OR(A1447="TNBE", A1447="TNBL", A1447="TNBD", A1447="TNWC", A1447="TNBW", A1447="THBS"), "PINK",
  A1447="CRWD", "BLUE",
  A1447="PASS", "WHITE"
)</f>
        <v>#N/A</v>
      </c>
    </row>
    <row r="1448" spans="1:23" x14ac:dyDescent="0.25">
      <c r="A1448" s="7"/>
      <c r="B1448" s="7"/>
      <c r="E1448" s="29"/>
      <c r="H1448" s="2"/>
      <c r="I1448" s="3"/>
      <c r="J1448" s="17"/>
      <c r="K1448" s="17"/>
      <c r="L1448" s="18"/>
      <c r="M1448" s="18"/>
      <c r="P1448" s="3"/>
      <c r="Q1448" s="4"/>
      <c r="R1448" s="19"/>
      <c r="S1448" s="20"/>
      <c r="U1448" s="3" t="str">
        <f t="shared" si="48"/>
        <v/>
      </c>
      <c r="V1448" s="4" t="str">
        <f t="shared" si="49"/>
        <v/>
      </c>
      <c r="W1448" s="21" t="e" cm="1">
        <f t="array" ref="W1448">_xlfn.IFS(
  A1448="BELL", "WHITE",
  A1448="GAMP", "ORANGE",
  A1448="GAMM", "GREEN",
  A1448="BWF", "YELLOW",
  OR(A1448="TNBE", A1448="TNBL", A1448="TNBD", A1448="TNWC", A1448="TNBW", A1448="THBS"), "PINK",
  A1448="CRWD", "BLUE",
  A1448="PASS", "WHITE"
)</f>
        <v>#N/A</v>
      </c>
    </row>
    <row r="1449" spans="1:23" x14ac:dyDescent="0.25">
      <c r="A1449" s="7"/>
      <c r="B1449" s="7"/>
      <c r="E1449" s="29"/>
      <c r="H1449" s="2"/>
      <c r="I1449" s="3"/>
      <c r="J1449" s="17"/>
      <c r="K1449" s="17"/>
      <c r="L1449" s="18"/>
      <c r="M1449" s="18"/>
      <c r="P1449" s="3"/>
      <c r="Q1449" s="4"/>
      <c r="R1449" s="19"/>
      <c r="S1449" s="20"/>
      <c r="U1449" s="3" t="str">
        <f t="shared" si="48"/>
        <v/>
      </c>
      <c r="V1449" s="4" t="str">
        <f t="shared" si="49"/>
        <v/>
      </c>
      <c r="W1449" s="21" t="e" cm="1">
        <f t="array" ref="W1449">_xlfn.IFS(
  A1449="BELL", "WHITE",
  A1449="GAMP", "ORANGE",
  A1449="GAMM", "GREEN",
  A1449="BWF", "YELLOW",
  OR(A1449="TNBE", A1449="TNBL", A1449="TNBD", A1449="TNWC", A1449="TNBW", A1449="THBS"), "PINK",
  A1449="CRWD", "BLUE",
  A1449="PASS", "WHITE"
)</f>
        <v>#N/A</v>
      </c>
    </row>
    <row r="1450" spans="1:23" x14ac:dyDescent="0.25">
      <c r="A1450" s="7"/>
      <c r="B1450" s="7"/>
      <c r="E1450" s="29"/>
      <c r="H1450" s="2"/>
      <c r="I1450" s="3"/>
      <c r="J1450" s="17"/>
      <c r="K1450" s="17"/>
      <c r="L1450" s="18"/>
      <c r="M1450" s="18"/>
      <c r="P1450" s="3"/>
      <c r="Q1450" s="4"/>
      <c r="R1450" s="19"/>
      <c r="S1450" s="20"/>
      <c r="U1450" s="3" t="str">
        <f t="shared" si="48"/>
        <v/>
      </c>
      <c r="V1450" s="4" t="str">
        <f t="shared" si="49"/>
        <v/>
      </c>
      <c r="W1450" s="21" t="e" cm="1">
        <f t="array" ref="W1450">_xlfn.IFS(
  A1450="BELL", "WHITE",
  A1450="GAMP", "ORANGE",
  A1450="GAMM", "GREEN",
  A1450="BWF", "YELLOW",
  OR(A1450="TNBE", A1450="TNBL", A1450="TNBD", A1450="TNWC", A1450="TNBW", A1450="THBS"), "PINK",
  A1450="CRWD", "BLUE",
  A1450="PASS", "WHITE"
)</f>
        <v>#N/A</v>
      </c>
    </row>
    <row r="1451" spans="1:23" x14ac:dyDescent="0.25">
      <c r="A1451" s="7"/>
      <c r="B1451" s="7"/>
      <c r="E1451" s="29"/>
      <c r="H1451" s="2"/>
      <c r="I1451" s="3"/>
      <c r="J1451" s="17"/>
      <c r="K1451" s="17"/>
      <c r="L1451" s="18"/>
      <c r="M1451" s="3"/>
      <c r="P1451" s="3"/>
      <c r="Q1451" s="4"/>
      <c r="R1451" s="19"/>
      <c r="S1451" s="20"/>
      <c r="U1451" s="3" t="str">
        <f t="shared" si="48"/>
        <v/>
      </c>
      <c r="V1451" s="4" t="str">
        <f t="shared" si="49"/>
        <v/>
      </c>
      <c r="W1451" s="21" t="e" cm="1">
        <f t="array" ref="W1451">_xlfn.IFS(
  A1451="BELL", "WHITE",
  A1451="GAMP", "ORANGE",
  A1451="GAMM", "GREEN",
  A1451="BWF", "YELLOW",
  OR(A1451="TNBE", A1451="TNBL", A1451="TNBD", A1451="TNWC", A1451="TNBW", A1451="THBS"), "PINK",
  A1451="CRWD", "BLUE",
  A1451="PASS", "WHITE"
)</f>
        <v>#N/A</v>
      </c>
    </row>
    <row r="1452" spans="1:23" x14ac:dyDescent="0.25">
      <c r="A1452" s="7"/>
      <c r="B1452" s="7"/>
      <c r="E1452" s="29"/>
      <c r="H1452" s="2"/>
      <c r="I1452" s="3"/>
      <c r="J1452" s="17"/>
      <c r="K1452" s="17"/>
      <c r="L1452" s="18"/>
      <c r="M1452" s="3"/>
      <c r="P1452" s="3"/>
      <c r="Q1452" s="4"/>
      <c r="R1452" s="19"/>
      <c r="S1452" s="20"/>
      <c r="U1452" s="3" t="str">
        <f t="shared" si="48"/>
        <v/>
      </c>
      <c r="V1452" s="4" t="str">
        <f t="shared" si="49"/>
        <v/>
      </c>
      <c r="W1452" s="21" t="e" cm="1">
        <f t="array" ref="W1452">_xlfn.IFS(
  A1452="BELL", "WHITE",
  A1452="GAMP", "ORANGE",
  A1452="GAMM", "GREEN",
  A1452="BWF", "YELLOW",
  OR(A1452="TNBE", A1452="TNBL", A1452="TNBD", A1452="TNWC", A1452="TNBW", A1452="THBS"), "PINK",
  A1452="CRWD", "BLUE",
  A1452="PASS", "WHITE"
)</f>
        <v>#N/A</v>
      </c>
    </row>
    <row r="1453" spans="1:23" x14ac:dyDescent="0.25">
      <c r="A1453" s="7"/>
      <c r="B1453" s="7"/>
      <c r="E1453" s="29"/>
      <c r="H1453" s="2"/>
      <c r="I1453" s="3"/>
      <c r="J1453" s="17"/>
      <c r="K1453" s="17"/>
      <c r="L1453" s="18"/>
      <c r="M1453" s="3"/>
      <c r="P1453" s="3"/>
      <c r="Q1453" s="4"/>
      <c r="R1453" s="19"/>
      <c r="S1453" s="20"/>
      <c r="U1453" s="3" t="str">
        <f t="shared" si="48"/>
        <v/>
      </c>
      <c r="V1453" s="4" t="str">
        <f t="shared" si="49"/>
        <v/>
      </c>
      <c r="W1453" s="21" t="e" cm="1">
        <f t="array" ref="W1453">_xlfn.IFS(
  A1453="BELL", "WHITE",
  A1453="GAMP", "ORANGE",
  A1453="GAMM", "GREEN",
  A1453="BWF", "YELLOW",
  OR(A1453="TNBE", A1453="TNBL", A1453="TNBD", A1453="TNWC", A1453="TNBW", A1453="THBS"), "PINK",
  A1453="CRWD", "BLUE",
  A1453="PASS", "WHITE"
)</f>
        <v>#N/A</v>
      </c>
    </row>
    <row r="1454" spans="1:23" x14ac:dyDescent="0.25">
      <c r="A1454" s="7"/>
      <c r="B1454" s="7"/>
      <c r="E1454" s="29"/>
      <c r="H1454" s="2"/>
      <c r="I1454" s="3"/>
      <c r="J1454" s="17"/>
      <c r="K1454" s="17"/>
      <c r="L1454" s="18"/>
      <c r="M1454" s="3"/>
      <c r="P1454" s="3"/>
      <c r="Q1454" s="4"/>
      <c r="R1454" s="19"/>
      <c r="S1454" s="20"/>
      <c r="U1454" s="3" t="str">
        <f t="shared" si="48"/>
        <v/>
      </c>
      <c r="V1454" s="4" t="str">
        <f t="shared" si="49"/>
        <v/>
      </c>
      <c r="W1454" s="21" t="e" cm="1">
        <f t="array" ref="W1454">_xlfn.IFS(
  A1454="BELL", "WHITE",
  A1454="GAMP", "ORANGE",
  A1454="GAMM", "GREEN",
  A1454="BWF", "YELLOW",
  OR(A1454="TNBE", A1454="TNBL", A1454="TNBD", A1454="TNWC", A1454="TNBW", A1454="THBS"), "PINK",
  A1454="CRWD", "BLUE",
  A1454="PASS", "WHITE"
)</f>
        <v>#N/A</v>
      </c>
    </row>
    <row r="1455" spans="1:23" x14ac:dyDescent="0.25">
      <c r="A1455" s="7"/>
      <c r="B1455" s="7"/>
      <c r="E1455" s="29"/>
      <c r="H1455" s="2"/>
      <c r="I1455" s="3"/>
      <c r="J1455" s="17"/>
      <c r="K1455" s="17"/>
      <c r="L1455" s="18"/>
      <c r="M1455" s="3"/>
      <c r="P1455" s="3"/>
      <c r="Q1455" s="4"/>
      <c r="R1455" s="19"/>
      <c r="S1455" s="20"/>
      <c r="U1455" s="3" t="str">
        <f t="shared" si="48"/>
        <v/>
      </c>
      <c r="V1455" s="4" t="str">
        <f t="shared" si="49"/>
        <v/>
      </c>
      <c r="W1455" s="21" t="e" cm="1">
        <f t="array" ref="W1455">_xlfn.IFS(
  A1455="BELL", "WHITE",
  A1455="GAMP", "ORANGE",
  A1455="GAMM", "GREEN",
  A1455="BWF", "YELLOW",
  OR(A1455="TNBE", A1455="TNBL", A1455="TNBD", A1455="TNWC", A1455="TNBW", A1455="THBS"), "PINK",
  A1455="CRWD", "BLUE",
  A1455="PASS", "WHITE"
)</f>
        <v>#N/A</v>
      </c>
    </row>
    <row r="1456" spans="1:23" x14ac:dyDescent="0.25">
      <c r="A1456" s="7"/>
      <c r="B1456" s="7"/>
      <c r="E1456" s="29"/>
      <c r="H1456" s="2"/>
      <c r="I1456" s="3"/>
      <c r="J1456" s="17"/>
      <c r="K1456" s="17"/>
      <c r="L1456" s="18"/>
      <c r="M1456" s="3"/>
      <c r="P1456" s="3"/>
      <c r="Q1456" s="4"/>
      <c r="R1456" s="19"/>
      <c r="S1456" s="20"/>
      <c r="U1456" s="3" t="str">
        <f t="shared" si="48"/>
        <v/>
      </c>
      <c r="V1456" s="4" t="str">
        <f t="shared" si="49"/>
        <v/>
      </c>
      <c r="W1456" s="21" t="e" cm="1">
        <f t="array" ref="W1456">_xlfn.IFS(
  A1456="BELL", "WHITE",
  A1456="GAMP", "ORANGE",
  A1456="GAMM", "GREEN",
  A1456="BWF", "YELLOW",
  OR(A1456="TNBE", A1456="TNBL", A1456="TNBD", A1456="TNWC", A1456="TNBW", A1456="THBS"), "PINK",
  A1456="CRWD", "BLUE",
  A1456="PASS", "WHITE"
)</f>
        <v>#N/A</v>
      </c>
    </row>
    <row r="1457" spans="1:23" x14ac:dyDescent="0.25">
      <c r="A1457" s="7"/>
      <c r="B1457" s="7"/>
      <c r="H1457" s="2"/>
      <c r="I1457" s="3"/>
      <c r="J1457" s="17"/>
      <c r="K1457" s="17"/>
      <c r="L1457" s="18"/>
      <c r="M1457" s="18"/>
      <c r="P1457" s="3"/>
      <c r="Q1457" s="4"/>
      <c r="R1457" s="19"/>
      <c r="S1457" s="20"/>
      <c r="U1457" s="3" t="str">
        <f t="shared" si="48"/>
        <v/>
      </c>
      <c r="V1457" s="4" t="str">
        <f t="shared" si="49"/>
        <v/>
      </c>
      <c r="W1457" s="21" t="e" cm="1">
        <f t="array" ref="W1457">_xlfn.IFS(
  A1457="BELL", "WHITE",
  A1457="GAMP", "ORANGE",
  A1457="GAMM", "GREEN",
  A1457="BWF", "YELLOW",
  OR(A1457="TNBE", A1457="TNBL", A1457="TNBD", A1457="TNWC", A1457="TNBW", A1457="THBS"), "PINK",
  A1457="CRWD", "BLUE",
  A1457="PASS", "WHITE"
)</f>
        <v>#N/A</v>
      </c>
    </row>
    <row r="1458" spans="1:23" x14ac:dyDescent="0.25">
      <c r="A1458" s="7"/>
      <c r="B1458" s="7"/>
      <c r="H1458" s="2"/>
      <c r="I1458" s="3"/>
      <c r="J1458" s="17"/>
      <c r="K1458" s="17"/>
      <c r="L1458" s="18"/>
      <c r="M1458" s="18"/>
      <c r="P1458" s="3"/>
      <c r="Q1458" s="4"/>
      <c r="R1458" s="19"/>
      <c r="S1458" s="20"/>
      <c r="U1458" s="3" t="str">
        <f t="shared" si="48"/>
        <v/>
      </c>
      <c r="V1458" s="4" t="str">
        <f t="shared" si="49"/>
        <v/>
      </c>
      <c r="W1458" s="21" t="e" cm="1">
        <f t="array" ref="W1458">_xlfn.IFS(
  A1458="BELL", "WHITE",
  A1458="GAMP", "ORANGE",
  A1458="GAMM", "GREEN",
  A1458="BWF", "YELLOW",
  OR(A1458="TNBE", A1458="TNBL", A1458="TNBD", A1458="TNWC", A1458="TNBW", A1458="THBS"), "PINK",
  A1458="CRWD", "BLUE",
  A1458="PASS", "WHITE"
)</f>
        <v>#N/A</v>
      </c>
    </row>
    <row r="1459" spans="1:23" x14ac:dyDescent="0.25">
      <c r="A1459" s="7"/>
      <c r="B1459" s="7"/>
      <c r="H1459" s="2"/>
      <c r="I1459" s="3"/>
      <c r="J1459" s="17"/>
      <c r="K1459" s="17"/>
      <c r="L1459" s="18"/>
      <c r="M1459" s="18"/>
      <c r="P1459" s="3"/>
      <c r="Q1459" s="4"/>
      <c r="R1459" s="19"/>
      <c r="S1459" s="20"/>
      <c r="U1459" s="3" t="str">
        <f t="shared" si="48"/>
        <v/>
      </c>
      <c r="V1459" s="4" t="str">
        <f t="shared" si="49"/>
        <v/>
      </c>
      <c r="W1459" s="21" t="e" cm="1">
        <f t="array" ref="W1459">_xlfn.IFS(
  A1459="BELL", "WHITE",
  A1459="GAMP", "ORANGE",
  A1459="GAMM", "GREEN",
  A1459="BWF", "YELLOW",
  OR(A1459="TNBE", A1459="TNBL", A1459="TNBD", A1459="TNWC", A1459="TNBW", A1459="THBS"), "PINK",
  A1459="CRWD", "BLUE",
  A1459="PASS", "WHITE"
)</f>
        <v>#N/A</v>
      </c>
    </row>
    <row r="1460" spans="1:23" x14ac:dyDescent="0.25">
      <c r="A1460" s="7"/>
      <c r="B1460" s="7"/>
      <c r="H1460" s="2"/>
      <c r="I1460" s="3"/>
      <c r="J1460" s="17"/>
      <c r="K1460" s="17"/>
      <c r="L1460" s="18"/>
      <c r="M1460" s="3"/>
      <c r="P1460" s="3"/>
      <c r="Q1460" s="4"/>
      <c r="R1460" s="19"/>
      <c r="S1460" s="20"/>
      <c r="U1460" s="3" t="str">
        <f t="shared" si="48"/>
        <v/>
      </c>
      <c r="V1460" s="4" t="str">
        <f t="shared" si="49"/>
        <v/>
      </c>
      <c r="W1460" s="21" t="e" cm="1">
        <f t="array" ref="W1460">_xlfn.IFS(
  A1460="BELL", "WHITE",
  A1460="GAMP", "ORANGE",
  A1460="GAMM", "GREEN",
  A1460="BWF", "YELLOW",
  OR(A1460="TNBE", A1460="TNBL", A1460="TNBD", A1460="TNWC", A1460="TNBW", A1460="THBS"), "PINK",
  A1460="CRWD", "BLUE",
  A1460="PASS", "WHITE"
)</f>
        <v>#N/A</v>
      </c>
    </row>
    <row r="1461" spans="1:23" x14ac:dyDescent="0.25">
      <c r="A1461" s="7"/>
      <c r="B1461" s="7"/>
      <c r="E1461" s="29"/>
      <c r="H1461" s="2"/>
      <c r="I1461" s="3"/>
      <c r="J1461" s="17"/>
      <c r="K1461" s="17"/>
      <c r="L1461" s="18"/>
      <c r="M1461" s="18"/>
      <c r="P1461" s="3"/>
      <c r="Q1461" s="4"/>
      <c r="R1461" s="19"/>
      <c r="S1461" s="20"/>
      <c r="U1461" s="3" t="str">
        <f t="shared" si="48"/>
        <v/>
      </c>
      <c r="V1461" s="4" t="str">
        <f t="shared" si="49"/>
        <v/>
      </c>
      <c r="W1461" s="21" t="e" cm="1">
        <f t="array" ref="W1461">_xlfn.IFS(
  A1461="BELL", "WHITE",
  A1461="GAMP", "ORANGE",
  A1461="GAMM", "GREEN",
  A1461="BWF", "YELLOW",
  OR(A1461="TNBE", A1461="TNBL", A1461="TNBD", A1461="TNWC", A1461="TNBW", A1461="THBS"), "PINK",
  A1461="CRWD", "BLUE",
  A1461="PASS", "WHITE"
)</f>
        <v>#N/A</v>
      </c>
    </row>
    <row r="1462" spans="1:23" x14ac:dyDescent="0.25">
      <c r="A1462" s="7"/>
      <c r="B1462" s="7"/>
      <c r="H1462" s="2"/>
      <c r="I1462" s="3"/>
      <c r="J1462" s="17"/>
      <c r="K1462" s="17"/>
      <c r="L1462" s="18"/>
      <c r="M1462" s="3"/>
      <c r="P1462" s="3"/>
      <c r="Q1462" s="4"/>
      <c r="R1462" s="19"/>
      <c r="S1462" s="20"/>
      <c r="U1462" s="3" t="str">
        <f t="shared" si="48"/>
        <v/>
      </c>
      <c r="V1462" s="4" t="str">
        <f t="shared" si="49"/>
        <v/>
      </c>
      <c r="W1462" s="21" t="e" cm="1">
        <f t="array" ref="W1462">_xlfn.IFS(
  A1462="BELL", "WHITE",
  A1462="GAMP", "ORANGE",
  A1462="GAMM", "GREEN",
  A1462="BWF", "YELLOW",
  OR(A1462="TNBE", A1462="TNBL", A1462="TNBD", A1462="TNWC", A1462="TNBW", A1462="THBS"), "PINK",
  A1462="CRWD", "BLUE",
  A1462="PASS", "WHITE"
)</f>
        <v>#N/A</v>
      </c>
    </row>
    <row r="1463" spans="1:23" x14ac:dyDescent="0.25">
      <c r="A1463" s="7"/>
      <c r="B1463" s="7"/>
      <c r="E1463" s="29"/>
      <c r="H1463" s="2"/>
      <c r="I1463" s="3"/>
      <c r="J1463" s="17"/>
      <c r="K1463" s="17"/>
      <c r="L1463" s="18"/>
      <c r="M1463" s="3"/>
      <c r="P1463" s="3"/>
      <c r="Q1463" s="4"/>
      <c r="R1463" s="19"/>
      <c r="S1463" s="20"/>
      <c r="U1463" s="3" t="str">
        <f t="shared" si="48"/>
        <v/>
      </c>
      <c r="V1463" s="4" t="str">
        <f t="shared" si="49"/>
        <v/>
      </c>
      <c r="W1463" s="21" t="e" cm="1">
        <f t="array" ref="W1463">_xlfn.IFS(
  A1463="BELL", "WHITE",
  A1463="GAMP", "ORANGE",
  A1463="GAMM", "GREEN",
  A1463="BWF", "YELLOW",
  OR(A1463="TNBE", A1463="TNBL", A1463="TNBD", A1463="TNWC", A1463="TNBW", A1463="THBS"), "PINK",
  A1463="CRWD", "BLUE",
  A1463="PASS", "WHITE"
)</f>
        <v>#N/A</v>
      </c>
    </row>
    <row r="1464" spans="1:23" x14ac:dyDescent="0.25">
      <c r="A1464" s="7"/>
      <c r="B1464" s="7"/>
      <c r="E1464" s="29"/>
      <c r="H1464" s="2"/>
      <c r="I1464" s="3"/>
      <c r="J1464" s="17"/>
      <c r="K1464" s="17"/>
      <c r="L1464" s="18"/>
      <c r="M1464" s="3"/>
      <c r="P1464" s="3"/>
      <c r="Q1464" s="4"/>
      <c r="R1464" s="19"/>
      <c r="S1464" s="20"/>
      <c r="U1464" s="3" t="str">
        <f t="shared" si="48"/>
        <v/>
      </c>
      <c r="V1464" s="4" t="str">
        <f t="shared" si="49"/>
        <v/>
      </c>
      <c r="W1464" s="21" t="e" cm="1">
        <f t="array" ref="W1464">_xlfn.IFS(
  A1464="BELL", "WHITE",
  A1464="GAMP", "ORANGE",
  A1464="GAMM", "GREEN",
  A1464="BWF", "YELLOW",
  OR(A1464="TNBE", A1464="TNBL", A1464="TNBD", A1464="TNWC", A1464="TNBW", A1464="THBS"), "PINK",
  A1464="CRWD", "BLUE",
  A1464="PASS", "WHITE"
)</f>
        <v>#N/A</v>
      </c>
    </row>
    <row r="1465" spans="1:23" x14ac:dyDescent="0.25">
      <c r="A1465" s="7"/>
      <c r="B1465" s="7"/>
      <c r="E1465" s="29"/>
      <c r="H1465" s="2"/>
      <c r="I1465" s="3"/>
      <c r="J1465" s="17"/>
      <c r="K1465" s="17"/>
      <c r="L1465" s="18"/>
      <c r="M1465" s="3"/>
      <c r="P1465" s="3"/>
      <c r="Q1465" s="4"/>
      <c r="R1465" s="19"/>
      <c r="S1465" s="20"/>
      <c r="U1465" s="3" t="str">
        <f t="shared" si="48"/>
        <v/>
      </c>
      <c r="V1465" s="4" t="str">
        <f t="shared" si="49"/>
        <v/>
      </c>
      <c r="W1465" s="21" t="e" cm="1">
        <f t="array" ref="W1465">_xlfn.IFS(
  A1465="BELL", "WHITE",
  A1465="GAMP", "ORANGE",
  A1465="GAMM", "GREEN",
  A1465="BWF", "YELLOW",
  OR(A1465="TNBE", A1465="TNBL", A1465="TNBD", A1465="TNWC", A1465="TNBW", A1465="THBS"), "PINK",
  A1465="CRWD", "BLUE",
  A1465="PASS", "WHITE"
)</f>
        <v>#N/A</v>
      </c>
    </row>
    <row r="1466" spans="1:23" x14ac:dyDescent="0.25">
      <c r="A1466" s="7"/>
      <c r="B1466" s="7"/>
      <c r="H1466" s="2"/>
      <c r="I1466" s="3"/>
      <c r="J1466" s="17"/>
      <c r="K1466" s="17"/>
      <c r="L1466" s="18"/>
      <c r="M1466" s="3"/>
      <c r="P1466" s="3"/>
      <c r="Q1466" s="4"/>
      <c r="R1466" s="19"/>
      <c r="S1466" s="20"/>
      <c r="U1466" s="3" t="str">
        <f t="shared" si="48"/>
        <v/>
      </c>
      <c r="V1466" s="4" t="str">
        <f t="shared" si="49"/>
        <v/>
      </c>
      <c r="W1466" s="21" t="e" cm="1">
        <f t="array" ref="W1466">_xlfn.IFS(
  A1466="BELL", "WHITE",
  A1466="GAMP", "ORANGE",
  A1466="GAMM", "GREEN",
  A1466="BWF", "YELLOW",
  OR(A1466="TNBE", A1466="TNBL", A1466="TNBD", A1466="TNWC", A1466="TNBW", A1466="THBS"), "PINK",
  A1466="CRWD", "BLUE",
  A1466="PASS", "WHITE"
)</f>
        <v>#N/A</v>
      </c>
    </row>
    <row r="1467" spans="1:23" x14ac:dyDescent="0.25">
      <c r="A1467" s="7"/>
      <c r="B1467" s="47"/>
      <c r="H1467" s="2"/>
      <c r="I1467" s="3"/>
      <c r="J1467" s="17"/>
      <c r="K1467" s="17"/>
      <c r="L1467" s="18"/>
      <c r="M1467" s="3"/>
      <c r="P1467" s="3"/>
      <c r="Q1467" s="4"/>
      <c r="R1467" s="19"/>
      <c r="S1467" s="20"/>
      <c r="U1467" s="3" t="str">
        <f t="shared" si="48"/>
        <v/>
      </c>
      <c r="V1467" s="4" t="str">
        <f t="shared" si="49"/>
        <v/>
      </c>
      <c r="W1467" s="21" t="e" cm="1">
        <f t="array" ref="W1467">_xlfn.IFS(
  A1467="BELL", "WHITE",
  A1467="GAMP", "ORANGE",
  A1467="GAMM", "GREEN",
  A1467="BWF", "YELLOW",
  OR(A1467="TNBE", A1467="TNBL", A1467="TNBD", A1467="TNWC", A1467="TNBW", A1467="THBS"), "PINK",
  A1467="CRWD", "BLUE",
  A1467="PASS", "WHITE"
)</f>
        <v>#N/A</v>
      </c>
    </row>
    <row r="1468" spans="1:23" x14ac:dyDescent="0.25">
      <c r="A1468" s="7"/>
      <c r="D1468" s="1"/>
      <c r="G1468" s="2"/>
      <c r="H1468" s="2"/>
      <c r="I1468" s="4"/>
      <c r="J1468" s="4"/>
      <c r="K1468" s="4"/>
      <c r="L1468" s="18"/>
      <c r="M1468" s="3"/>
      <c r="O1468"/>
      <c r="P1468" s="3"/>
      <c r="Q1468" s="4"/>
      <c r="R1468" s="5"/>
      <c r="T1468" s="2"/>
      <c r="U1468" s="3" t="str">
        <f t="shared" si="48"/>
        <v/>
      </c>
      <c r="V1468" s="4" t="str">
        <f t="shared" si="49"/>
        <v/>
      </c>
      <c r="W1468" s="21" t="e" cm="1">
        <f t="array" ref="W1468">_xlfn.IFS(
  A1468="BELL", "WHITE",
  A1468="GAMP", "ORANGE",
  A1468="GAMM", "GREEN",
  A1468="BWF", "YELLOW",
  OR(A1468="TNBE", A1468="TNBL", A1468="TNBD", A1468="TNWC", A1468="TNBW", A1468="THBS"), "PINK",
  A1468="CRWD", "BLUE",
  A1468="PASS", "WHITE"
)</f>
        <v>#N/A</v>
      </c>
    </row>
    <row r="1469" spans="1:23" x14ac:dyDescent="0.25">
      <c r="A1469" s="7"/>
      <c r="D1469" s="1"/>
      <c r="G1469" s="2"/>
      <c r="H1469" s="2"/>
      <c r="I1469" s="4"/>
      <c r="J1469" s="4"/>
      <c r="K1469" s="4"/>
      <c r="L1469" s="18"/>
      <c r="M1469" s="3"/>
      <c r="O1469"/>
      <c r="P1469" s="3"/>
      <c r="Q1469" s="4"/>
      <c r="R1469" s="5"/>
      <c r="T1469" s="2"/>
      <c r="U1469" s="3" t="str">
        <f t="shared" si="48"/>
        <v/>
      </c>
      <c r="V1469" s="4" t="str">
        <f t="shared" si="49"/>
        <v/>
      </c>
      <c r="W1469" s="21" t="e" cm="1">
        <f t="array" ref="W1469">_xlfn.IFS(
  A1469="BELL", "WHITE",
  A1469="GAMP", "ORANGE",
  A1469="GAMM", "GREEN",
  A1469="BWF", "YELLOW",
  OR(A1469="TNBE", A1469="TNBL", A1469="TNBD", A1469="TNWC", A1469="TNBW", A1469="THBS"), "PINK",
  A1469="CRWD", "BLUE",
  A1469="PASS", "WHITE"
)</f>
        <v>#N/A</v>
      </c>
    </row>
    <row r="1470" spans="1:23" x14ac:dyDescent="0.25">
      <c r="A1470" s="7"/>
      <c r="D1470" s="1"/>
      <c r="G1470" s="2"/>
      <c r="H1470" s="2"/>
      <c r="I1470" s="4"/>
      <c r="J1470" s="4"/>
      <c r="K1470" s="4"/>
      <c r="L1470" s="18"/>
      <c r="M1470" s="3"/>
      <c r="O1470"/>
      <c r="P1470" s="3"/>
      <c r="Q1470" s="4"/>
      <c r="R1470" s="5"/>
      <c r="T1470" s="2"/>
      <c r="U1470" s="3" t="str">
        <f t="shared" si="48"/>
        <v/>
      </c>
      <c r="V1470" s="4" t="str">
        <f t="shared" si="49"/>
        <v/>
      </c>
      <c r="W1470" s="21" t="e" cm="1">
        <f t="array" ref="W1470">_xlfn.IFS(
  A1470="BELL", "WHITE",
  A1470="GAMP", "ORANGE",
  A1470="GAMM", "GREEN",
  A1470="BWF", "YELLOW",
  OR(A1470="TNBE", A1470="TNBL", A1470="TNBD", A1470="TNWC", A1470="TNBW", A1470="THBS"), "PINK",
  A1470="CRWD", "BLUE",
  A1470="PASS", "WHITE"
)</f>
        <v>#N/A</v>
      </c>
    </row>
    <row r="1471" spans="1:23" x14ac:dyDescent="0.25">
      <c r="A1471" s="7"/>
      <c r="D1471" s="1"/>
      <c r="G1471" s="2"/>
      <c r="H1471" s="2"/>
      <c r="I1471" s="4"/>
      <c r="J1471" s="4"/>
      <c r="K1471" s="4"/>
      <c r="L1471" s="18"/>
      <c r="M1471" s="3"/>
      <c r="O1471"/>
      <c r="P1471" s="3"/>
      <c r="Q1471" s="4"/>
      <c r="R1471" s="5"/>
      <c r="T1471" s="2"/>
      <c r="U1471" s="3" t="str">
        <f t="shared" si="48"/>
        <v/>
      </c>
      <c r="V1471" s="4" t="str">
        <f t="shared" si="49"/>
        <v/>
      </c>
      <c r="W1471" s="21" t="e" cm="1">
        <f t="array" ref="W1471">_xlfn.IFS(
  A1471="BELL", "WHITE",
  A1471="GAMP", "ORANGE",
  A1471="GAMM", "GREEN",
  A1471="BWF", "YELLOW",
  OR(A1471="TNBE", A1471="TNBL", A1471="TNBD", A1471="TNWC", A1471="TNBW", A1471="THBS"), "PINK",
  A1471="CRWD", "BLUE",
  A1471="PASS", "WHITE"
)</f>
        <v>#N/A</v>
      </c>
    </row>
    <row r="1472" spans="1:23" x14ac:dyDescent="0.25">
      <c r="A1472" s="7"/>
      <c r="D1472" s="1"/>
      <c r="G1472" s="2"/>
      <c r="H1472" s="2"/>
      <c r="I1472" s="4"/>
      <c r="J1472" s="4"/>
      <c r="K1472" s="4"/>
      <c r="L1472" s="18"/>
      <c r="M1472" s="3"/>
      <c r="O1472"/>
      <c r="P1472" s="3"/>
      <c r="Q1472" s="4"/>
      <c r="R1472" s="5"/>
      <c r="T1472" s="2"/>
      <c r="U1472" s="3" t="str">
        <f t="shared" si="48"/>
        <v/>
      </c>
      <c r="V1472" s="4" t="str">
        <f t="shared" si="49"/>
        <v/>
      </c>
      <c r="W1472" s="21" t="e" cm="1">
        <f t="array" ref="W1472">_xlfn.IFS(
  A1472="BELL", "WHITE",
  A1472="GAMP", "ORANGE",
  A1472="GAMM", "GREEN",
  A1472="BWF", "YELLOW",
  OR(A1472="TNBE", A1472="TNBL", A1472="TNBD", A1472="TNWC", A1472="TNBW", A1472="THBS"), "PINK",
  A1472="CRWD", "BLUE",
  A1472="PASS", "WHITE"
)</f>
        <v>#N/A</v>
      </c>
    </row>
    <row r="1473" spans="1:23" x14ac:dyDescent="0.25">
      <c r="A1473" s="7"/>
      <c r="D1473" s="1"/>
      <c r="G1473" s="2"/>
      <c r="H1473" s="2"/>
      <c r="I1473" s="4"/>
      <c r="J1473" s="4"/>
      <c r="K1473" s="4"/>
      <c r="L1473" s="18"/>
      <c r="M1473" s="3"/>
      <c r="O1473"/>
      <c r="P1473" s="3"/>
      <c r="Q1473" s="4"/>
      <c r="R1473" s="5"/>
      <c r="T1473" s="2"/>
      <c r="U1473" s="3" t="str">
        <f t="shared" si="48"/>
        <v/>
      </c>
      <c r="V1473" s="4" t="str">
        <f t="shared" si="49"/>
        <v/>
      </c>
      <c r="W1473" s="21" t="e" cm="1">
        <f t="array" ref="W1473">_xlfn.IFS(
  A1473="BELL", "WHITE",
  A1473="GAMP", "ORANGE",
  A1473="GAMM", "GREEN",
  A1473="BWF", "YELLOW",
  OR(A1473="TNBE", A1473="TNBL", A1473="TNBD", A1473="TNWC", A1473="TNBW", A1473="THBS"), "PINK",
  A1473="CRWD", "BLUE",
  A1473="PASS", "WHITE"
)</f>
        <v>#N/A</v>
      </c>
    </row>
    <row r="1474" spans="1:23" x14ac:dyDescent="0.25">
      <c r="A1474" s="7"/>
      <c r="D1474" s="1"/>
      <c r="G1474" s="2"/>
      <c r="H1474" s="2"/>
      <c r="I1474" s="4"/>
      <c r="J1474" s="4"/>
      <c r="K1474" s="4"/>
      <c r="L1474" s="18"/>
      <c r="M1474" s="3"/>
      <c r="O1474"/>
      <c r="P1474" s="3"/>
      <c r="Q1474" s="4"/>
      <c r="R1474" s="5"/>
      <c r="T1474" s="2"/>
      <c r="U1474" s="3" t="str">
        <f t="shared" si="48"/>
        <v/>
      </c>
      <c r="V1474" s="4" t="str">
        <f t="shared" si="49"/>
        <v/>
      </c>
      <c r="W1474" s="21" t="e" cm="1">
        <f t="array" ref="W1474">_xlfn.IFS(
  A1474="BELL", "WHITE",
  A1474="GAMP", "ORANGE",
  A1474="GAMM", "GREEN",
  A1474="BWF", "YELLOW",
  OR(A1474="TNBE", A1474="TNBL", A1474="TNBD", A1474="TNWC", A1474="TNBW", A1474="THBS"), "PINK",
  A1474="CRWD", "BLUE",
  A1474="PASS", "WHITE"
)</f>
        <v>#N/A</v>
      </c>
    </row>
    <row r="1475" spans="1:23" x14ac:dyDescent="0.25">
      <c r="A1475" s="7"/>
      <c r="D1475" s="1"/>
      <c r="G1475" s="2"/>
      <c r="H1475" s="2"/>
      <c r="I1475" s="4"/>
      <c r="J1475" s="4"/>
      <c r="K1475" s="4"/>
      <c r="L1475" s="18"/>
      <c r="M1475" s="3"/>
      <c r="O1475"/>
      <c r="P1475" s="3"/>
      <c r="Q1475" s="4"/>
      <c r="R1475" s="5"/>
      <c r="T1475" s="2"/>
      <c r="U1475" s="3" t="str">
        <f t="shared" si="48"/>
        <v/>
      </c>
      <c r="V1475" s="4" t="str">
        <f t="shared" si="49"/>
        <v/>
      </c>
      <c r="W1475" s="21" t="e" cm="1">
        <f t="array" ref="W1475">_xlfn.IFS(
  A1475="BELL", "WHITE",
  A1475="GAMP", "ORANGE",
  A1475="GAMM", "GREEN",
  A1475="BWF", "YELLOW",
  OR(A1475="TNBE", A1475="TNBL", A1475="TNBD", A1475="TNWC", A1475="TNBW", A1475="THBS"), "PINK",
  A1475="CRWD", "BLUE",
  A1475="PASS", "WHITE"
)</f>
        <v>#N/A</v>
      </c>
    </row>
    <row r="1476" spans="1:23" x14ac:dyDescent="0.25">
      <c r="A1476" s="7"/>
      <c r="D1476" s="1"/>
      <c r="G1476" s="2"/>
      <c r="H1476" s="2"/>
      <c r="I1476" s="4"/>
      <c r="J1476" s="4"/>
      <c r="K1476" s="4"/>
      <c r="L1476" s="18"/>
      <c r="M1476" s="3"/>
      <c r="O1476"/>
      <c r="P1476" s="3"/>
      <c r="Q1476" s="4"/>
      <c r="R1476" s="5"/>
      <c r="T1476" s="2"/>
      <c r="U1476" s="3" t="str">
        <f t="shared" ref="U1476:U1539" si="50">IF(T1476="","",IF(T1476&gt;I1476,H1476,T1476/G1476))</f>
        <v/>
      </c>
      <c r="V1476" s="4" t="str">
        <f t="shared" ref="V1476:V1539" si="51">IF(T1476&gt;I1476,T1476-I1476,"")</f>
        <v/>
      </c>
      <c r="W1476" s="21" t="e" cm="1">
        <f t="array" ref="W1476">_xlfn.IFS(
  A1476="BELL", "WHITE",
  A1476="GAMP", "ORANGE",
  A1476="GAMM", "GREEN",
  A1476="BWF", "YELLOW",
  OR(A1476="TNBE", A1476="TNBL", A1476="TNBD", A1476="TNWC", A1476="TNBW", A1476="THBS"), "PINK",
  A1476="CRWD", "BLUE",
  A1476="PASS", "WHITE"
)</f>
        <v>#N/A</v>
      </c>
    </row>
    <row r="1477" spans="1:23" x14ac:dyDescent="0.25">
      <c r="A1477" s="7"/>
      <c r="D1477" s="1"/>
      <c r="G1477" s="2"/>
      <c r="H1477" s="2"/>
      <c r="I1477" s="4"/>
      <c r="J1477" s="4"/>
      <c r="K1477" s="4"/>
      <c r="L1477" s="18"/>
      <c r="M1477" s="3"/>
      <c r="O1477"/>
      <c r="P1477" s="3"/>
      <c r="Q1477" s="4"/>
      <c r="R1477" s="5"/>
      <c r="T1477" s="2"/>
      <c r="U1477" s="3" t="str">
        <f t="shared" si="50"/>
        <v/>
      </c>
      <c r="V1477" s="4" t="str">
        <f t="shared" si="51"/>
        <v/>
      </c>
      <c r="W1477" s="21" t="e" cm="1">
        <f t="array" ref="W1477">_xlfn.IFS(
  A1477="BELL", "WHITE",
  A1477="GAMP", "ORANGE",
  A1477="GAMM", "GREEN",
  A1477="BWF", "YELLOW",
  OR(A1477="TNBE", A1477="TNBL", A1477="TNBD", A1477="TNWC", A1477="TNBW", A1477="THBS"), "PINK",
  A1477="CRWD", "BLUE",
  A1477="PASS", "WHITE"
)</f>
        <v>#N/A</v>
      </c>
    </row>
    <row r="1478" spans="1:23" x14ac:dyDescent="0.25">
      <c r="A1478" s="7"/>
      <c r="D1478" s="1"/>
      <c r="G1478" s="2"/>
      <c r="H1478" s="2"/>
      <c r="I1478" s="4"/>
      <c r="J1478" s="4"/>
      <c r="K1478" s="4"/>
      <c r="L1478" s="18"/>
      <c r="M1478" s="3"/>
      <c r="O1478"/>
      <c r="P1478" s="3"/>
      <c r="Q1478" s="4"/>
      <c r="R1478" s="5"/>
      <c r="T1478" s="2"/>
      <c r="U1478" s="3" t="str">
        <f t="shared" si="50"/>
        <v/>
      </c>
      <c r="V1478" s="4" t="str">
        <f t="shared" si="51"/>
        <v/>
      </c>
      <c r="W1478" s="21" t="e" cm="1">
        <f t="array" ref="W1478">_xlfn.IFS(
  A1478="BELL", "WHITE",
  A1478="GAMP", "ORANGE",
  A1478="GAMM", "GREEN",
  A1478="BWF", "YELLOW",
  OR(A1478="TNBE", A1478="TNBL", A1478="TNBD", A1478="TNWC", A1478="TNBW", A1478="THBS"), "PINK",
  A1478="CRWD", "BLUE",
  A1478="PASS", "WHITE"
)</f>
        <v>#N/A</v>
      </c>
    </row>
    <row r="1479" spans="1:23" x14ac:dyDescent="0.25">
      <c r="A1479" s="7"/>
      <c r="D1479" s="1"/>
      <c r="G1479" s="2"/>
      <c r="H1479" s="2"/>
      <c r="I1479" s="4"/>
      <c r="J1479" s="4"/>
      <c r="K1479" s="4"/>
      <c r="L1479" s="18"/>
      <c r="M1479" s="3"/>
      <c r="O1479"/>
      <c r="P1479" s="3"/>
      <c r="Q1479" s="4"/>
      <c r="R1479" s="5"/>
      <c r="T1479" s="2"/>
      <c r="U1479" s="3" t="str">
        <f t="shared" si="50"/>
        <v/>
      </c>
      <c r="V1479" s="4" t="str">
        <f t="shared" si="51"/>
        <v/>
      </c>
      <c r="W1479" s="21" t="e" cm="1">
        <f t="array" ref="W1479">_xlfn.IFS(
  A1479="BELL", "WHITE",
  A1479="GAMP", "ORANGE",
  A1479="GAMM", "GREEN",
  A1479="BWF", "YELLOW",
  OR(A1479="TNBE", A1479="TNBL", A1479="TNBD", A1479="TNWC", A1479="TNBW", A1479="THBS"), "PINK",
  A1479="CRWD", "BLUE",
  A1479="PASS", "WHITE"
)</f>
        <v>#N/A</v>
      </c>
    </row>
    <row r="1480" spans="1:23" x14ac:dyDescent="0.25">
      <c r="A1480" s="7"/>
      <c r="D1480" s="1"/>
      <c r="G1480" s="2"/>
      <c r="H1480" s="2"/>
      <c r="I1480" s="4"/>
      <c r="J1480" s="4"/>
      <c r="K1480" s="4"/>
      <c r="L1480" s="18"/>
      <c r="M1480" s="3"/>
      <c r="O1480"/>
      <c r="P1480" s="3"/>
      <c r="Q1480" s="4"/>
      <c r="R1480" s="5"/>
      <c r="T1480" s="2"/>
      <c r="U1480" s="3" t="str">
        <f t="shared" si="50"/>
        <v/>
      </c>
      <c r="V1480" s="4" t="str">
        <f t="shared" si="51"/>
        <v/>
      </c>
      <c r="W1480" s="21" t="e" cm="1">
        <f t="array" ref="W1480">_xlfn.IFS(
  A1480="BELL", "WHITE",
  A1480="GAMP", "ORANGE",
  A1480="GAMM", "GREEN",
  A1480="BWF", "YELLOW",
  OR(A1480="TNBE", A1480="TNBL", A1480="TNBD", A1480="TNWC", A1480="TNBW", A1480="THBS"), "PINK",
  A1480="CRWD", "BLUE",
  A1480="PASS", "WHITE"
)</f>
        <v>#N/A</v>
      </c>
    </row>
    <row r="1481" spans="1:23" x14ac:dyDescent="0.25">
      <c r="A1481" s="7"/>
      <c r="D1481" s="1"/>
      <c r="G1481" s="2"/>
      <c r="H1481" s="2"/>
      <c r="I1481" s="4"/>
      <c r="J1481" s="4"/>
      <c r="K1481" s="4"/>
      <c r="L1481" s="18"/>
      <c r="M1481" s="3"/>
      <c r="O1481"/>
      <c r="P1481" s="3"/>
      <c r="Q1481" s="4"/>
      <c r="R1481" s="5"/>
      <c r="T1481" s="2"/>
      <c r="U1481" s="3" t="str">
        <f t="shared" si="50"/>
        <v/>
      </c>
      <c r="V1481" s="4" t="str">
        <f t="shared" si="51"/>
        <v/>
      </c>
      <c r="W1481" s="21" t="e" cm="1">
        <f t="array" ref="W1481">_xlfn.IFS(
  A1481="BELL", "WHITE",
  A1481="GAMP", "ORANGE",
  A1481="GAMM", "GREEN",
  A1481="BWF", "YELLOW",
  OR(A1481="TNBE", A1481="TNBL", A1481="TNBD", A1481="TNWC", A1481="TNBW", A1481="THBS"), "PINK",
  A1481="CRWD", "BLUE",
  A1481="PASS", "WHITE"
)</f>
        <v>#N/A</v>
      </c>
    </row>
    <row r="1482" spans="1:23" x14ac:dyDescent="0.25">
      <c r="A1482" s="7"/>
      <c r="D1482" s="1"/>
      <c r="G1482" s="2"/>
      <c r="H1482" s="2"/>
      <c r="I1482" s="4"/>
      <c r="J1482" s="4"/>
      <c r="K1482" s="4"/>
      <c r="L1482" s="18"/>
      <c r="M1482" s="3"/>
      <c r="O1482"/>
      <c r="P1482" s="3"/>
      <c r="Q1482" s="4"/>
      <c r="R1482" s="5"/>
      <c r="T1482" s="2"/>
      <c r="U1482" s="3" t="str">
        <f t="shared" si="50"/>
        <v/>
      </c>
      <c r="V1482" s="4" t="str">
        <f t="shared" si="51"/>
        <v/>
      </c>
      <c r="W1482" s="21" t="e" cm="1">
        <f t="array" ref="W1482">_xlfn.IFS(
  A1482="BELL", "WHITE",
  A1482="GAMP", "ORANGE",
  A1482="GAMM", "GREEN",
  A1482="BWF", "YELLOW",
  OR(A1482="TNBE", A1482="TNBL", A1482="TNBD", A1482="TNWC", A1482="TNBW", A1482="THBS"), "PINK",
  A1482="CRWD", "BLUE",
  A1482="PASS", "WHITE"
)</f>
        <v>#N/A</v>
      </c>
    </row>
    <row r="1483" spans="1:23" x14ac:dyDescent="0.25">
      <c r="A1483" s="7"/>
      <c r="D1483" s="1"/>
      <c r="G1483" s="2"/>
      <c r="H1483" s="2"/>
      <c r="I1483" s="4"/>
      <c r="J1483" s="4"/>
      <c r="K1483" s="4"/>
      <c r="L1483" s="18"/>
      <c r="M1483" s="3"/>
      <c r="O1483"/>
      <c r="P1483" s="3"/>
      <c r="Q1483" s="4"/>
      <c r="R1483" s="5"/>
      <c r="T1483" s="2"/>
      <c r="U1483" s="3" t="str">
        <f t="shared" si="50"/>
        <v/>
      </c>
      <c r="V1483" s="4" t="str">
        <f t="shared" si="51"/>
        <v/>
      </c>
      <c r="W1483" s="21" t="e" cm="1">
        <f t="array" ref="W1483">_xlfn.IFS(
  A1483="BELL", "WHITE",
  A1483="GAMP", "ORANGE",
  A1483="GAMM", "GREEN",
  A1483="BWF", "YELLOW",
  OR(A1483="TNBE", A1483="TNBL", A1483="TNBD", A1483="TNWC", A1483="TNBW", A1483="THBS"), "PINK",
  A1483="CRWD", "BLUE",
  A1483="PASS", "WHITE"
)</f>
        <v>#N/A</v>
      </c>
    </row>
    <row r="1484" spans="1:23" x14ac:dyDescent="0.25">
      <c r="A1484" s="7"/>
      <c r="D1484" s="1"/>
      <c r="G1484" s="2"/>
      <c r="H1484" s="2"/>
      <c r="I1484" s="4"/>
      <c r="J1484" s="4"/>
      <c r="K1484" s="4"/>
      <c r="L1484" s="18"/>
      <c r="M1484" s="3"/>
      <c r="O1484"/>
      <c r="P1484" s="3"/>
      <c r="Q1484" s="4"/>
      <c r="R1484" s="5"/>
      <c r="T1484" s="2"/>
      <c r="U1484" s="3" t="str">
        <f t="shared" si="50"/>
        <v/>
      </c>
      <c r="V1484" s="4" t="str">
        <f t="shared" si="51"/>
        <v/>
      </c>
      <c r="W1484" s="21" t="e" cm="1">
        <f t="array" ref="W1484">_xlfn.IFS(
  A1484="BELL", "WHITE",
  A1484="GAMP", "ORANGE",
  A1484="GAMM", "GREEN",
  A1484="BWF", "YELLOW",
  OR(A1484="TNBE", A1484="TNBL", A1484="TNBD", A1484="TNWC", A1484="TNBW", A1484="THBS"), "PINK",
  A1484="CRWD", "BLUE",
  A1484="PASS", "WHITE"
)</f>
        <v>#N/A</v>
      </c>
    </row>
    <row r="1485" spans="1:23" x14ac:dyDescent="0.25">
      <c r="A1485" s="7"/>
      <c r="D1485" s="1"/>
      <c r="G1485" s="2"/>
      <c r="H1485" s="2"/>
      <c r="I1485" s="4"/>
      <c r="J1485" s="4"/>
      <c r="K1485" s="4"/>
      <c r="L1485" s="18"/>
      <c r="M1485" s="3"/>
      <c r="O1485"/>
      <c r="P1485" s="3"/>
      <c r="Q1485" s="4"/>
      <c r="R1485" s="5"/>
      <c r="T1485" s="2"/>
      <c r="U1485" s="3" t="str">
        <f t="shared" si="50"/>
        <v/>
      </c>
      <c r="V1485" s="4" t="str">
        <f t="shared" si="51"/>
        <v/>
      </c>
      <c r="W1485" s="21" t="e" cm="1">
        <f t="array" ref="W1485">_xlfn.IFS(
  A1485="BELL", "WHITE",
  A1485="GAMP", "ORANGE",
  A1485="GAMM", "GREEN",
  A1485="BWF", "YELLOW",
  OR(A1485="TNBE", A1485="TNBL", A1485="TNBD", A1485="TNWC", A1485="TNBW", A1485="THBS"), "PINK",
  A1485="CRWD", "BLUE",
  A1485="PASS", "WHITE"
)</f>
        <v>#N/A</v>
      </c>
    </row>
    <row r="1486" spans="1:23" x14ac:dyDescent="0.25">
      <c r="A1486" s="7"/>
      <c r="D1486" s="1"/>
      <c r="G1486" s="2"/>
      <c r="H1486" s="2"/>
      <c r="I1486" s="4"/>
      <c r="J1486" s="4"/>
      <c r="K1486" s="4"/>
      <c r="L1486" s="18"/>
      <c r="M1486" s="3"/>
      <c r="O1486"/>
      <c r="P1486" s="3"/>
      <c r="Q1486" s="4"/>
      <c r="R1486" s="5"/>
      <c r="T1486" s="2"/>
      <c r="U1486" s="3" t="str">
        <f t="shared" si="50"/>
        <v/>
      </c>
      <c r="V1486" s="4" t="str">
        <f t="shared" si="51"/>
        <v/>
      </c>
      <c r="W1486" s="21" t="e" cm="1">
        <f t="array" ref="W1486">_xlfn.IFS(
  A1486="BELL", "WHITE",
  A1486="GAMP", "ORANGE",
  A1486="GAMM", "GREEN",
  A1486="BWF", "YELLOW",
  OR(A1486="TNBE", A1486="TNBL", A1486="TNBD", A1486="TNWC", A1486="TNBW", A1486="THBS"), "PINK",
  A1486="CRWD", "BLUE",
  A1486="PASS", "WHITE"
)</f>
        <v>#N/A</v>
      </c>
    </row>
    <row r="1487" spans="1:23" x14ac:dyDescent="0.25">
      <c r="A1487" s="7"/>
      <c r="D1487" s="1"/>
      <c r="G1487" s="2"/>
      <c r="H1487" s="2"/>
      <c r="I1487" s="4"/>
      <c r="J1487" s="4"/>
      <c r="K1487" s="4"/>
      <c r="L1487" s="18"/>
      <c r="M1487" s="3"/>
      <c r="O1487"/>
      <c r="P1487" s="3"/>
      <c r="Q1487" s="4"/>
      <c r="R1487" s="5"/>
      <c r="T1487" s="2"/>
      <c r="U1487" s="3" t="str">
        <f t="shared" si="50"/>
        <v/>
      </c>
      <c r="V1487" s="4" t="str">
        <f t="shared" si="51"/>
        <v/>
      </c>
      <c r="W1487" s="21" t="e" cm="1">
        <f t="array" ref="W1487">_xlfn.IFS(
  A1487="BELL", "WHITE",
  A1487="GAMP", "ORANGE",
  A1487="GAMM", "GREEN",
  A1487="BWF", "YELLOW",
  OR(A1487="TNBE", A1487="TNBL", A1487="TNBD", A1487="TNWC", A1487="TNBW", A1487="THBS"), "PINK",
  A1487="CRWD", "BLUE",
  A1487="PASS", "WHITE"
)</f>
        <v>#N/A</v>
      </c>
    </row>
    <row r="1488" spans="1:23" x14ac:dyDescent="0.25">
      <c r="A1488" s="7"/>
      <c r="D1488" s="1"/>
      <c r="G1488" s="2"/>
      <c r="H1488" s="2"/>
      <c r="I1488" s="4"/>
      <c r="J1488" s="4"/>
      <c r="K1488" s="4"/>
      <c r="L1488" s="18"/>
      <c r="M1488" s="3"/>
      <c r="O1488"/>
      <c r="P1488" s="3"/>
      <c r="Q1488" s="4"/>
      <c r="R1488" s="5"/>
      <c r="T1488" s="2"/>
      <c r="U1488" s="3" t="str">
        <f t="shared" si="50"/>
        <v/>
      </c>
      <c r="V1488" s="4" t="str">
        <f t="shared" si="51"/>
        <v/>
      </c>
      <c r="W1488" s="21" t="e" cm="1">
        <f t="array" ref="W1488">_xlfn.IFS(
  A1488="BELL", "WHITE",
  A1488="GAMP", "ORANGE",
  A1488="GAMM", "GREEN",
  A1488="BWF", "YELLOW",
  OR(A1488="TNBE", A1488="TNBL", A1488="TNBD", A1488="TNWC", A1488="TNBW", A1488="THBS"), "PINK",
  A1488="CRWD", "BLUE",
  A1488="PASS", "WHITE"
)</f>
        <v>#N/A</v>
      </c>
    </row>
    <row r="1489" spans="1:23" x14ac:dyDescent="0.25">
      <c r="A1489" s="7"/>
      <c r="D1489" s="1"/>
      <c r="G1489" s="2"/>
      <c r="H1489" s="2"/>
      <c r="I1489" s="4"/>
      <c r="J1489" s="4"/>
      <c r="K1489" s="4"/>
      <c r="L1489" s="18"/>
      <c r="M1489" s="3"/>
      <c r="O1489"/>
      <c r="P1489" s="3"/>
      <c r="Q1489" s="4"/>
      <c r="R1489" s="5"/>
      <c r="T1489" s="2"/>
      <c r="U1489" s="3" t="str">
        <f t="shared" si="50"/>
        <v/>
      </c>
      <c r="V1489" s="4" t="str">
        <f t="shared" si="51"/>
        <v/>
      </c>
      <c r="W1489" s="21" t="e" cm="1">
        <f t="array" ref="W1489">_xlfn.IFS(
  A1489="BELL", "WHITE",
  A1489="GAMP", "ORANGE",
  A1489="GAMM", "GREEN",
  A1489="BWF", "YELLOW",
  OR(A1489="TNBE", A1489="TNBL", A1489="TNBD", A1489="TNWC", A1489="TNBW", A1489="THBS"), "PINK",
  A1489="CRWD", "BLUE",
  A1489="PASS", "WHITE"
)</f>
        <v>#N/A</v>
      </c>
    </row>
    <row r="1490" spans="1:23" x14ac:dyDescent="0.25">
      <c r="A1490" s="7"/>
      <c r="D1490" s="1"/>
      <c r="G1490" s="2"/>
      <c r="H1490" s="2"/>
      <c r="I1490" s="4"/>
      <c r="J1490" s="4"/>
      <c r="K1490" s="4"/>
      <c r="L1490" s="18"/>
      <c r="M1490" s="3"/>
      <c r="O1490"/>
      <c r="P1490" s="3"/>
      <c r="Q1490" s="4"/>
      <c r="R1490" s="5"/>
      <c r="T1490" s="2"/>
      <c r="U1490" s="3" t="str">
        <f t="shared" si="50"/>
        <v/>
      </c>
      <c r="V1490" s="4" t="str">
        <f t="shared" si="51"/>
        <v/>
      </c>
      <c r="W1490" s="21" t="e" cm="1">
        <f t="array" ref="W1490">_xlfn.IFS(
  A1490="BELL", "WHITE",
  A1490="GAMP", "ORANGE",
  A1490="GAMM", "GREEN",
  A1490="BWF", "YELLOW",
  OR(A1490="TNBE", A1490="TNBL", A1490="TNBD", A1490="TNWC", A1490="TNBW", A1490="THBS"), "PINK",
  A1490="CRWD", "BLUE",
  A1490="PASS", "WHITE"
)</f>
        <v>#N/A</v>
      </c>
    </row>
    <row r="1491" spans="1:23" x14ac:dyDescent="0.25">
      <c r="A1491" s="7"/>
      <c r="D1491" s="1"/>
      <c r="G1491" s="2"/>
      <c r="H1491" s="2"/>
      <c r="I1491" s="4"/>
      <c r="J1491" s="4"/>
      <c r="K1491" s="4"/>
      <c r="L1491" s="18"/>
      <c r="M1491" s="3"/>
      <c r="O1491"/>
      <c r="P1491" s="3"/>
      <c r="Q1491" s="4"/>
      <c r="R1491" s="5"/>
      <c r="T1491" s="2"/>
      <c r="U1491" s="3" t="str">
        <f t="shared" si="50"/>
        <v/>
      </c>
      <c r="V1491" s="4" t="str">
        <f t="shared" si="51"/>
        <v/>
      </c>
      <c r="W1491" s="21" t="e" cm="1">
        <f t="array" ref="W1491">_xlfn.IFS(
  A1491="BELL", "WHITE",
  A1491="GAMP", "ORANGE",
  A1491="GAMM", "GREEN",
  A1491="BWF", "YELLOW",
  OR(A1491="TNBE", A1491="TNBL", A1491="TNBD", A1491="TNWC", A1491="TNBW", A1491="THBS"), "PINK",
  A1491="CRWD", "BLUE",
  A1491="PASS", "WHITE"
)</f>
        <v>#N/A</v>
      </c>
    </row>
    <row r="1492" spans="1:23" x14ac:dyDescent="0.25">
      <c r="A1492" s="7"/>
      <c r="D1492" s="1"/>
      <c r="G1492" s="2"/>
      <c r="H1492" s="2"/>
      <c r="I1492" s="4"/>
      <c r="J1492" s="4"/>
      <c r="K1492" s="4"/>
      <c r="L1492" s="18"/>
      <c r="M1492" s="3"/>
      <c r="O1492"/>
      <c r="P1492" s="3"/>
      <c r="Q1492" s="4"/>
      <c r="R1492" s="5"/>
      <c r="T1492" s="2"/>
      <c r="U1492" s="3" t="str">
        <f t="shared" si="50"/>
        <v/>
      </c>
      <c r="V1492" s="4" t="str">
        <f t="shared" si="51"/>
        <v/>
      </c>
      <c r="W1492" s="21" t="e" cm="1">
        <f t="array" ref="W1492">_xlfn.IFS(
  A1492="BELL", "WHITE",
  A1492="GAMP", "ORANGE",
  A1492="GAMM", "GREEN",
  A1492="BWF", "YELLOW",
  OR(A1492="TNBE", A1492="TNBL", A1492="TNBD", A1492="TNWC", A1492="TNBW", A1492="THBS"), "PINK",
  A1492="CRWD", "BLUE",
  A1492="PASS", "WHITE"
)</f>
        <v>#N/A</v>
      </c>
    </row>
    <row r="1493" spans="1:23" x14ac:dyDescent="0.25">
      <c r="A1493" s="7"/>
      <c r="D1493" s="1"/>
      <c r="G1493" s="2"/>
      <c r="H1493" s="2"/>
      <c r="I1493" s="4"/>
      <c r="J1493" s="4"/>
      <c r="K1493" s="4"/>
      <c r="L1493" s="18"/>
      <c r="M1493" s="3"/>
      <c r="O1493"/>
      <c r="P1493" s="3"/>
      <c r="Q1493" s="4"/>
      <c r="R1493" s="5"/>
      <c r="T1493" s="2"/>
      <c r="U1493" s="3" t="str">
        <f t="shared" si="50"/>
        <v/>
      </c>
      <c r="V1493" s="4" t="str">
        <f t="shared" si="51"/>
        <v/>
      </c>
      <c r="W1493" s="21" t="e" cm="1">
        <f t="array" ref="W1493">_xlfn.IFS(
  A1493="BELL", "WHITE",
  A1493="GAMP", "ORANGE",
  A1493="GAMM", "GREEN",
  A1493="BWF", "YELLOW",
  OR(A1493="TNBE", A1493="TNBL", A1493="TNBD", A1493="TNWC", A1493="TNBW", A1493="THBS"), "PINK",
  A1493="CRWD", "BLUE",
  A1493="PASS", "WHITE"
)</f>
        <v>#N/A</v>
      </c>
    </row>
    <row r="1494" spans="1:23" x14ac:dyDescent="0.25">
      <c r="A1494" s="7"/>
      <c r="D1494" s="1"/>
      <c r="G1494" s="2"/>
      <c r="H1494" s="2"/>
      <c r="I1494" s="4"/>
      <c r="J1494" s="4"/>
      <c r="K1494" s="4"/>
      <c r="L1494" s="18"/>
      <c r="M1494" s="3"/>
      <c r="O1494"/>
      <c r="P1494" s="3"/>
      <c r="Q1494" s="4"/>
      <c r="R1494" s="5"/>
      <c r="T1494" s="2"/>
      <c r="U1494" s="3" t="str">
        <f t="shared" si="50"/>
        <v/>
      </c>
      <c r="V1494" s="4" t="str">
        <f t="shared" si="51"/>
        <v/>
      </c>
      <c r="W1494" s="21" t="e" cm="1">
        <f t="array" ref="W1494">_xlfn.IFS(
  A1494="BELL", "WHITE",
  A1494="GAMP", "ORANGE",
  A1494="GAMM", "GREEN",
  A1494="BWF", "YELLOW",
  OR(A1494="TNBE", A1494="TNBL", A1494="TNBD", A1494="TNWC", A1494="TNBW", A1494="THBS"), "PINK",
  A1494="CRWD", "BLUE",
  A1494="PASS", "WHITE"
)</f>
        <v>#N/A</v>
      </c>
    </row>
    <row r="1495" spans="1:23" x14ac:dyDescent="0.25">
      <c r="A1495" s="7"/>
      <c r="D1495" s="1"/>
      <c r="G1495" s="2"/>
      <c r="H1495" s="2"/>
      <c r="I1495" s="4"/>
      <c r="J1495" s="4"/>
      <c r="K1495" s="4"/>
      <c r="L1495" s="18"/>
      <c r="M1495" s="3"/>
      <c r="O1495"/>
      <c r="P1495" s="3"/>
      <c r="Q1495" s="4"/>
      <c r="R1495" s="5"/>
      <c r="T1495" s="2"/>
      <c r="U1495" s="3" t="str">
        <f t="shared" si="50"/>
        <v/>
      </c>
      <c r="V1495" s="4" t="str">
        <f t="shared" si="51"/>
        <v/>
      </c>
      <c r="W1495" s="21" t="e" cm="1">
        <f t="array" ref="W1495">_xlfn.IFS(
  A1495="BELL", "WHITE",
  A1495="GAMP", "ORANGE",
  A1495="GAMM", "GREEN",
  A1495="BWF", "YELLOW",
  OR(A1495="TNBE", A1495="TNBL", A1495="TNBD", A1495="TNWC", A1495="TNBW", A1495="THBS"), "PINK",
  A1495="CRWD", "BLUE",
  A1495="PASS", "WHITE"
)</f>
        <v>#N/A</v>
      </c>
    </row>
    <row r="1496" spans="1:23" x14ac:dyDescent="0.25">
      <c r="A1496" s="7"/>
      <c r="D1496" s="1"/>
      <c r="G1496" s="2"/>
      <c r="H1496" s="2"/>
      <c r="I1496" s="4"/>
      <c r="J1496" s="4"/>
      <c r="K1496" s="4"/>
      <c r="L1496" s="18"/>
      <c r="M1496" s="3"/>
      <c r="O1496"/>
      <c r="P1496" s="3"/>
      <c r="Q1496" s="4"/>
      <c r="R1496" s="5"/>
      <c r="T1496" s="2"/>
      <c r="U1496" s="3" t="str">
        <f t="shared" si="50"/>
        <v/>
      </c>
      <c r="V1496" s="4" t="str">
        <f t="shared" si="51"/>
        <v/>
      </c>
      <c r="W1496" s="21" t="e" cm="1">
        <f t="array" ref="W1496">_xlfn.IFS(
  A1496="BELL", "WHITE",
  A1496="GAMP", "ORANGE",
  A1496="GAMM", "GREEN",
  A1496="BWF", "YELLOW",
  OR(A1496="TNBE", A1496="TNBL", A1496="TNBD", A1496="TNWC", A1496="TNBW", A1496="THBS"), "PINK",
  A1496="CRWD", "BLUE",
  A1496="PASS", "WHITE"
)</f>
        <v>#N/A</v>
      </c>
    </row>
    <row r="1497" spans="1:23" x14ac:dyDescent="0.25">
      <c r="A1497" s="7"/>
      <c r="D1497" s="1"/>
      <c r="G1497" s="2"/>
      <c r="H1497" s="2"/>
      <c r="I1497" s="4"/>
      <c r="J1497" s="4"/>
      <c r="K1497" s="4"/>
      <c r="L1497" s="18"/>
      <c r="M1497" s="3"/>
      <c r="O1497"/>
      <c r="P1497" s="3"/>
      <c r="Q1497" s="4"/>
      <c r="R1497" s="5"/>
      <c r="T1497" s="2"/>
      <c r="U1497" s="3" t="str">
        <f t="shared" si="50"/>
        <v/>
      </c>
      <c r="V1497" s="4" t="str">
        <f t="shared" si="51"/>
        <v/>
      </c>
      <c r="W1497" s="21" t="e" cm="1">
        <f t="array" ref="W1497">_xlfn.IFS(
  A1497="BELL", "WHITE",
  A1497="GAMP", "ORANGE",
  A1497="GAMM", "GREEN",
  A1497="BWF", "YELLOW",
  OR(A1497="TNBE", A1497="TNBL", A1497="TNBD", A1497="TNWC", A1497="TNBW", A1497="THBS"), "PINK",
  A1497="CRWD", "BLUE",
  A1497="PASS", "WHITE"
)</f>
        <v>#N/A</v>
      </c>
    </row>
    <row r="1498" spans="1:23" x14ac:dyDescent="0.25">
      <c r="A1498" s="7"/>
      <c r="D1498" s="1"/>
      <c r="G1498" s="2"/>
      <c r="H1498" s="2"/>
      <c r="I1498" s="4"/>
      <c r="J1498" s="4"/>
      <c r="K1498" s="4"/>
      <c r="L1498" s="18"/>
      <c r="M1498" s="3"/>
      <c r="O1498"/>
      <c r="P1498" s="3"/>
      <c r="Q1498" s="4"/>
      <c r="R1498" s="5"/>
      <c r="T1498" s="2"/>
      <c r="U1498" s="3" t="str">
        <f t="shared" si="50"/>
        <v/>
      </c>
      <c r="V1498" s="4" t="str">
        <f t="shared" si="51"/>
        <v/>
      </c>
      <c r="W1498" s="21" t="e" cm="1">
        <f t="array" ref="W1498">_xlfn.IFS(
  A1498="BELL", "WHITE",
  A1498="GAMP", "ORANGE",
  A1498="GAMM", "GREEN",
  A1498="BWF", "YELLOW",
  OR(A1498="TNBE", A1498="TNBL", A1498="TNBD", A1498="TNWC", A1498="TNBW", A1498="THBS"), "PINK",
  A1498="CRWD", "BLUE",
  A1498="PASS", "WHITE"
)</f>
        <v>#N/A</v>
      </c>
    </row>
    <row r="1499" spans="1:23" x14ac:dyDescent="0.25">
      <c r="A1499" s="7"/>
      <c r="D1499" s="1"/>
      <c r="G1499" s="2"/>
      <c r="H1499" s="2"/>
      <c r="I1499" s="4"/>
      <c r="J1499" s="4"/>
      <c r="K1499" s="4"/>
      <c r="L1499" s="18"/>
      <c r="M1499" s="3"/>
      <c r="O1499"/>
      <c r="P1499" s="3"/>
      <c r="Q1499" s="4"/>
      <c r="R1499" s="5"/>
      <c r="T1499" s="2"/>
      <c r="U1499" s="3" t="str">
        <f t="shared" si="50"/>
        <v/>
      </c>
      <c r="V1499" s="4" t="str">
        <f t="shared" si="51"/>
        <v/>
      </c>
      <c r="W1499" s="21" t="e" cm="1">
        <f t="array" ref="W1499">_xlfn.IFS(
  A1499="BELL", "WHITE",
  A1499="GAMP", "ORANGE",
  A1499="GAMM", "GREEN",
  A1499="BWF", "YELLOW",
  OR(A1499="TNBE", A1499="TNBL", A1499="TNBD", A1499="TNWC", A1499="TNBW", A1499="THBS"), "PINK",
  A1499="CRWD", "BLUE",
  A1499="PASS", "WHITE"
)</f>
        <v>#N/A</v>
      </c>
    </row>
    <row r="1500" spans="1:23" x14ac:dyDescent="0.25">
      <c r="A1500" s="7"/>
      <c r="D1500" s="1"/>
      <c r="G1500" s="2"/>
      <c r="H1500" s="2"/>
      <c r="I1500" s="4"/>
      <c r="J1500" s="4"/>
      <c r="K1500" s="4"/>
      <c r="L1500" s="18"/>
      <c r="M1500" s="3"/>
      <c r="O1500"/>
      <c r="P1500" s="3"/>
      <c r="Q1500" s="4"/>
      <c r="R1500" s="5"/>
      <c r="T1500" s="2"/>
      <c r="U1500" s="3" t="str">
        <f t="shared" si="50"/>
        <v/>
      </c>
      <c r="V1500" s="4" t="str">
        <f t="shared" si="51"/>
        <v/>
      </c>
      <c r="W1500" s="21" t="e" cm="1">
        <f t="array" ref="W1500">_xlfn.IFS(
  A1500="BELL", "WHITE",
  A1500="GAMP", "ORANGE",
  A1500="GAMM", "GREEN",
  A1500="BWF", "YELLOW",
  OR(A1500="TNBE", A1500="TNBL", A1500="TNBD", A1500="TNWC", A1500="TNBW", A1500="THBS"), "PINK",
  A1500="CRWD", "BLUE",
  A1500="PASS", "WHITE"
)</f>
        <v>#N/A</v>
      </c>
    </row>
    <row r="1501" spans="1:23" x14ac:dyDescent="0.25">
      <c r="A1501" s="7"/>
      <c r="D1501" s="1"/>
      <c r="G1501" s="2"/>
      <c r="H1501" s="2"/>
      <c r="I1501" s="4"/>
      <c r="J1501" s="4"/>
      <c r="K1501" s="4"/>
      <c r="L1501" s="18"/>
      <c r="M1501" s="3"/>
      <c r="O1501"/>
      <c r="P1501" s="3"/>
      <c r="Q1501" s="4"/>
      <c r="R1501" s="5"/>
      <c r="T1501" s="2"/>
      <c r="U1501" s="3" t="str">
        <f t="shared" si="50"/>
        <v/>
      </c>
      <c r="V1501" s="4" t="str">
        <f t="shared" si="51"/>
        <v/>
      </c>
      <c r="W1501" s="21" t="e" cm="1">
        <f t="array" ref="W1501">_xlfn.IFS(
  A1501="BELL", "WHITE",
  A1501="GAMP", "ORANGE",
  A1501="GAMM", "GREEN",
  A1501="BWF", "YELLOW",
  OR(A1501="TNBE", A1501="TNBL", A1501="TNBD", A1501="TNWC", A1501="TNBW", A1501="THBS"), "PINK",
  A1501="CRWD", "BLUE",
  A1501="PASS", "WHITE"
)</f>
        <v>#N/A</v>
      </c>
    </row>
    <row r="1502" spans="1:23" x14ac:dyDescent="0.25">
      <c r="A1502" s="7"/>
      <c r="D1502" s="1"/>
      <c r="G1502" s="2"/>
      <c r="H1502" s="2"/>
      <c r="I1502" s="4"/>
      <c r="J1502" s="4"/>
      <c r="K1502" s="4"/>
      <c r="L1502" s="18"/>
      <c r="M1502" s="3"/>
      <c r="O1502"/>
      <c r="P1502" s="3"/>
      <c r="Q1502" s="4"/>
      <c r="R1502" s="5"/>
      <c r="T1502" s="2"/>
      <c r="U1502" s="3" t="str">
        <f t="shared" si="50"/>
        <v/>
      </c>
      <c r="V1502" s="4" t="str">
        <f t="shared" si="51"/>
        <v/>
      </c>
      <c r="W1502" s="21" t="e" cm="1">
        <f t="array" ref="W1502">_xlfn.IFS(
  A1502="BELL", "WHITE",
  A1502="GAMP", "ORANGE",
  A1502="GAMM", "GREEN",
  A1502="BWF", "YELLOW",
  OR(A1502="TNBE", A1502="TNBL", A1502="TNBD", A1502="TNWC", A1502="TNBW", A1502="THBS"), "PINK",
  A1502="CRWD", "BLUE",
  A1502="PASS", "WHITE"
)</f>
        <v>#N/A</v>
      </c>
    </row>
    <row r="1503" spans="1:23" x14ac:dyDescent="0.25">
      <c r="A1503" s="7"/>
      <c r="D1503" s="1"/>
      <c r="G1503" s="2"/>
      <c r="H1503" s="2"/>
      <c r="I1503" s="4"/>
      <c r="J1503" s="4"/>
      <c r="K1503" s="4"/>
      <c r="L1503" s="18"/>
      <c r="M1503" s="3"/>
      <c r="O1503"/>
      <c r="P1503" s="3"/>
      <c r="Q1503" s="4"/>
      <c r="R1503" s="5"/>
      <c r="T1503" s="2"/>
      <c r="U1503" s="3" t="str">
        <f t="shared" si="50"/>
        <v/>
      </c>
      <c r="V1503" s="4" t="str">
        <f t="shared" si="51"/>
        <v/>
      </c>
      <c r="W1503" s="21" t="e" cm="1">
        <f t="array" ref="W1503">_xlfn.IFS(
  A1503="BELL", "WHITE",
  A1503="GAMP", "ORANGE",
  A1503="GAMM", "GREEN",
  A1503="BWF", "YELLOW",
  OR(A1503="TNBE", A1503="TNBL", A1503="TNBD", A1503="TNWC", A1503="TNBW", A1503="THBS"), "PINK",
  A1503="CRWD", "BLUE",
  A1503="PASS", "WHITE"
)</f>
        <v>#N/A</v>
      </c>
    </row>
    <row r="1504" spans="1:23" x14ac:dyDescent="0.25">
      <c r="A1504" s="7"/>
      <c r="D1504" s="1"/>
      <c r="G1504" s="2"/>
      <c r="H1504" s="2"/>
      <c r="I1504" s="4"/>
      <c r="J1504" s="4"/>
      <c r="K1504" s="4"/>
      <c r="L1504" s="18"/>
      <c r="M1504" s="3"/>
      <c r="O1504"/>
      <c r="P1504" s="3"/>
      <c r="Q1504" s="4"/>
      <c r="R1504" s="5"/>
      <c r="T1504" s="2"/>
      <c r="U1504" s="3" t="str">
        <f t="shared" si="50"/>
        <v/>
      </c>
      <c r="V1504" s="4" t="str">
        <f t="shared" si="51"/>
        <v/>
      </c>
      <c r="W1504" s="21" t="e" cm="1">
        <f t="array" ref="W1504">_xlfn.IFS(
  A1504="BELL", "WHITE",
  A1504="GAMP", "ORANGE",
  A1504="GAMM", "GREEN",
  A1504="BWF", "YELLOW",
  OR(A1504="TNBE", A1504="TNBL", A1504="TNBD", A1504="TNWC", A1504="TNBW", A1504="THBS"), "PINK",
  A1504="CRWD", "BLUE",
  A1504="PASS", "WHITE"
)</f>
        <v>#N/A</v>
      </c>
    </row>
    <row r="1505" spans="1:23" x14ac:dyDescent="0.25">
      <c r="A1505" s="7"/>
      <c r="D1505" s="1"/>
      <c r="G1505" s="2"/>
      <c r="H1505" s="2"/>
      <c r="I1505" s="4"/>
      <c r="J1505" s="4"/>
      <c r="K1505" s="4"/>
      <c r="L1505" s="18"/>
      <c r="M1505" s="3"/>
      <c r="O1505"/>
      <c r="P1505" s="3"/>
      <c r="Q1505" s="4"/>
      <c r="R1505" s="5"/>
      <c r="T1505" s="2"/>
      <c r="U1505" s="3" t="str">
        <f t="shared" si="50"/>
        <v/>
      </c>
      <c r="V1505" s="4" t="str">
        <f t="shared" si="51"/>
        <v/>
      </c>
      <c r="W1505" s="21" t="e" cm="1">
        <f t="array" ref="W1505">_xlfn.IFS(
  A1505="BELL", "WHITE",
  A1505="GAMP", "ORANGE",
  A1505="GAMM", "GREEN",
  A1505="BWF", "YELLOW",
  OR(A1505="TNBE", A1505="TNBL", A1505="TNBD", A1505="TNWC", A1505="TNBW", A1505="THBS"), "PINK",
  A1505="CRWD", "BLUE",
  A1505="PASS", "WHITE"
)</f>
        <v>#N/A</v>
      </c>
    </row>
    <row r="1506" spans="1:23" x14ac:dyDescent="0.25">
      <c r="A1506" s="7"/>
      <c r="D1506" s="1"/>
      <c r="G1506" s="2"/>
      <c r="H1506" s="2"/>
      <c r="I1506" s="4"/>
      <c r="J1506" s="4"/>
      <c r="K1506" s="4"/>
      <c r="L1506" s="18"/>
      <c r="M1506" s="3"/>
      <c r="O1506"/>
      <c r="P1506" s="3"/>
      <c r="Q1506" s="4"/>
      <c r="R1506" s="5"/>
      <c r="T1506" s="2"/>
      <c r="U1506" s="3" t="str">
        <f t="shared" si="50"/>
        <v/>
      </c>
      <c r="V1506" s="4" t="str">
        <f t="shared" si="51"/>
        <v/>
      </c>
      <c r="W1506" s="21" t="e" cm="1">
        <f t="array" ref="W1506">_xlfn.IFS(
  A1506="BELL", "WHITE",
  A1506="GAMP", "ORANGE",
  A1506="GAMM", "GREEN",
  A1506="BWF", "YELLOW",
  OR(A1506="TNBE", A1506="TNBL", A1506="TNBD", A1506="TNWC", A1506="TNBW", A1506="THBS"), "PINK",
  A1506="CRWD", "BLUE",
  A1506="PASS", "WHITE"
)</f>
        <v>#N/A</v>
      </c>
    </row>
    <row r="1507" spans="1:23" x14ac:dyDescent="0.25">
      <c r="A1507" s="7"/>
      <c r="D1507" s="1"/>
      <c r="G1507" s="2"/>
      <c r="H1507" s="2"/>
      <c r="I1507" s="4"/>
      <c r="J1507" s="4"/>
      <c r="K1507" s="4"/>
      <c r="L1507" s="18"/>
      <c r="M1507" s="3"/>
      <c r="O1507"/>
      <c r="P1507" s="3"/>
      <c r="Q1507" s="4"/>
      <c r="R1507" s="5"/>
      <c r="T1507" s="2"/>
      <c r="U1507" s="3" t="str">
        <f t="shared" si="50"/>
        <v/>
      </c>
      <c r="V1507" s="4" t="str">
        <f t="shared" si="51"/>
        <v/>
      </c>
      <c r="W1507" s="21" t="e" cm="1">
        <f t="array" ref="W1507">_xlfn.IFS(
  A1507="BELL", "WHITE",
  A1507="GAMP", "ORANGE",
  A1507="GAMM", "GREEN",
  A1507="BWF", "YELLOW",
  OR(A1507="TNBE", A1507="TNBL", A1507="TNBD", A1507="TNWC", A1507="TNBW", A1507="THBS"), "PINK",
  A1507="CRWD", "BLUE",
  A1507="PASS", "WHITE"
)</f>
        <v>#N/A</v>
      </c>
    </row>
    <row r="1508" spans="1:23" x14ac:dyDescent="0.25">
      <c r="A1508" s="7"/>
      <c r="D1508" s="1"/>
      <c r="G1508" s="2"/>
      <c r="H1508" s="2"/>
      <c r="I1508" s="4"/>
      <c r="J1508" s="4"/>
      <c r="K1508" s="4"/>
      <c r="L1508" s="18"/>
      <c r="M1508" s="3"/>
      <c r="O1508"/>
      <c r="P1508" s="3"/>
      <c r="Q1508" s="4"/>
      <c r="R1508" s="5"/>
      <c r="T1508" s="2"/>
      <c r="U1508" s="3" t="str">
        <f t="shared" si="50"/>
        <v/>
      </c>
      <c r="V1508" s="4" t="str">
        <f t="shared" si="51"/>
        <v/>
      </c>
      <c r="W1508" s="21" t="e" cm="1">
        <f t="array" ref="W1508">_xlfn.IFS(
  A1508="BELL", "WHITE",
  A1508="GAMP", "ORANGE",
  A1508="GAMM", "GREEN",
  A1508="BWF", "YELLOW",
  OR(A1508="TNBE", A1508="TNBL", A1508="TNBD", A1508="TNWC", A1508="TNBW", A1508="THBS"), "PINK",
  A1508="CRWD", "BLUE",
  A1508="PASS", "WHITE"
)</f>
        <v>#N/A</v>
      </c>
    </row>
    <row r="1509" spans="1:23" x14ac:dyDescent="0.25">
      <c r="A1509" s="7"/>
      <c r="D1509" s="1"/>
      <c r="G1509" s="2"/>
      <c r="H1509" s="2"/>
      <c r="I1509" s="4"/>
      <c r="J1509" s="4"/>
      <c r="K1509" s="4"/>
      <c r="L1509" s="18"/>
      <c r="M1509" s="3"/>
      <c r="O1509"/>
      <c r="P1509" s="3"/>
      <c r="Q1509" s="4"/>
      <c r="R1509" s="5"/>
      <c r="T1509" s="2"/>
      <c r="U1509" s="3" t="str">
        <f t="shared" si="50"/>
        <v/>
      </c>
      <c r="V1509" s="4" t="str">
        <f t="shared" si="51"/>
        <v/>
      </c>
      <c r="W1509" s="21" t="e" cm="1">
        <f t="array" ref="W1509">_xlfn.IFS(
  A1509="BELL", "WHITE",
  A1509="GAMP", "ORANGE",
  A1509="GAMM", "GREEN",
  A1509="BWF", "YELLOW",
  OR(A1509="TNBE", A1509="TNBL", A1509="TNBD", A1509="TNWC", A1509="TNBW", A1509="THBS"), "PINK",
  A1509="CRWD", "BLUE",
  A1509="PASS", "WHITE"
)</f>
        <v>#N/A</v>
      </c>
    </row>
    <row r="1510" spans="1:23" x14ac:dyDescent="0.25">
      <c r="A1510" s="7"/>
      <c r="D1510" s="1"/>
      <c r="G1510" s="2"/>
      <c r="H1510"/>
      <c r="I1510" s="4"/>
      <c r="J1510" s="4"/>
      <c r="K1510" s="4"/>
      <c r="L1510" s="18"/>
      <c r="M1510" s="18"/>
      <c r="O1510"/>
      <c r="P1510" s="3"/>
      <c r="Q1510" s="4"/>
      <c r="R1510" s="5"/>
      <c r="T1510" s="2"/>
      <c r="U1510" s="3" t="str">
        <f t="shared" si="50"/>
        <v/>
      </c>
      <c r="V1510" s="4" t="str">
        <f t="shared" si="51"/>
        <v/>
      </c>
      <c r="W1510" s="21" t="e" cm="1">
        <f t="array" ref="W1510">_xlfn.IFS(
  A1510="BELL", "WHITE",
  A1510="GAMP", "ORANGE",
  A1510="GAMM", "GREEN",
  A1510="BWF", "YELLOW",
  OR(A1510="TNBE", A1510="TNBL", A1510="TNBD", A1510="TNWC", A1510="TNBW", A1510="THBS"), "PINK",
  A1510="CRWD", "BLUE",
  A1510="PASS", "WHITE"
)</f>
        <v>#N/A</v>
      </c>
    </row>
    <row r="1511" spans="1:23" x14ac:dyDescent="0.25">
      <c r="A1511" s="7"/>
      <c r="D1511" s="1"/>
      <c r="G1511" s="2"/>
      <c r="H1511"/>
      <c r="I1511" s="4"/>
      <c r="J1511" s="4"/>
      <c r="K1511" s="4"/>
      <c r="L1511" s="18"/>
      <c r="M1511" s="18"/>
      <c r="O1511"/>
      <c r="P1511" s="3"/>
      <c r="Q1511" s="4"/>
      <c r="R1511" s="5"/>
      <c r="T1511" s="2"/>
      <c r="U1511" s="3" t="str">
        <f t="shared" si="50"/>
        <v/>
      </c>
      <c r="V1511" s="4" t="str">
        <f t="shared" si="51"/>
        <v/>
      </c>
      <c r="W1511" s="21" t="e" cm="1">
        <f t="array" ref="W1511">_xlfn.IFS(
  A1511="BELL", "WHITE",
  A1511="GAMP", "ORANGE",
  A1511="GAMM", "GREEN",
  A1511="BWF", "YELLOW",
  OR(A1511="TNBE", A1511="TNBL", A1511="TNBD", A1511="TNWC", A1511="TNBW", A1511="THBS"), "PINK",
  A1511="CRWD", "BLUE",
  A1511="PASS", "WHITE"
)</f>
        <v>#N/A</v>
      </c>
    </row>
    <row r="1512" spans="1:23" x14ac:dyDescent="0.25">
      <c r="A1512" s="7"/>
      <c r="D1512" s="1"/>
      <c r="G1512" s="2"/>
      <c r="H1512" s="2"/>
      <c r="I1512" s="4"/>
      <c r="J1512" s="4"/>
      <c r="K1512" s="4"/>
      <c r="L1512" s="18"/>
      <c r="M1512" s="3"/>
      <c r="O1512"/>
      <c r="P1512" s="3"/>
      <c r="Q1512" s="4"/>
      <c r="R1512" s="5"/>
      <c r="T1512" s="2"/>
      <c r="U1512" s="3" t="str">
        <f t="shared" si="50"/>
        <v/>
      </c>
      <c r="V1512" s="4" t="str">
        <f t="shared" si="51"/>
        <v/>
      </c>
      <c r="W1512" s="21" t="e" cm="1">
        <f t="array" ref="W1512">_xlfn.IFS(
  A1512="BELL", "WHITE",
  A1512="GAMP", "ORANGE",
  A1512="GAMM", "GREEN",
  A1512="BWF", "YELLOW",
  OR(A1512="TNBE", A1512="TNBL", A1512="TNBD", A1512="TNWC", A1512="TNBW", A1512="THBS"), "PINK",
  A1512="CRWD", "BLUE",
  A1512="PASS", "WHITE"
)</f>
        <v>#N/A</v>
      </c>
    </row>
    <row r="1513" spans="1:23" x14ac:dyDescent="0.25">
      <c r="A1513" s="7"/>
      <c r="D1513" s="1"/>
      <c r="G1513" s="2"/>
      <c r="H1513" s="2"/>
      <c r="I1513" s="4"/>
      <c r="J1513" s="4"/>
      <c r="K1513" s="4"/>
      <c r="L1513" s="18"/>
      <c r="M1513" s="3"/>
      <c r="O1513"/>
      <c r="P1513" s="3"/>
      <c r="Q1513" s="4"/>
      <c r="R1513" s="5"/>
      <c r="T1513" s="2"/>
      <c r="U1513" s="3" t="str">
        <f t="shared" si="50"/>
        <v/>
      </c>
      <c r="V1513" s="4" t="str">
        <f t="shared" si="51"/>
        <v/>
      </c>
      <c r="W1513" s="21" t="e" cm="1">
        <f t="array" ref="W1513">_xlfn.IFS(
  A1513="BELL", "WHITE",
  A1513="GAMP", "ORANGE",
  A1513="GAMM", "GREEN",
  A1513="BWF", "YELLOW",
  OR(A1513="TNBE", A1513="TNBL", A1513="TNBD", A1513="TNWC", A1513="TNBW", A1513="THBS"), "PINK",
  A1513="CRWD", "BLUE",
  A1513="PASS", "WHITE"
)</f>
        <v>#N/A</v>
      </c>
    </row>
    <row r="1514" spans="1:23" x14ac:dyDescent="0.25">
      <c r="A1514" s="7"/>
      <c r="D1514" s="1"/>
      <c r="G1514" s="2"/>
      <c r="H1514" s="2"/>
      <c r="I1514" s="4"/>
      <c r="J1514" s="4"/>
      <c r="K1514" s="4"/>
      <c r="L1514" s="18"/>
      <c r="M1514" s="3"/>
      <c r="O1514"/>
      <c r="P1514" s="3"/>
      <c r="Q1514" s="4"/>
      <c r="R1514" s="5"/>
      <c r="T1514" s="2"/>
      <c r="U1514" s="3" t="str">
        <f t="shared" si="50"/>
        <v/>
      </c>
      <c r="V1514" s="4" t="str">
        <f t="shared" si="51"/>
        <v/>
      </c>
      <c r="W1514" s="21" t="e" cm="1">
        <f t="array" ref="W1514">_xlfn.IFS(
  A1514="BELL", "WHITE",
  A1514="GAMP", "ORANGE",
  A1514="GAMM", "GREEN",
  A1514="BWF", "YELLOW",
  OR(A1514="TNBE", A1514="TNBL", A1514="TNBD", A1514="TNWC", A1514="TNBW", A1514="THBS"), "PINK",
  A1514="CRWD", "BLUE",
  A1514="PASS", "WHITE"
)</f>
        <v>#N/A</v>
      </c>
    </row>
    <row r="1515" spans="1:23" x14ac:dyDescent="0.25">
      <c r="A1515" s="7"/>
      <c r="D1515" s="1"/>
      <c r="G1515" s="2"/>
      <c r="H1515" s="2"/>
      <c r="I1515" s="4"/>
      <c r="J1515" s="4"/>
      <c r="K1515" s="4"/>
      <c r="L1515" s="18"/>
      <c r="M1515" s="3"/>
      <c r="O1515"/>
      <c r="P1515" s="3"/>
      <c r="Q1515" s="4"/>
      <c r="R1515" s="5"/>
      <c r="T1515" s="2"/>
      <c r="U1515" s="3" t="str">
        <f t="shared" si="50"/>
        <v/>
      </c>
      <c r="V1515" s="4" t="str">
        <f t="shared" si="51"/>
        <v/>
      </c>
      <c r="W1515" s="21" t="e" cm="1">
        <f t="array" ref="W1515">_xlfn.IFS(
  A1515="BELL", "WHITE",
  A1515="GAMP", "ORANGE",
  A1515="GAMM", "GREEN",
  A1515="BWF", "YELLOW",
  OR(A1515="TNBE", A1515="TNBL", A1515="TNBD", A1515="TNWC", A1515="TNBW", A1515="THBS"), "PINK",
  A1515="CRWD", "BLUE",
  A1515="PASS", "WHITE"
)</f>
        <v>#N/A</v>
      </c>
    </row>
    <row r="1516" spans="1:23" x14ac:dyDescent="0.25">
      <c r="A1516" s="7"/>
      <c r="D1516" s="1"/>
      <c r="G1516" s="2"/>
      <c r="H1516" s="2"/>
      <c r="I1516" s="4"/>
      <c r="J1516" s="4"/>
      <c r="K1516" s="4"/>
      <c r="L1516" s="18"/>
      <c r="M1516" s="3"/>
      <c r="O1516"/>
      <c r="P1516" s="3"/>
      <c r="Q1516" s="4"/>
      <c r="R1516" s="5"/>
      <c r="T1516" s="2"/>
      <c r="U1516" s="3" t="str">
        <f t="shared" si="50"/>
        <v/>
      </c>
      <c r="V1516" s="4" t="str">
        <f t="shared" si="51"/>
        <v/>
      </c>
      <c r="W1516" s="21" t="e" cm="1">
        <f t="array" ref="W1516">_xlfn.IFS(
  A1516="BELL", "WHITE",
  A1516="GAMP", "ORANGE",
  A1516="GAMM", "GREEN",
  A1516="BWF", "YELLOW",
  OR(A1516="TNBE", A1516="TNBL", A1516="TNBD", A1516="TNWC", A1516="TNBW", A1516="THBS"), "PINK",
  A1516="CRWD", "BLUE",
  A1516="PASS", "WHITE"
)</f>
        <v>#N/A</v>
      </c>
    </row>
    <row r="1517" spans="1:23" x14ac:dyDescent="0.25">
      <c r="A1517" s="7"/>
      <c r="D1517" s="1"/>
      <c r="G1517" s="2"/>
      <c r="H1517" s="2"/>
      <c r="I1517" s="4"/>
      <c r="J1517" s="4"/>
      <c r="K1517" s="4"/>
      <c r="L1517" s="18"/>
      <c r="M1517" s="3"/>
      <c r="O1517"/>
      <c r="P1517" s="3"/>
      <c r="Q1517" s="4"/>
      <c r="R1517" s="5"/>
      <c r="T1517" s="2"/>
      <c r="U1517" s="3" t="str">
        <f t="shared" si="50"/>
        <v/>
      </c>
      <c r="V1517" s="4" t="str">
        <f t="shared" si="51"/>
        <v/>
      </c>
      <c r="W1517" s="21" t="e" cm="1">
        <f t="array" ref="W1517">_xlfn.IFS(
  A1517="BELL", "WHITE",
  A1517="GAMP", "ORANGE",
  A1517="GAMM", "GREEN",
  A1517="BWF", "YELLOW",
  OR(A1517="TNBE", A1517="TNBL", A1517="TNBD", A1517="TNWC", A1517="TNBW", A1517="THBS"), "PINK",
  A1517="CRWD", "BLUE",
  A1517="PASS", "WHITE"
)</f>
        <v>#N/A</v>
      </c>
    </row>
    <row r="1518" spans="1:23" x14ac:dyDescent="0.25">
      <c r="A1518" s="7"/>
      <c r="D1518" s="1"/>
      <c r="G1518" s="2"/>
      <c r="H1518" s="2"/>
      <c r="I1518" s="4"/>
      <c r="J1518" s="4"/>
      <c r="K1518" s="4"/>
      <c r="L1518" s="18"/>
      <c r="M1518" s="3"/>
      <c r="O1518"/>
      <c r="P1518" s="3"/>
      <c r="Q1518" s="4"/>
      <c r="R1518" s="5"/>
      <c r="T1518" s="2"/>
      <c r="U1518" s="3" t="str">
        <f t="shared" si="50"/>
        <v/>
      </c>
      <c r="V1518" s="4" t="str">
        <f t="shared" si="51"/>
        <v/>
      </c>
      <c r="W1518" s="21" t="e" cm="1">
        <f t="array" ref="W1518">_xlfn.IFS(
  A1518="BELL", "WHITE",
  A1518="GAMP", "ORANGE",
  A1518="GAMM", "GREEN",
  A1518="BWF", "YELLOW",
  OR(A1518="TNBE", A1518="TNBL", A1518="TNBD", A1518="TNWC", A1518="TNBW", A1518="THBS"), "PINK",
  A1518="CRWD", "BLUE",
  A1518="PASS", "WHITE"
)</f>
        <v>#N/A</v>
      </c>
    </row>
    <row r="1519" spans="1:23" x14ac:dyDescent="0.25">
      <c r="A1519" s="7"/>
      <c r="D1519" s="1"/>
      <c r="E1519" s="1"/>
      <c r="G1519" s="2"/>
      <c r="H1519" s="2"/>
      <c r="I1519" s="4"/>
      <c r="J1519" s="4"/>
      <c r="K1519" s="4"/>
      <c r="L1519" s="18"/>
      <c r="M1519" s="3"/>
      <c r="O1519"/>
      <c r="P1519" s="3"/>
      <c r="Q1519" s="4"/>
      <c r="R1519" s="5"/>
      <c r="T1519" s="2"/>
      <c r="U1519" s="3" t="str">
        <f t="shared" si="50"/>
        <v/>
      </c>
      <c r="V1519" s="4" t="str">
        <f t="shared" si="51"/>
        <v/>
      </c>
      <c r="W1519" s="21" t="e" cm="1">
        <f t="array" ref="W1519">_xlfn.IFS(
  A1519="BELL", "WHITE",
  A1519="GAMP", "ORANGE",
  A1519="GAMM", "GREEN",
  A1519="BWF", "YELLOW",
  OR(A1519="TNBE", A1519="TNBL", A1519="TNBD", A1519="TNWC", A1519="TNBW", A1519="THBS"), "PINK",
  A1519="CRWD", "BLUE",
  A1519="PASS", "WHITE"
)</f>
        <v>#N/A</v>
      </c>
    </row>
    <row r="1520" spans="1:23" x14ac:dyDescent="0.25">
      <c r="A1520" s="7"/>
      <c r="D1520" s="1"/>
      <c r="G1520" s="2"/>
      <c r="H1520" s="2"/>
      <c r="I1520" s="4"/>
      <c r="J1520" s="4"/>
      <c r="K1520" s="4"/>
      <c r="L1520" s="18"/>
      <c r="M1520" s="3"/>
      <c r="O1520"/>
      <c r="P1520" s="3"/>
      <c r="Q1520" s="4"/>
      <c r="R1520" s="5"/>
      <c r="T1520" s="2"/>
      <c r="U1520" s="3" t="str">
        <f t="shared" si="50"/>
        <v/>
      </c>
      <c r="V1520" s="4" t="str">
        <f t="shared" si="51"/>
        <v/>
      </c>
      <c r="W1520" s="21" t="e" cm="1">
        <f t="array" ref="W1520">_xlfn.IFS(
  A1520="BELL", "WHITE",
  A1520="GAMP", "ORANGE",
  A1520="GAMM", "GREEN",
  A1520="BWF", "YELLOW",
  OR(A1520="TNBE", A1520="TNBL", A1520="TNBD", A1520="TNWC", A1520="TNBW", A1520="THBS"), "PINK",
  A1520="CRWD", "BLUE",
  A1520="PASS", "WHITE"
)</f>
        <v>#N/A</v>
      </c>
    </row>
    <row r="1521" spans="1:23" x14ac:dyDescent="0.25">
      <c r="A1521" s="7"/>
      <c r="D1521" s="1"/>
      <c r="G1521" s="2"/>
      <c r="H1521" s="2"/>
      <c r="I1521" s="4"/>
      <c r="J1521" s="4"/>
      <c r="K1521" s="4"/>
      <c r="L1521" s="18"/>
      <c r="M1521" s="3"/>
      <c r="O1521"/>
      <c r="P1521" s="3"/>
      <c r="Q1521" s="4"/>
      <c r="R1521" s="5"/>
      <c r="T1521" s="2"/>
      <c r="U1521" s="3" t="str">
        <f t="shared" si="50"/>
        <v/>
      </c>
      <c r="V1521" s="4" t="str">
        <f t="shared" si="51"/>
        <v/>
      </c>
      <c r="W1521" s="21" t="e" cm="1">
        <f t="array" ref="W1521">_xlfn.IFS(
  A1521="BELL", "WHITE",
  A1521="GAMP", "ORANGE",
  A1521="GAMM", "GREEN",
  A1521="BWF", "YELLOW",
  OR(A1521="TNBE", A1521="TNBL", A1521="TNBD", A1521="TNWC", A1521="TNBW", A1521="THBS"), "PINK",
  A1521="CRWD", "BLUE",
  A1521="PASS", "WHITE"
)</f>
        <v>#N/A</v>
      </c>
    </row>
    <row r="1522" spans="1:23" x14ac:dyDescent="0.25">
      <c r="A1522" s="7"/>
      <c r="D1522" s="1"/>
      <c r="G1522" s="2"/>
      <c r="H1522" s="2"/>
      <c r="I1522" s="4"/>
      <c r="J1522" s="4"/>
      <c r="K1522" s="4"/>
      <c r="L1522" s="18"/>
      <c r="M1522" s="3"/>
      <c r="O1522"/>
      <c r="P1522" s="3"/>
      <c r="Q1522" s="4"/>
      <c r="R1522" s="5"/>
      <c r="T1522" s="2"/>
      <c r="U1522" s="3" t="str">
        <f t="shared" si="50"/>
        <v/>
      </c>
      <c r="V1522" s="4" t="str">
        <f t="shared" si="51"/>
        <v/>
      </c>
      <c r="W1522" s="21" t="e" cm="1">
        <f t="array" ref="W1522">_xlfn.IFS(
  A1522="BELL", "WHITE",
  A1522="GAMP", "ORANGE",
  A1522="GAMM", "GREEN",
  A1522="BWF", "YELLOW",
  OR(A1522="TNBE", A1522="TNBL", A1522="TNBD", A1522="TNWC", A1522="TNBW", A1522="THBS"), "PINK",
  A1522="CRWD", "BLUE",
  A1522="PASS", "WHITE"
)</f>
        <v>#N/A</v>
      </c>
    </row>
    <row r="1523" spans="1:23" x14ac:dyDescent="0.25">
      <c r="A1523" s="7"/>
      <c r="D1523" s="1"/>
      <c r="G1523" s="2"/>
      <c r="H1523" s="2"/>
      <c r="I1523" s="4"/>
      <c r="J1523" s="4"/>
      <c r="K1523" s="4"/>
      <c r="L1523" s="18"/>
      <c r="M1523" s="3"/>
      <c r="O1523"/>
      <c r="P1523" s="3"/>
      <c r="Q1523" s="4"/>
      <c r="R1523" s="5"/>
      <c r="T1523" s="2"/>
      <c r="U1523" s="3" t="str">
        <f t="shared" si="50"/>
        <v/>
      </c>
      <c r="V1523" s="4" t="str">
        <f t="shared" si="51"/>
        <v/>
      </c>
      <c r="W1523" s="21" t="e" cm="1">
        <f t="array" ref="W1523">_xlfn.IFS(
  A1523="BELL", "WHITE",
  A1523="GAMP", "ORANGE",
  A1523="GAMM", "GREEN",
  A1523="BWF", "YELLOW",
  OR(A1523="TNBE", A1523="TNBL", A1523="TNBD", A1523="TNWC", A1523="TNBW", A1523="THBS"), "PINK",
  A1523="CRWD", "BLUE",
  A1523="PASS", "WHITE"
)</f>
        <v>#N/A</v>
      </c>
    </row>
    <row r="1524" spans="1:23" x14ac:dyDescent="0.25">
      <c r="A1524" s="7"/>
      <c r="D1524" s="1"/>
      <c r="G1524" s="2"/>
      <c r="H1524" s="2"/>
      <c r="I1524" s="4"/>
      <c r="J1524" s="4"/>
      <c r="K1524" s="4"/>
      <c r="L1524" s="18"/>
      <c r="M1524" s="3"/>
      <c r="O1524"/>
      <c r="P1524" s="3"/>
      <c r="Q1524" s="4"/>
      <c r="R1524" s="5"/>
      <c r="T1524" s="2"/>
      <c r="U1524" s="3" t="str">
        <f t="shared" si="50"/>
        <v/>
      </c>
      <c r="V1524" s="4" t="str">
        <f t="shared" si="51"/>
        <v/>
      </c>
      <c r="W1524" s="21" t="e" cm="1">
        <f t="array" ref="W1524">_xlfn.IFS(
  A1524="BELL", "WHITE",
  A1524="GAMP", "ORANGE",
  A1524="GAMM", "GREEN",
  A1524="BWF", "YELLOW",
  OR(A1524="TNBE", A1524="TNBL", A1524="TNBD", A1524="TNWC", A1524="TNBW", A1524="THBS"), "PINK",
  A1524="CRWD", "BLUE",
  A1524="PASS", "WHITE"
)</f>
        <v>#N/A</v>
      </c>
    </row>
    <row r="1525" spans="1:23" x14ac:dyDescent="0.25">
      <c r="A1525" s="7"/>
      <c r="D1525" s="1"/>
      <c r="G1525" s="2"/>
      <c r="H1525" s="2"/>
      <c r="I1525" s="4"/>
      <c r="J1525" s="4"/>
      <c r="K1525" s="4"/>
      <c r="L1525" s="18"/>
      <c r="M1525" s="3"/>
      <c r="O1525"/>
      <c r="P1525" s="3"/>
      <c r="Q1525" s="4"/>
      <c r="R1525" s="5"/>
      <c r="T1525" s="2"/>
      <c r="U1525" s="3" t="str">
        <f t="shared" si="50"/>
        <v/>
      </c>
      <c r="V1525" s="4" t="str">
        <f t="shared" si="51"/>
        <v/>
      </c>
      <c r="W1525" s="21" t="e" cm="1">
        <f t="array" ref="W1525">_xlfn.IFS(
  A1525="BELL", "WHITE",
  A1525="GAMP", "ORANGE",
  A1525="GAMM", "GREEN",
  A1525="BWF", "YELLOW",
  OR(A1525="TNBE", A1525="TNBL", A1525="TNBD", A1525="TNWC", A1525="TNBW", A1525="THBS"), "PINK",
  A1525="CRWD", "BLUE",
  A1525="PASS", "WHITE"
)</f>
        <v>#N/A</v>
      </c>
    </row>
    <row r="1526" spans="1:23" x14ac:dyDescent="0.25">
      <c r="A1526" s="7"/>
      <c r="D1526" s="1"/>
      <c r="G1526" s="2"/>
      <c r="H1526" s="2"/>
      <c r="I1526" s="4"/>
      <c r="J1526" s="4"/>
      <c r="K1526" s="4"/>
      <c r="L1526" s="18"/>
      <c r="M1526" s="3"/>
      <c r="O1526"/>
      <c r="P1526" s="3"/>
      <c r="Q1526" s="4"/>
      <c r="R1526" s="5"/>
      <c r="T1526" s="2"/>
      <c r="U1526" s="3" t="str">
        <f t="shared" si="50"/>
        <v/>
      </c>
      <c r="V1526" s="4" t="str">
        <f t="shared" si="51"/>
        <v/>
      </c>
      <c r="W1526" s="21" t="e" cm="1">
        <f t="array" ref="W1526">_xlfn.IFS(
  A1526="BELL", "WHITE",
  A1526="GAMP", "ORANGE",
  A1526="GAMM", "GREEN",
  A1526="BWF", "YELLOW",
  OR(A1526="TNBE", A1526="TNBL", A1526="TNBD", A1526="TNWC", A1526="TNBW", A1526="THBS"), "PINK",
  A1526="CRWD", "BLUE",
  A1526="PASS", "WHITE"
)</f>
        <v>#N/A</v>
      </c>
    </row>
    <row r="1527" spans="1:23" x14ac:dyDescent="0.25">
      <c r="A1527" s="7"/>
      <c r="D1527" s="1"/>
      <c r="G1527" s="2"/>
      <c r="H1527" s="2"/>
      <c r="I1527" s="4"/>
      <c r="J1527" s="4"/>
      <c r="K1527" s="4"/>
      <c r="L1527" s="18"/>
      <c r="M1527" s="3"/>
      <c r="O1527"/>
      <c r="P1527" s="3"/>
      <c r="Q1527" s="4"/>
      <c r="R1527" s="5"/>
      <c r="T1527" s="2"/>
      <c r="U1527" s="3" t="str">
        <f t="shared" si="50"/>
        <v/>
      </c>
      <c r="V1527" s="4" t="str">
        <f t="shared" si="51"/>
        <v/>
      </c>
      <c r="W1527" s="21" t="e" cm="1">
        <f t="array" ref="W1527">_xlfn.IFS(
  A1527="BELL", "WHITE",
  A1527="GAMP", "ORANGE",
  A1527="GAMM", "GREEN",
  A1527="BWF", "YELLOW",
  OR(A1527="TNBE", A1527="TNBL", A1527="TNBD", A1527="TNWC", A1527="TNBW", A1527="THBS"), "PINK",
  A1527="CRWD", "BLUE",
  A1527="PASS", "WHITE"
)</f>
        <v>#N/A</v>
      </c>
    </row>
    <row r="1528" spans="1:23" x14ac:dyDescent="0.25">
      <c r="A1528" s="7"/>
      <c r="D1528" s="1"/>
      <c r="G1528" s="2"/>
      <c r="I1528" s="4"/>
      <c r="J1528" s="4"/>
      <c r="K1528" s="4"/>
      <c r="L1528" s="18"/>
      <c r="M1528" s="3"/>
      <c r="O1528"/>
      <c r="P1528" s="3"/>
      <c r="Q1528" s="4"/>
      <c r="R1528" s="5"/>
      <c r="T1528" s="2"/>
      <c r="U1528" s="3" t="str">
        <f t="shared" si="50"/>
        <v/>
      </c>
      <c r="V1528" s="4" t="str">
        <f t="shared" si="51"/>
        <v/>
      </c>
      <c r="W1528" s="21" t="e" cm="1">
        <f t="array" ref="W1528">_xlfn.IFS(
  A1528="BELL", "WHITE",
  A1528="GAMP", "ORANGE",
  A1528="GAMM", "GREEN",
  A1528="BWF", "YELLOW",
  OR(A1528="TNBE", A1528="TNBL", A1528="TNBD", A1528="TNWC", A1528="TNBW", A1528="THBS"), "PINK",
  A1528="CRWD", "BLUE",
  A1528="PASS", "WHITE"
)</f>
        <v>#N/A</v>
      </c>
    </row>
    <row r="1529" spans="1:23" x14ac:dyDescent="0.25">
      <c r="A1529" s="7"/>
      <c r="D1529" s="1"/>
      <c r="G1529" s="2"/>
      <c r="I1529" s="4"/>
      <c r="J1529" s="4"/>
      <c r="K1529" s="4"/>
      <c r="L1529" s="18"/>
      <c r="M1529" s="3"/>
      <c r="O1529"/>
      <c r="P1529" s="3"/>
      <c r="Q1529" s="4"/>
      <c r="R1529" s="5"/>
      <c r="T1529" s="2"/>
      <c r="U1529" s="3" t="str">
        <f t="shared" si="50"/>
        <v/>
      </c>
      <c r="V1529" s="4" t="str">
        <f t="shared" si="51"/>
        <v/>
      </c>
      <c r="W1529" s="21" t="e" cm="1">
        <f t="array" ref="W1529">_xlfn.IFS(
  A1529="BELL", "WHITE",
  A1529="GAMP", "ORANGE",
  A1529="GAMM", "GREEN",
  A1529="BWF", "YELLOW",
  OR(A1529="TNBE", A1529="TNBL", A1529="TNBD", A1529="TNWC", A1529="TNBW", A1529="THBS"), "PINK",
  A1529="CRWD", "BLUE",
  A1529="PASS", "WHITE"
)</f>
        <v>#N/A</v>
      </c>
    </row>
    <row r="1530" spans="1:23" x14ac:dyDescent="0.25">
      <c r="A1530" s="7"/>
      <c r="D1530" s="1"/>
      <c r="G1530" s="2"/>
      <c r="H1530"/>
      <c r="I1530" s="4"/>
      <c r="J1530" s="4"/>
      <c r="K1530" s="4"/>
      <c r="L1530" s="18"/>
      <c r="M1530" s="18"/>
      <c r="O1530"/>
      <c r="P1530" s="3"/>
      <c r="Q1530" s="4"/>
      <c r="R1530" s="5"/>
      <c r="T1530" s="2"/>
      <c r="U1530" s="3" t="str">
        <f t="shared" si="50"/>
        <v/>
      </c>
      <c r="V1530" s="4" t="str">
        <f t="shared" si="51"/>
        <v/>
      </c>
      <c r="W1530" s="21" t="e" cm="1">
        <f t="array" ref="W1530">_xlfn.IFS(
  A1530="BELL", "WHITE",
  A1530="GAMP", "ORANGE",
  A1530="GAMM", "GREEN",
  A1530="BWF", "YELLOW",
  OR(A1530="TNBE", A1530="TNBL", A1530="TNBD", A1530="TNWC", A1530="TNBW", A1530="THBS"), "PINK",
  A1530="CRWD", "BLUE",
  A1530="PASS", "WHITE"
)</f>
        <v>#N/A</v>
      </c>
    </row>
    <row r="1531" spans="1:23" x14ac:dyDescent="0.25">
      <c r="A1531" s="7"/>
      <c r="D1531" s="1"/>
      <c r="G1531" s="2"/>
      <c r="H1531"/>
      <c r="I1531" s="4"/>
      <c r="J1531" s="4"/>
      <c r="K1531" s="4"/>
      <c r="L1531" s="18"/>
      <c r="M1531" s="18"/>
      <c r="O1531"/>
      <c r="P1531" s="3"/>
      <c r="Q1531" s="4"/>
      <c r="R1531" s="5"/>
      <c r="T1531" s="2"/>
      <c r="U1531" s="3" t="str">
        <f t="shared" si="50"/>
        <v/>
      </c>
      <c r="V1531" s="4" t="str">
        <f t="shared" si="51"/>
        <v/>
      </c>
      <c r="W1531" s="21" t="e" cm="1">
        <f t="array" ref="W1531">_xlfn.IFS(
  A1531="BELL", "WHITE",
  A1531="GAMP", "ORANGE",
  A1531="GAMM", "GREEN",
  A1531="BWF", "YELLOW",
  OR(A1531="TNBE", A1531="TNBL", A1531="TNBD", A1531="TNWC", A1531="TNBW", A1531="THBS"), "PINK",
  A1531="CRWD", "BLUE",
  A1531="PASS", "WHITE"
)</f>
        <v>#N/A</v>
      </c>
    </row>
    <row r="1532" spans="1:23" x14ac:dyDescent="0.25">
      <c r="A1532" s="7"/>
      <c r="D1532" s="1"/>
      <c r="G1532" s="2"/>
      <c r="H1532"/>
      <c r="I1532" s="4"/>
      <c r="J1532" s="4"/>
      <c r="K1532" s="4"/>
      <c r="L1532" s="18"/>
      <c r="M1532" s="18"/>
      <c r="O1532"/>
      <c r="P1532" s="3"/>
      <c r="Q1532" s="4"/>
      <c r="R1532" s="5"/>
      <c r="T1532" s="2"/>
      <c r="U1532" s="3" t="str">
        <f t="shared" si="50"/>
        <v/>
      </c>
      <c r="V1532" s="4" t="str">
        <f t="shared" si="51"/>
        <v/>
      </c>
      <c r="W1532" s="21" t="e" cm="1">
        <f t="array" ref="W1532">_xlfn.IFS(
  A1532="BELL", "WHITE",
  A1532="GAMP", "ORANGE",
  A1532="GAMM", "GREEN",
  A1532="BWF", "YELLOW",
  OR(A1532="TNBE", A1532="TNBL", A1532="TNBD", A1532="TNWC", A1532="TNBW", A1532="THBS"), "PINK",
  A1532="CRWD", "BLUE",
  A1532="PASS", "WHITE"
)</f>
        <v>#N/A</v>
      </c>
    </row>
    <row r="1533" spans="1:23" x14ac:dyDescent="0.25">
      <c r="A1533" s="7"/>
      <c r="D1533" s="1"/>
      <c r="G1533" s="2"/>
      <c r="H1533"/>
      <c r="I1533" s="4"/>
      <c r="J1533" s="4"/>
      <c r="K1533" s="4"/>
      <c r="L1533" s="18"/>
      <c r="M1533" s="18"/>
      <c r="O1533"/>
      <c r="P1533" s="3"/>
      <c r="Q1533" s="4"/>
      <c r="R1533" s="5"/>
      <c r="T1533" s="2"/>
      <c r="U1533" s="3" t="str">
        <f t="shared" si="50"/>
        <v/>
      </c>
      <c r="V1533" s="4" t="str">
        <f t="shared" si="51"/>
        <v/>
      </c>
      <c r="W1533" s="21" t="e" cm="1">
        <f t="array" ref="W1533">_xlfn.IFS(
  A1533="BELL", "WHITE",
  A1533="GAMP", "ORANGE",
  A1533="GAMM", "GREEN",
  A1533="BWF", "YELLOW",
  OR(A1533="TNBE", A1533="TNBL", A1533="TNBD", A1533="TNWC", A1533="TNBW", A1533="THBS"), "PINK",
  A1533="CRWD", "BLUE",
  A1533="PASS", "WHITE"
)</f>
        <v>#N/A</v>
      </c>
    </row>
    <row r="1534" spans="1:23" x14ac:dyDescent="0.25">
      <c r="A1534" s="7"/>
      <c r="D1534" s="1"/>
      <c r="G1534" s="2"/>
      <c r="H1534"/>
      <c r="I1534" s="4"/>
      <c r="J1534" s="4"/>
      <c r="K1534" s="4"/>
      <c r="L1534" s="18"/>
      <c r="M1534" s="18"/>
      <c r="O1534"/>
      <c r="P1534" s="3"/>
      <c r="Q1534" s="4"/>
      <c r="R1534" s="5"/>
      <c r="T1534" s="2"/>
      <c r="U1534" s="3" t="str">
        <f t="shared" si="50"/>
        <v/>
      </c>
      <c r="V1534" s="4" t="str">
        <f t="shared" si="51"/>
        <v/>
      </c>
      <c r="W1534" s="21" t="e" cm="1">
        <f t="array" ref="W1534">_xlfn.IFS(
  A1534="BELL", "WHITE",
  A1534="GAMP", "ORANGE",
  A1534="GAMM", "GREEN",
  A1534="BWF", "YELLOW",
  OR(A1534="TNBE", A1534="TNBL", A1534="TNBD", A1534="TNWC", A1534="TNBW", A1534="THBS"), "PINK",
  A1534="CRWD", "BLUE",
  A1534="PASS", "WHITE"
)</f>
        <v>#N/A</v>
      </c>
    </row>
    <row r="1535" spans="1:23" x14ac:dyDescent="0.25">
      <c r="A1535" s="7"/>
      <c r="D1535" s="1"/>
      <c r="G1535" s="2"/>
      <c r="H1535" s="2"/>
      <c r="I1535" s="3"/>
      <c r="J1535" s="17"/>
      <c r="K1535" s="17"/>
      <c r="L1535" s="18"/>
      <c r="M1535" s="3"/>
      <c r="O1535"/>
      <c r="P1535" s="3"/>
      <c r="Q1535" s="4"/>
      <c r="R1535" s="5"/>
      <c r="T1535" s="2"/>
      <c r="U1535" s="3" t="str">
        <f t="shared" si="50"/>
        <v/>
      </c>
      <c r="V1535" s="4" t="str">
        <f t="shared" si="51"/>
        <v/>
      </c>
      <c r="W1535" s="21" t="e" cm="1">
        <f t="array" ref="W1535">_xlfn.IFS(
  A1535="BELL", "WHITE",
  A1535="GAMP", "ORANGE",
  A1535="GAMM", "GREEN",
  A1535="BWF", "YELLOW",
  OR(A1535="TNBE", A1535="TNBL", A1535="TNBD", A1535="TNWC", A1535="TNBW", A1535="THBS"), "PINK",
  A1535="CRWD", "BLUE",
  A1535="PASS", "WHITE"
)</f>
        <v>#N/A</v>
      </c>
    </row>
    <row r="1536" spans="1:23" x14ac:dyDescent="0.25">
      <c r="A1536" s="7"/>
      <c r="B1536" s="27"/>
      <c r="D1536" s="1"/>
      <c r="E1536" s="1"/>
      <c r="G1536" s="2"/>
      <c r="H1536" s="2"/>
      <c r="I1536" s="3"/>
      <c r="J1536" s="17"/>
      <c r="K1536" s="17"/>
      <c r="L1536" s="18"/>
      <c r="M1536" s="3"/>
      <c r="O1536"/>
      <c r="P1536" s="3"/>
      <c r="Q1536" s="4"/>
      <c r="R1536" s="5"/>
      <c r="U1536" s="3" t="str">
        <f t="shared" si="50"/>
        <v/>
      </c>
      <c r="V1536" s="4" t="str">
        <f t="shared" si="51"/>
        <v/>
      </c>
      <c r="W1536" s="21" t="e" cm="1">
        <f t="array" ref="W1536">_xlfn.IFS(
  A1536="BELL", "WHITE",
  A1536="GAMP", "ORANGE",
  A1536="GAMM", "GREEN",
  A1536="BWF", "YELLOW",
  OR(A1536="TNBE", A1536="TNBL", A1536="TNBD", A1536="TNWC", A1536="TNBW", A1536="THBS"), "PINK",
  A1536="CRWD", "BLUE",
  A1536="PASS", "WHITE"
)</f>
        <v>#N/A</v>
      </c>
    </row>
    <row r="1537" spans="1:23" x14ac:dyDescent="0.25">
      <c r="A1537" s="7"/>
      <c r="B1537"/>
      <c r="D1537" s="1"/>
      <c r="I1537" s="3"/>
      <c r="J1537" s="17"/>
      <c r="K1537" s="17"/>
      <c r="L1537" s="18"/>
      <c r="M1537" s="3"/>
      <c r="P1537" s="3"/>
      <c r="Q1537" s="4"/>
      <c r="R1537" s="19"/>
      <c r="S1537" s="20"/>
      <c r="U1537" s="3" t="str">
        <f t="shared" si="50"/>
        <v/>
      </c>
      <c r="V1537" s="4" t="str">
        <f t="shared" si="51"/>
        <v/>
      </c>
      <c r="W1537" s="21" t="e" cm="1">
        <f t="array" ref="W1537">_xlfn.IFS(
  A1537="BELL", "WHITE",
  A1537="GAMP", "ORANGE",
  A1537="GAMM", "GREEN",
  A1537="BWF", "YELLOW",
  OR(A1537="TNBE", A1537="TNBL", A1537="TNBD", A1537="TNWC", A1537="TNBW", A1537="THBS"), "PINK",
  A1537="CRWD", "BLUE",
  A1537="PASS", "WHITE"
)</f>
        <v>#N/A</v>
      </c>
    </row>
    <row r="1538" spans="1:23" x14ac:dyDescent="0.25">
      <c r="A1538" s="7"/>
      <c r="B1538"/>
      <c r="D1538" s="1"/>
      <c r="I1538" s="3"/>
      <c r="J1538" s="17"/>
      <c r="K1538" s="17"/>
      <c r="L1538" s="18"/>
      <c r="M1538" s="18"/>
      <c r="P1538" s="3"/>
      <c r="Q1538" s="4"/>
      <c r="R1538" s="19"/>
      <c r="S1538" s="20"/>
      <c r="U1538" s="3" t="str">
        <f t="shared" si="50"/>
        <v/>
      </c>
      <c r="V1538" s="4" t="str">
        <f t="shared" si="51"/>
        <v/>
      </c>
      <c r="W1538" s="21" t="e" cm="1">
        <f t="array" ref="W1538">_xlfn.IFS(
  A1538="BELL", "WHITE",
  A1538="GAMP", "ORANGE",
  A1538="GAMM", "GREEN",
  A1538="BWF", "YELLOW",
  OR(A1538="TNBE", A1538="TNBL", A1538="TNBD", A1538="TNWC", A1538="TNBW", A1538="THBS"), "PINK",
  A1538="CRWD", "BLUE",
  A1538="PASS", "WHITE"
)</f>
        <v>#N/A</v>
      </c>
    </row>
    <row r="1539" spans="1:23" x14ac:dyDescent="0.25">
      <c r="A1539" s="7"/>
      <c r="B1539"/>
      <c r="D1539" s="1"/>
      <c r="I1539" s="3"/>
      <c r="J1539" s="17"/>
      <c r="K1539" s="17"/>
      <c r="L1539" s="18"/>
      <c r="M1539" s="18"/>
      <c r="P1539" s="3"/>
      <c r="Q1539" s="4"/>
      <c r="R1539" s="19"/>
      <c r="S1539" s="20"/>
      <c r="U1539" s="3" t="str">
        <f t="shared" si="50"/>
        <v/>
      </c>
      <c r="V1539" s="4" t="str">
        <f t="shared" si="51"/>
        <v/>
      </c>
      <c r="W1539" s="21" t="e" cm="1">
        <f t="array" ref="W1539">_xlfn.IFS(
  A1539="BELL", "WHITE",
  A1539="GAMP", "ORANGE",
  A1539="GAMM", "GREEN",
  A1539="BWF", "YELLOW",
  OR(A1539="TNBE", A1539="TNBL", A1539="TNBD", A1539="TNWC", A1539="TNBW", A1539="THBS"), "PINK",
  A1539="CRWD", "BLUE",
  A1539="PASS", "WHITE"
)</f>
        <v>#N/A</v>
      </c>
    </row>
    <row r="1540" spans="1:23" x14ac:dyDescent="0.25">
      <c r="A1540" s="7"/>
      <c r="B1540"/>
      <c r="D1540" s="1"/>
      <c r="I1540" s="3"/>
      <c r="J1540" s="17"/>
      <c r="K1540" s="17"/>
      <c r="L1540" s="18"/>
      <c r="M1540" s="3"/>
      <c r="P1540" s="3"/>
      <c r="Q1540" s="4"/>
      <c r="R1540" s="19"/>
      <c r="S1540" s="20"/>
      <c r="U1540" s="3" t="str">
        <f t="shared" ref="U1540:U1603" si="52">IF(T1540="","",IF(T1540&gt;I1540,H1540,T1540/G1540))</f>
        <v/>
      </c>
      <c r="V1540" s="4" t="str">
        <f t="shared" ref="V1540:V1603" si="53">IF(T1540&gt;I1540,T1540-I1540,"")</f>
        <v/>
      </c>
      <c r="W1540" s="21" t="e" cm="1">
        <f t="array" ref="W1540">_xlfn.IFS(
  A1540="BELL", "WHITE",
  A1540="GAMP", "ORANGE",
  A1540="GAMM", "GREEN",
  A1540="BWF", "YELLOW",
  OR(A1540="TNBE", A1540="TNBL", A1540="TNBD", A1540="TNWC", A1540="TNBW", A1540="THBS"), "PINK",
  A1540="CRWD", "BLUE",
  A1540="PASS", "WHITE"
)</f>
        <v>#N/A</v>
      </c>
    </row>
    <row r="1541" spans="1:23" x14ac:dyDescent="0.25">
      <c r="A1541" s="7"/>
      <c r="B1541"/>
      <c r="D1541" s="1"/>
      <c r="I1541" s="3"/>
      <c r="J1541" s="17"/>
      <c r="K1541" s="17"/>
      <c r="L1541" s="18"/>
      <c r="M1541" s="3"/>
      <c r="P1541" s="3"/>
      <c r="Q1541" s="4"/>
      <c r="R1541" s="19"/>
      <c r="S1541" s="20"/>
      <c r="U1541" s="3" t="str">
        <f t="shared" si="52"/>
        <v/>
      </c>
      <c r="V1541" s="4" t="str">
        <f t="shared" si="53"/>
        <v/>
      </c>
      <c r="W1541" s="21" t="e" cm="1">
        <f t="array" ref="W1541">_xlfn.IFS(
  A1541="BELL", "WHITE",
  A1541="GAMP", "ORANGE",
  A1541="GAMM", "GREEN",
  A1541="BWF", "YELLOW",
  OR(A1541="TNBE", A1541="TNBL", A1541="TNBD", A1541="TNWC", A1541="TNBW", A1541="THBS"), "PINK",
  A1541="CRWD", "BLUE",
  A1541="PASS", "WHITE"
)</f>
        <v>#N/A</v>
      </c>
    </row>
    <row r="1542" spans="1:23" x14ac:dyDescent="0.25">
      <c r="A1542" s="7"/>
      <c r="B1542"/>
      <c r="D1542" s="1"/>
      <c r="I1542" s="3"/>
      <c r="J1542" s="17"/>
      <c r="K1542" s="17"/>
      <c r="L1542" s="18"/>
      <c r="M1542" s="3"/>
      <c r="P1542" s="3"/>
      <c r="Q1542" s="4"/>
      <c r="R1542" s="19"/>
      <c r="S1542" s="20"/>
      <c r="U1542" s="3" t="str">
        <f t="shared" si="52"/>
        <v/>
      </c>
      <c r="V1542" s="4" t="str">
        <f t="shared" si="53"/>
        <v/>
      </c>
      <c r="W1542" s="21" t="e" cm="1">
        <f t="array" ref="W1542">_xlfn.IFS(
  A1542="BELL", "WHITE",
  A1542="GAMP", "ORANGE",
  A1542="GAMM", "GREEN",
  A1542="BWF", "YELLOW",
  OR(A1542="TNBE", A1542="TNBL", A1542="TNBD", A1542="TNWC", A1542="TNBW", A1542="THBS"), "PINK",
  A1542="CRWD", "BLUE",
  A1542="PASS", "WHITE"
)</f>
        <v>#N/A</v>
      </c>
    </row>
    <row r="1543" spans="1:23" x14ac:dyDescent="0.25">
      <c r="A1543" s="7"/>
      <c r="B1543"/>
      <c r="D1543" s="1"/>
      <c r="I1543" s="3"/>
      <c r="J1543" s="17"/>
      <c r="K1543" s="17"/>
      <c r="L1543" s="18"/>
      <c r="M1543" s="18"/>
      <c r="P1543" s="3"/>
      <c r="Q1543" s="4"/>
      <c r="R1543" s="19"/>
      <c r="S1543" s="20"/>
      <c r="U1543" s="3" t="str">
        <f t="shared" si="52"/>
        <v/>
      </c>
      <c r="V1543" s="4" t="str">
        <f t="shared" si="53"/>
        <v/>
      </c>
      <c r="W1543" s="21" t="e" cm="1">
        <f t="array" ref="W1543">_xlfn.IFS(
  A1543="BELL", "WHITE",
  A1543="GAMP", "ORANGE",
  A1543="GAMM", "GREEN",
  A1543="BWF", "YELLOW",
  OR(A1543="TNBE", A1543="TNBL", A1543="TNBD", A1543="TNWC", A1543="TNBW", A1543="THBS"), "PINK",
  A1543="CRWD", "BLUE",
  A1543="PASS", "WHITE"
)</f>
        <v>#N/A</v>
      </c>
    </row>
    <row r="1544" spans="1:23" x14ac:dyDescent="0.25">
      <c r="A1544" s="7"/>
      <c r="B1544"/>
      <c r="D1544" s="1"/>
      <c r="I1544" s="3"/>
      <c r="J1544" s="17"/>
      <c r="K1544" s="17"/>
      <c r="L1544" s="18"/>
      <c r="M1544" s="3"/>
      <c r="P1544" s="3"/>
      <c r="Q1544" s="4"/>
      <c r="R1544" s="19"/>
      <c r="S1544" s="20"/>
      <c r="U1544" s="3" t="str">
        <f t="shared" si="52"/>
        <v/>
      </c>
      <c r="V1544" s="4" t="str">
        <f t="shared" si="53"/>
        <v/>
      </c>
      <c r="W1544" s="21" t="e" cm="1">
        <f t="array" ref="W1544">_xlfn.IFS(
  A1544="BELL", "WHITE",
  A1544="GAMP", "ORANGE",
  A1544="GAMM", "GREEN",
  A1544="BWF", "YELLOW",
  OR(A1544="TNBE", A1544="TNBL", A1544="TNBD", A1544="TNWC", A1544="TNBW", A1544="THBS"), "PINK",
  A1544="CRWD", "BLUE",
  A1544="PASS", "WHITE"
)</f>
        <v>#N/A</v>
      </c>
    </row>
    <row r="1545" spans="1:23" x14ac:dyDescent="0.25">
      <c r="A1545" s="7"/>
      <c r="B1545"/>
      <c r="D1545" s="1"/>
      <c r="I1545" s="3"/>
      <c r="J1545" s="17"/>
      <c r="K1545" s="17"/>
      <c r="L1545" s="18"/>
      <c r="M1545" s="18"/>
      <c r="P1545" s="3"/>
      <c r="Q1545" s="4"/>
      <c r="R1545" s="19"/>
      <c r="S1545" s="20"/>
      <c r="U1545" s="3" t="str">
        <f t="shared" si="52"/>
        <v/>
      </c>
      <c r="V1545" s="4" t="str">
        <f t="shared" si="53"/>
        <v/>
      </c>
      <c r="W1545" s="21" t="e" cm="1">
        <f t="array" ref="W1545">_xlfn.IFS(
  A1545="BELL", "WHITE",
  A1545="GAMP", "ORANGE",
  A1545="GAMM", "GREEN",
  A1545="BWF", "YELLOW",
  OR(A1545="TNBE", A1545="TNBL", A1545="TNBD", A1545="TNWC", A1545="TNBW", A1545="THBS"), "PINK",
  A1545="CRWD", "BLUE",
  A1545="PASS", "WHITE"
)</f>
        <v>#N/A</v>
      </c>
    </row>
    <row r="1546" spans="1:23" x14ac:dyDescent="0.25">
      <c r="A1546" s="7"/>
      <c r="B1546"/>
      <c r="D1546" s="1"/>
      <c r="I1546" s="3"/>
      <c r="J1546" s="17"/>
      <c r="K1546" s="17"/>
      <c r="L1546" s="18"/>
      <c r="M1546" s="18"/>
      <c r="P1546" s="3"/>
      <c r="Q1546" s="4"/>
      <c r="R1546" s="19"/>
      <c r="S1546" s="20"/>
      <c r="U1546" s="3" t="str">
        <f t="shared" si="52"/>
        <v/>
      </c>
      <c r="V1546" s="4" t="str">
        <f t="shared" si="53"/>
        <v/>
      </c>
      <c r="W1546" s="21" t="e" cm="1">
        <f t="array" ref="W1546">_xlfn.IFS(
  A1546="BELL", "WHITE",
  A1546="GAMP", "ORANGE",
  A1546="GAMM", "GREEN",
  A1546="BWF", "YELLOW",
  OR(A1546="TNBE", A1546="TNBL", A1546="TNBD", A1546="TNWC", A1546="TNBW", A1546="THBS"), "PINK",
  A1546="CRWD", "BLUE",
  A1546="PASS", "WHITE"
)</f>
        <v>#N/A</v>
      </c>
    </row>
    <row r="1547" spans="1:23" x14ac:dyDescent="0.25">
      <c r="A1547" s="7"/>
      <c r="B1547"/>
      <c r="D1547" s="1"/>
      <c r="I1547" s="3"/>
      <c r="J1547" s="17"/>
      <c r="K1547" s="17"/>
      <c r="L1547" s="18"/>
      <c r="M1547" s="18"/>
      <c r="P1547" s="3"/>
      <c r="Q1547" s="4"/>
      <c r="R1547" s="19"/>
      <c r="S1547" s="20"/>
      <c r="U1547" s="3" t="str">
        <f t="shared" si="52"/>
        <v/>
      </c>
      <c r="V1547" s="4" t="str">
        <f t="shared" si="53"/>
        <v/>
      </c>
      <c r="W1547" s="21" t="e" cm="1">
        <f t="array" ref="W1547">_xlfn.IFS(
  A1547="BELL", "WHITE",
  A1547="GAMP", "ORANGE",
  A1547="GAMM", "GREEN",
  A1547="BWF", "YELLOW",
  OR(A1547="TNBE", A1547="TNBL", A1547="TNBD", A1547="TNWC", A1547="TNBW", A1547="THBS"), "PINK",
  A1547="CRWD", "BLUE",
  A1547="PASS", "WHITE"
)</f>
        <v>#N/A</v>
      </c>
    </row>
    <row r="1548" spans="1:23" x14ac:dyDescent="0.25">
      <c r="A1548" s="7"/>
      <c r="B1548"/>
      <c r="D1548" s="1"/>
      <c r="I1548" s="3"/>
      <c r="J1548" s="17"/>
      <c r="K1548" s="17"/>
      <c r="L1548" s="18"/>
      <c r="M1548" s="18"/>
      <c r="P1548" s="3"/>
      <c r="Q1548" s="4"/>
      <c r="R1548" s="19"/>
      <c r="S1548" s="20"/>
      <c r="U1548" s="3" t="str">
        <f t="shared" si="52"/>
        <v/>
      </c>
      <c r="V1548" s="4" t="str">
        <f t="shared" si="53"/>
        <v/>
      </c>
      <c r="W1548" s="21" t="e" cm="1">
        <f t="array" ref="W1548">_xlfn.IFS(
  A1548="BELL", "WHITE",
  A1548="GAMP", "ORANGE",
  A1548="GAMM", "GREEN",
  A1548="BWF", "YELLOW",
  OR(A1548="TNBE", A1548="TNBL", A1548="TNBD", A1548="TNWC", A1548="TNBW", A1548="THBS"), "PINK",
  A1548="CRWD", "BLUE",
  A1548="PASS", "WHITE"
)</f>
        <v>#N/A</v>
      </c>
    </row>
    <row r="1549" spans="1:23" x14ac:dyDescent="0.25">
      <c r="A1549" s="7"/>
      <c r="B1549"/>
      <c r="D1549" s="1"/>
      <c r="I1549" s="3"/>
      <c r="J1549" s="17"/>
      <c r="K1549" s="17"/>
      <c r="L1549" s="18"/>
      <c r="M1549" s="18"/>
      <c r="P1549" s="3"/>
      <c r="Q1549" s="4"/>
      <c r="R1549" s="19"/>
      <c r="S1549" s="20"/>
      <c r="U1549" s="3" t="str">
        <f t="shared" si="52"/>
        <v/>
      </c>
      <c r="V1549" s="4" t="str">
        <f t="shared" si="53"/>
        <v/>
      </c>
      <c r="W1549" s="21" t="e" cm="1">
        <f t="array" ref="W1549">_xlfn.IFS(
  A1549="BELL", "WHITE",
  A1549="GAMP", "ORANGE",
  A1549="GAMM", "GREEN",
  A1549="BWF", "YELLOW",
  OR(A1549="TNBE", A1549="TNBL", A1549="TNBD", A1549="TNWC", A1549="TNBW", A1549="THBS"), "PINK",
  A1549="CRWD", "BLUE",
  A1549="PASS", "WHITE"
)</f>
        <v>#N/A</v>
      </c>
    </row>
    <row r="1550" spans="1:23" x14ac:dyDescent="0.25">
      <c r="A1550" s="7"/>
      <c r="B1550"/>
      <c r="D1550" s="1"/>
      <c r="I1550" s="3"/>
      <c r="J1550" s="17"/>
      <c r="K1550" s="17"/>
      <c r="L1550" s="18"/>
      <c r="M1550" s="18"/>
      <c r="P1550" s="3"/>
      <c r="Q1550" s="4"/>
      <c r="R1550" s="19"/>
      <c r="S1550" s="20"/>
      <c r="U1550" s="3" t="str">
        <f t="shared" si="52"/>
        <v/>
      </c>
      <c r="V1550" s="4" t="str">
        <f t="shared" si="53"/>
        <v/>
      </c>
      <c r="W1550" s="21" t="e" cm="1">
        <f t="array" ref="W1550">_xlfn.IFS(
  A1550="BELL", "WHITE",
  A1550="GAMP", "ORANGE",
  A1550="GAMM", "GREEN",
  A1550="BWF", "YELLOW",
  OR(A1550="TNBE", A1550="TNBL", A1550="TNBD", A1550="TNWC", A1550="TNBW", A1550="THBS"), "PINK",
  A1550="CRWD", "BLUE",
  A1550="PASS", "WHITE"
)</f>
        <v>#N/A</v>
      </c>
    </row>
    <row r="1551" spans="1:23" x14ac:dyDescent="0.25">
      <c r="A1551" s="7"/>
      <c r="B1551"/>
      <c r="D1551" s="1"/>
      <c r="I1551" s="3"/>
      <c r="J1551" s="17"/>
      <c r="K1551" s="17"/>
      <c r="L1551" s="18"/>
      <c r="M1551" s="18"/>
      <c r="P1551" s="3"/>
      <c r="Q1551" s="4"/>
      <c r="R1551" s="19"/>
      <c r="S1551" s="20"/>
      <c r="U1551" s="3" t="str">
        <f t="shared" si="52"/>
        <v/>
      </c>
      <c r="V1551" s="4" t="str">
        <f t="shared" si="53"/>
        <v/>
      </c>
      <c r="W1551" s="21" t="e" cm="1">
        <f t="array" ref="W1551">_xlfn.IFS(
  A1551="BELL", "WHITE",
  A1551="GAMP", "ORANGE",
  A1551="GAMM", "GREEN",
  A1551="BWF", "YELLOW",
  OR(A1551="TNBE", A1551="TNBL", A1551="TNBD", A1551="TNWC", A1551="TNBW", A1551="THBS"), "PINK",
  A1551="CRWD", "BLUE",
  A1551="PASS", "WHITE"
)</f>
        <v>#N/A</v>
      </c>
    </row>
    <row r="1552" spans="1:23" x14ac:dyDescent="0.25">
      <c r="A1552" s="7"/>
      <c r="B1552"/>
      <c r="D1552" s="1"/>
      <c r="I1552" s="3"/>
      <c r="J1552" s="17"/>
      <c r="K1552" s="17"/>
      <c r="L1552" s="18"/>
      <c r="M1552" s="18"/>
      <c r="P1552" s="3"/>
      <c r="Q1552" s="4"/>
      <c r="R1552" s="19"/>
      <c r="S1552" s="20"/>
      <c r="U1552" s="3" t="str">
        <f t="shared" si="52"/>
        <v/>
      </c>
      <c r="V1552" s="4" t="str">
        <f t="shared" si="53"/>
        <v/>
      </c>
      <c r="W1552" s="21" t="e" cm="1">
        <f t="array" ref="W1552">_xlfn.IFS(
  A1552="BELL", "WHITE",
  A1552="GAMP", "ORANGE",
  A1552="GAMM", "GREEN",
  A1552="BWF", "YELLOW",
  OR(A1552="TNBE", A1552="TNBL", A1552="TNBD", A1552="TNWC", A1552="TNBW", A1552="THBS"), "PINK",
  A1552="CRWD", "BLUE",
  A1552="PASS", "WHITE"
)</f>
        <v>#N/A</v>
      </c>
    </row>
    <row r="1553" spans="1:23" x14ac:dyDescent="0.25">
      <c r="A1553" s="7"/>
      <c r="B1553"/>
      <c r="D1553" s="1"/>
      <c r="I1553" s="3"/>
      <c r="J1553" s="17"/>
      <c r="K1553" s="17"/>
      <c r="L1553" s="18"/>
      <c r="M1553" s="18"/>
      <c r="P1553" s="3"/>
      <c r="Q1553" s="4"/>
      <c r="R1553" s="19"/>
      <c r="S1553" s="20"/>
      <c r="U1553" s="3" t="str">
        <f t="shared" si="52"/>
        <v/>
      </c>
      <c r="V1553" s="4" t="str">
        <f t="shared" si="53"/>
        <v/>
      </c>
      <c r="W1553" s="21" t="e" cm="1">
        <f t="array" ref="W1553">_xlfn.IFS(
  A1553="BELL", "WHITE",
  A1553="GAMP", "ORANGE",
  A1553="GAMM", "GREEN",
  A1553="BWF", "YELLOW",
  OR(A1553="TNBE", A1553="TNBL", A1553="TNBD", A1553="TNWC", A1553="TNBW", A1553="THBS"), "PINK",
  A1553="CRWD", "BLUE",
  A1553="PASS", "WHITE"
)</f>
        <v>#N/A</v>
      </c>
    </row>
    <row r="1554" spans="1:23" x14ac:dyDescent="0.25">
      <c r="A1554" s="7"/>
      <c r="B1554"/>
      <c r="D1554" s="1"/>
      <c r="I1554" s="3"/>
      <c r="J1554" s="17"/>
      <c r="K1554" s="17"/>
      <c r="L1554" s="18"/>
      <c r="M1554" s="18"/>
      <c r="P1554" s="3"/>
      <c r="Q1554" s="4"/>
      <c r="R1554" s="19"/>
      <c r="S1554" s="20"/>
      <c r="U1554" s="3" t="str">
        <f t="shared" si="52"/>
        <v/>
      </c>
      <c r="V1554" s="4" t="str">
        <f t="shared" si="53"/>
        <v/>
      </c>
      <c r="W1554" s="21" t="e" cm="1">
        <f t="array" ref="W1554">_xlfn.IFS(
  A1554="BELL", "WHITE",
  A1554="GAMP", "ORANGE",
  A1554="GAMM", "GREEN",
  A1554="BWF", "YELLOW",
  OR(A1554="TNBE", A1554="TNBL", A1554="TNBD", A1554="TNWC", A1554="TNBW", A1554="THBS"), "PINK",
  A1554="CRWD", "BLUE",
  A1554="PASS", "WHITE"
)</f>
        <v>#N/A</v>
      </c>
    </row>
    <row r="1555" spans="1:23" x14ac:dyDescent="0.25">
      <c r="A1555" s="7"/>
      <c r="B1555"/>
      <c r="D1555" s="1"/>
      <c r="I1555" s="3"/>
      <c r="J1555" s="17"/>
      <c r="K1555" s="17"/>
      <c r="L1555" s="18"/>
      <c r="M1555" s="18"/>
      <c r="P1555" s="3"/>
      <c r="Q1555" s="4"/>
      <c r="R1555" s="19"/>
      <c r="S1555" s="20"/>
      <c r="U1555" s="3" t="str">
        <f t="shared" si="52"/>
        <v/>
      </c>
      <c r="V1555" s="4" t="str">
        <f t="shared" si="53"/>
        <v/>
      </c>
      <c r="W1555" s="21" t="e" cm="1">
        <f t="array" ref="W1555">_xlfn.IFS(
  A1555="BELL", "WHITE",
  A1555="GAMP", "ORANGE",
  A1555="GAMM", "GREEN",
  A1555="BWF", "YELLOW",
  OR(A1555="TNBE", A1555="TNBL", A1555="TNBD", A1555="TNWC", A1555="TNBW", A1555="THBS"), "PINK",
  A1555="CRWD", "BLUE",
  A1555="PASS", "WHITE"
)</f>
        <v>#N/A</v>
      </c>
    </row>
    <row r="1556" spans="1:23" x14ac:dyDescent="0.25">
      <c r="A1556" s="7"/>
      <c r="B1556"/>
      <c r="D1556" s="1"/>
      <c r="I1556" s="3"/>
      <c r="J1556" s="17"/>
      <c r="K1556" s="17"/>
      <c r="L1556" s="18"/>
      <c r="M1556" s="18"/>
      <c r="P1556" s="3"/>
      <c r="Q1556" s="4"/>
      <c r="R1556" s="19"/>
      <c r="S1556" s="20"/>
      <c r="U1556" s="3" t="str">
        <f t="shared" si="52"/>
        <v/>
      </c>
      <c r="V1556" s="4" t="str">
        <f t="shared" si="53"/>
        <v/>
      </c>
      <c r="W1556" s="21" t="e" cm="1">
        <f t="array" ref="W1556">_xlfn.IFS(
  A1556="BELL", "WHITE",
  A1556="GAMP", "ORANGE",
  A1556="GAMM", "GREEN",
  A1556="BWF", "YELLOW",
  OR(A1556="TNBE", A1556="TNBL", A1556="TNBD", A1556="TNWC", A1556="TNBW", A1556="THBS"), "PINK",
  A1556="CRWD", "BLUE",
  A1556="PASS", "WHITE"
)</f>
        <v>#N/A</v>
      </c>
    </row>
    <row r="1557" spans="1:23" x14ac:dyDescent="0.25">
      <c r="A1557" s="7"/>
      <c r="B1557"/>
      <c r="D1557" s="1"/>
      <c r="I1557" s="3"/>
      <c r="J1557" s="17"/>
      <c r="K1557" s="17"/>
      <c r="L1557" s="18"/>
      <c r="M1557" s="18"/>
      <c r="P1557" s="3"/>
      <c r="Q1557" s="4"/>
      <c r="R1557" s="19"/>
      <c r="S1557" s="20"/>
      <c r="U1557" s="3" t="str">
        <f t="shared" si="52"/>
        <v/>
      </c>
      <c r="V1557" s="4" t="str">
        <f t="shared" si="53"/>
        <v/>
      </c>
      <c r="W1557" s="21" t="e" cm="1">
        <f t="array" ref="W1557">_xlfn.IFS(
  A1557="BELL", "WHITE",
  A1557="GAMP", "ORANGE",
  A1557="GAMM", "GREEN",
  A1557="BWF", "YELLOW",
  OR(A1557="TNBE", A1557="TNBL", A1557="TNBD", A1557="TNWC", A1557="TNBW", A1557="THBS"), "PINK",
  A1557="CRWD", "BLUE",
  A1557="PASS", "WHITE"
)</f>
        <v>#N/A</v>
      </c>
    </row>
    <row r="1558" spans="1:23" x14ac:dyDescent="0.25">
      <c r="A1558" s="7"/>
      <c r="B1558"/>
      <c r="D1558" s="1"/>
      <c r="I1558" s="3"/>
      <c r="J1558" s="17"/>
      <c r="K1558" s="17"/>
      <c r="L1558" s="18"/>
      <c r="M1558" s="18"/>
      <c r="P1558" s="3"/>
      <c r="Q1558" s="4"/>
      <c r="R1558" s="19"/>
      <c r="S1558" s="20"/>
      <c r="U1558" s="3" t="str">
        <f t="shared" si="52"/>
        <v/>
      </c>
      <c r="V1558" s="4" t="str">
        <f t="shared" si="53"/>
        <v/>
      </c>
      <c r="W1558" s="21" t="e" cm="1">
        <f t="array" ref="W1558">_xlfn.IFS(
  A1558="BELL", "WHITE",
  A1558="GAMP", "ORANGE",
  A1558="GAMM", "GREEN",
  A1558="BWF", "YELLOW",
  OR(A1558="TNBE", A1558="TNBL", A1558="TNBD", A1558="TNWC", A1558="TNBW", A1558="THBS"), "PINK",
  A1558="CRWD", "BLUE",
  A1558="PASS", "WHITE"
)</f>
        <v>#N/A</v>
      </c>
    </row>
    <row r="1559" spans="1:23" x14ac:dyDescent="0.25">
      <c r="A1559" s="7"/>
      <c r="B1559"/>
      <c r="D1559" s="1"/>
      <c r="I1559" s="3"/>
      <c r="J1559" s="17"/>
      <c r="K1559" s="17"/>
      <c r="L1559" s="18"/>
      <c r="M1559" s="18"/>
      <c r="P1559" s="3"/>
      <c r="Q1559" s="4"/>
      <c r="R1559" s="19"/>
      <c r="S1559" s="20"/>
      <c r="U1559" s="3" t="str">
        <f t="shared" si="52"/>
        <v/>
      </c>
      <c r="V1559" s="4" t="str">
        <f t="shared" si="53"/>
        <v/>
      </c>
      <c r="W1559" s="21" t="e" cm="1">
        <f t="array" ref="W1559">_xlfn.IFS(
  A1559="BELL", "WHITE",
  A1559="GAMP", "ORANGE",
  A1559="GAMM", "GREEN",
  A1559="BWF", "YELLOW",
  OR(A1559="TNBE", A1559="TNBL", A1559="TNBD", A1559="TNWC", A1559="TNBW", A1559="THBS"), "PINK",
  A1559="CRWD", "BLUE",
  A1559="PASS", "WHITE"
)</f>
        <v>#N/A</v>
      </c>
    </row>
    <row r="1560" spans="1:23" x14ac:dyDescent="0.25">
      <c r="A1560" s="7"/>
      <c r="B1560"/>
      <c r="D1560" s="1"/>
      <c r="I1560" s="3"/>
      <c r="J1560" s="17"/>
      <c r="K1560" s="17"/>
      <c r="L1560" s="18"/>
      <c r="M1560" s="18"/>
      <c r="P1560" s="3"/>
      <c r="Q1560" s="4"/>
      <c r="R1560" s="19"/>
      <c r="S1560" s="20"/>
      <c r="U1560" s="3" t="str">
        <f t="shared" si="52"/>
        <v/>
      </c>
      <c r="V1560" s="4" t="str">
        <f t="shared" si="53"/>
        <v/>
      </c>
      <c r="W1560" s="21" t="e" cm="1">
        <f t="array" ref="W1560">_xlfn.IFS(
  A1560="BELL", "WHITE",
  A1560="GAMP", "ORANGE",
  A1560="GAMM", "GREEN",
  A1560="BWF", "YELLOW",
  OR(A1560="TNBE", A1560="TNBL", A1560="TNBD", A1560="TNWC", A1560="TNBW", A1560="THBS"), "PINK",
  A1560="CRWD", "BLUE",
  A1560="PASS", "WHITE"
)</f>
        <v>#N/A</v>
      </c>
    </row>
    <row r="1561" spans="1:23" x14ac:dyDescent="0.25">
      <c r="A1561" s="7"/>
      <c r="B1561"/>
      <c r="D1561" s="1"/>
      <c r="I1561" s="3"/>
      <c r="J1561" s="17"/>
      <c r="K1561" s="17"/>
      <c r="L1561" s="18"/>
      <c r="M1561" s="18"/>
      <c r="P1561" s="3"/>
      <c r="Q1561" s="4"/>
      <c r="R1561" s="19"/>
      <c r="S1561" s="20"/>
      <c r="U1561" s="3" t="str">
        <f t="shared" si="52"/>
        <v/>
      </c>
      <c r="V1561" s="4" t="str">
        <f t="shared" si="53"/>
        <v/>
      </c>
      <c r="W1561" s="21" t="e" cm="1">
        <f t="array" ref="W1561">_xlfn.IFS(
  A1561="BELL", "WHITE",
  A1561="GAMP", "ORANGE",
  A1561="GAMM", "GREEN",
  A1561="BWF", "YELLOW",
  OR(A1561="TNBE", A1561="TNBL", A1561="TNBD", A1561="TNWC", A1561="TNBW", A1561="THBS"), "PINK",
  A1561="CRWD", "BLUE",
  A1561="PASS", "WHITE"
)</f>
        <v>#N/A</v>
      </c>
    </row>
    <row r="1562" spans="1:23" x14ac:dyDescent="0.25">
      <c r="A1562" s="7"/>
      <c r="B1562"/>
      <c r="D1562" s="1"/>
      <c r="I1562" s="3"/>
      <c r="J1562" s="17"/>
      <c r="K1562" s="17"/>
      <c r="L1562" s="18"/>
      <c r="M1562" s="18"/>
      <c r="P1562" s="3"/>
      <c r="Q1562" s="4"/>
      <c r="R1562" s="19"/>
      <c r="S1562" s="20"/>
      <c r="U1562" s="3" t="str">
        <f t="shared" si="52"/>
        <v/>
      </c>
      <c r="V1562" s="4" t="str">
        <f t="shared" si="53"/>
        <v/>
      </c>
      <c r="W1562" s="21" t="e" cm="1">
        <f t="array" ref="W1562">_xlfn.IFS(
  A1562="BELL", "WHITE",
  A1562="GAMP", "ORANGE",
  A1562="GAMM", "GREEN",
  A1562="BWF", "YELLOW",
  OR(A1562="TNBE", A1562="TNBL", A1562="TNBD", A1562="TNWC", A1562="TNBW", A1562="THBS"), "PINK",
  A1562="CRWD", "BLUE",
  A1562="PASS", "WHITE"
)</f>
        <v>#N/A</v>
      </c>
    </row>
    <row r="1563" spans="1:23" x14ac:dyDescent="0.25">
      <c r="A1563" s="7"/>
      <c r="B1563"/>
      <c r="D1563" s="1"/>
      <c r="I1563" s="3"/>
      <c r="J1563" s="17"/>
      <c r="K1563" s="17"/>
      <c r="L1563" s="18"/>
      <c r="M1563" s="3"/>
      <c r="P1563" s="3"/>
      <c r="Q1563" s="4"/>
      <c r="R1563" s="19"/>
      <c r="S1563" s="20"/>
      <c r="U1563" s="3" t="str">
        <f t="shared" si="52"/>
        <v/>
      </c>
      <c r="V1563" s="4" t="str">
        <f t="shared" si="53"/>
        <v/>
      </c>
      <c r="W1563" s="21" t="e" cm="1">
        <f t="array" ref="W1563">_xlfn.IFS(
  A1563="BELL", "WHITE",
  A1563="GAMP", "ORANGE",
  A1563="GAMM", "GREEN",
  A1563="BWF", "YELLOW",
  OR(A1563="TNBE", A1563="TNBL", A1563="TNBD", A1563="TNWC", A1563="TNBW", A1563="THBS"), "PINK",
  A1563="CRWD", "BLUE",
  A1563="PASS", "WHITE"
)</f>
        <v>#N/A</v>
      </c>
    </row>
    <row r="1564" spans="1:23" x14ac:dyDescent="0.25">
      <c r="A1564" s="7"/>
      <c r="B1564"/>
      <c r="D1564" s="1"/>
      <c r="I1564" s="3"/>
      <c r="J1564" s="17"/>
      <c r="K1564" s="17"/>
      <c r="L1564" s="18"/>
      <c r="M1564" s="18"/>
      <c r="P1564" s="3"/>
      <c r="Q1564" s="4"/>
      <c r="R1564" s="19"/>
      <c r="S1564" s="20"/>
      <c r="U1564" s="3" t="str">
        <f t="shared" si="52"/>
        <v/>
      </c>
      <c r="V1564" s="4" t="str">
        <f t="shared" si="53"/>
        <v/>
      </c>
      <c r="W1564" s="21" t="e" cm="1">
        <f t="array" ref="W1564">_xlfn.IFS(
  A1564="BELL", "WHITE",
  A1564="GAMP", "ORANGE",
  A1564="GAMM", "GREEN",
  A1564="BWF", "YELLOW",
  OR(A1564="TNBE", A1564="TNBL", A1564="TNBD", A1564="TNWC", A1564="TNBW", A1564="THBS"), "PINK",
  A1564="CRWD", "BLUE",
  A1564="PASS", "WHITE"
)</f>
        <v>#N/A</v>
      </c>
    </row>
    <row r="1565" spans="1:23" x14ac:dyDescent="0.25">
      <c r="A1565" s="7"/>
      <c r="B1565"/>
      <c r="D1565" s="1"/>
      <c r="I1565" s="3"/>
      <c r="J1565" s="17"/>
      <c r="K1565" s="17"/>
      <c r="L1565" s="18"/>
      <c r="M1565" s="18"/>
      <c r="P1565" s="3"/>
      <c r="Q1565" s="4"/>
      <c r="R1565" s="19"/>
      <c r="S1565" s="20"/>
      <c r="U1565" s="3" t="str">
        <f t="shared" si="52"/>
        <v/>
      </c>
      <c r="V1565" s="4" t="str">
        <f t="shared" si="53"/>
        <v/>
      </c>
      <c r="W1565" s="21" t="e" cm="1">
        <f t="array" ref="W1565">_xlfn.IFS(
  A1565="BELL", "WHITE",
  A1565="GAMP", "ORANGE",
  A1565="GAMM", "GREEN",
  A1565="BWF", "YELLOW",
  OR(A1565="TNBE", A1565="TNBL", A1565="TNBD", A1565="TNWC", A1565="TNBW", A1565="THBS"), "PINK",
  A1565="CRWD", "BLUE",
  A1565="PASS", "WHITE"
)</f>
        <v>#N/A</v>
      </c>
    </row>
    <row r="1566" spans="1:23" x14ac:dyDescent="0.25">
      <c r="A1566" s="7"/>
      <c r="B1566"/>
      <c r="D1566" s="1"/>
      <c r="I1566" s="3"/>
      <c r="J1566" s="17"/>
      <c r="K1566" s="17"/>
      <c r="L1566" s="18"/>
      <c r="M1566" s="18"/>
      <c r="P1566" s="3"/>
      <c r="Q1566" s="4"/>
      <c r="R1566" s="19"/>
      <c r="S1566" s="20"/>
      <c r="U1566" s="3" t="str">
        <f t="shared" si="52"/>
        <v/>
      </c>
      <c r="V1566" s="4" t="str">
        <f t="shared" si="53"/>
        <v/>
      </c>
      <c r="W1566" s="21" t="e" cm="1">
        <f t="array" ref="W1566">_xlfn.IFS(
  A1566="BELL", "WHITE",
  A1566="GAMP", "ORANGE",
  A1566="GAMM", "GREEN",
  A1566="BWF", "YELLOW",
  OR(A1566="TNBE", A1566="TNBL", A1566="TNBD", A1566="TNWC", A1566="TNBW", A1566="THBS"), "PINK",
  A1566="CRWD", "BLUE",
  A1566="PASS", "WHITE"
)</f>
        <v>#N/A</v>
      </c>
    </row>
    <row r="1567" spans="1:23" x14ac:dyDescent="0.25">
      <c r="A1567" s="7"/>
      <c r="B1567"/>
      <c r="D1567" s="1"/>
      <c r="I1567" s="3"/>
      <c r="J1567" s="17"/>
      <c r="K1567" s="17"/>
      <c r="L1567" s="18"/>
      <c r="M1567" s="18"/>
      <c r="P1567" s="3"/>
      <c r="Q1567" s="4"/>
      <c r="R1567" s="19"/>
      <c r="S1567" s="20"/>
      <c r="U1567" s="3" t="str">
        <f t="shared" si="52"/>
        <v/>
      </c>
      <c r="V1567" s="4" t="str">
        <f t="shared" si="53"/>
        <v/>
      </c>
      <c r="W1567" s="21" t="e" cm="1">
        <f t="array" ref="W1567">_xlfn.IFS(
  A1567="BELL", "WHITE",
  A1567="GAMP", "ORANGE",
  A1567="GAMM", "GREEN",
  A1567="BWF", "YELLOW",
  OR(A1567="TNBE", A1567="TNBL", A1567="TNBD", A1567="TNWC", A1567="TNBW", A1567="THBS"), "PINK",
  A1567="CRWD", "BLUE",
  A1567="PASS", "WHITE"
)</f>
        <v>#N/A</v>
      </c>
    </row>
    <row r="1568" spans="1:23" x14ac:dyDescent="0.25">
      <c r="A1568" s="7"/>
      <c r="B1568"/>
      <c r="D1568" s="1"/>
      <c r="I1568" s="3"/>
      <c r="J1568" s="17"/>
      <c r="K1568" s="17"/>
      <c r="L1568" s="18"/>
      <c r="M1568" s="18"/>
      <c r="P1568" s="3"/>
      <c r="Q1568" s="4"/>
      <c r="R1568" s="19"/>
      <c r="S1568" s="20"/>
      <c r="U1568" s="3" t="str">
        <f t="shared" si="52"/>
        <v/>
      </c>
      <c r="V1568" s="4" t="str">
        <f t="shared" si="53"/>
        <v/>
      </c>
      <c r="W1568" s="21" t="e" cm="1">
        <f t="array" ref="W1568">_xlfn.IFS(
  A1568="BELL", "WHITE",
  A1568="GAMP", "ORANGE",
  A1568="GAMM", "GREEN",
  A1568="BWF", "YELLOW",
  OR(A1568="TNBE", A1568="TNBL", A1568="TNBD", A1568="TNWC", A1568="TNBW", A1568="THBS"), "PINK",
  A1568="CRWD", "BLUE",
  A1568="PASS", "WHITE"
)</f>
        <v>#N/A</v>
      </c>
    </row>
    <row r="1569" spans="1:23" x14ac:dyDescent="0.25">
      <c r="A1569" s="7"/>
      <c r="B1569"/>
      <c r="D1569" s="1"/>
      <c r="I1569" s="3"/>
      <c r="J1569" s="17"/>
      <c r="K1569" s="17"/>
      <c r="L1569" s="18"/>
      <c r="M1569" s="3"/>
      <c r="P1569" s="3"/>
      <c r="Q1569" s="4"/>
      <c r="R1569" s="19"/>
      <c r="S1569" s="20"/>
      <c r="U1569" s="3" t="str">
        <f t="shared" si="52"/>
        <v/>
      </c>
      <c r="V1569" s="4" t="str">
        <f t="shared" si="53"/>
        <v/>
      </c>
      <c r="W1569" s="21" t="e" cm="1">
        <f t="array" ref="W1569">_xlfn.IFS(
  A1569="BELL", "WHITE",
  A1569="GAMP", "ORANGE",
  A1569="GAMM", "GREEN",
  A1569="BWF", "YELLOW",
  OR(A1569="TNBE", A1569="TNBL", A1569="TNBD", A1569="TNWC", A1569="TNBW", A1569="THBS"), "PINK",
  A1569="CRWD", "BLUE",
  A1569="PASS", "WHITE"
)</f>
        <v>#N/A</v>
      </c>
    </row>
    <row r="1570" spans="1:23" x14ac:dyDescent="0.25">
      <c r="A1570" s="7"/>
      <c r="B1570"/>
      <c r="D1570" s="1"/>
      <c r="I1570" s="3"/>
      <c r="J1570" s="17"/>
      <c r="K1570" s="17"/>
      <c r="L1570" s="18"/>
      <c r="M1570" s="3"/>
      <c r="P1570" s="3"/>
      <c r="Q1570" s="4"/>
      <c r="R1570" s="19"/>
      <c r="S1570" s="20"/>
      <c r="U1570" s="3" t="str">
        <f t="shared" si="52"/>
        <v/>
      </c>
      <c r="V1570" s="4" t="str">
        <f t="shared" si="53"/>
        <v/>
      </c>
      <c r="W1570" s="21" t="e" cm="1">
        <f t="array" ref="W1570">_xlfn.IFS(
  A1570="BELL", "WHITE",
  A1570="GAMP", "ORANGE",
  A1570="GAMM", "GREEN",
  A1570="BWF", "YELLOW",
  OR(A1570="TNBE", A1570="TNBL", A1570="TNBD", A1570="TNWC", A1570="TNBW", A1570="THBS"), "PINK",
  A1570="CRWD", "BLUE",
  A1570="PASS", "WHITE"
)</f>
        <v>#N/A</v>
      </c>
    </row>
    <row r="1571" spans="1:23" x14ac:dyDescent="0.25">
      <c r="A1571" s="7"/>
      <c r="B1571"/>
      <c r="D1571" s="1"/>
      <c r="I1571" s="3"/>
      <c r="J1571" s="17"/>
      <c r="K1571" s="17"/>
      <c r="L1571" s="18"/>
      <c r="M1571" s="18"/>
      <c r="P1571" s="3"/>
      <c r="Q1571" s="4"/>
      <c r="R1571" s="19"/>
      <c r="S1571" s="20"/>
      <c r="U1571" s="3" t="str">
        <f t="shared" si="52"/>
        <v/>
      </c>
      <c r="V1571" s="4" t="str">
        <f t="shared" si="53"/>
        <v/>
      </c>
      <c r="W1571" s="21" t="e" cm="1">
        <f t="array" ref="W1571">_xlfn.IFS(
  A1571="BELL", "WHITE",
  A1571="GAMP", "ORANGE",
  A1571="GAMM", "GREEN",
  A1571="BWF", "YELLOW",
  OR(A1571="TNBE", A1571="TNBL", A1571="TNBD", A1571="TNWC", A1571="TNBW", A1571="THBS"), "PINK",
  A1571="CRWD", "BLUE",
  A1571="PASS", "WHITE"
)</f>
        <v>#N/A</v>
      </c>
    </row>
    <row r="1572" spans="1:23" x14ac:dyDescent="0.25">
      <c r="A1572" s="7"/>
      <c r="B1572"/>
      <c r="D1572" s="1"/>
      <c r="I1572" s="3"/>
      <c r="J1572" s="17"/>
      <c r="K1572" s="17"/>
      <c r="L1572" s="18"/>
      <c r="M1572" s="18"/>
      <c r="P1572" s="3"/>
      <c r="Q1572" s="4"/>
      <c r="R1572" s="19"/>
      <c r="S1572" s="20"/>
      <c r="U1572" s="3" t="str">
        <f t="shared" si="52"/>
        <v/>
      </c>
      <c r="V1572" s="4" t="str">
        <f t="shared" si="53"/>
        <v/>
      </c>
      <c r="W1572" s="21" t="e" cm="1">
        <f t="array" ref="W1572">_xlfn.IFS(
  A1572="BELL", "WHITE",
  A1572="GAMP", "ORANGE",
  A1572="GAMM", "GREEN",
  A1572="BWF", "YELLOW",
  OR(A1572="TNBE", A1572="TNBL", A1572="TNBD", A1572="TNWC", A1572="TNBW", A1572="THBS"), "PINK",
  A1572="CRWD", "BLUE",
  A1572="PASS", "WHITE"
)</f>
        <v>#N/A</v>
      </c>
    </row>
    <row r="1573" spans="1:23" x14ac:dyDescent="0.25">
      <c r="A1573" s="7"/>
      <c r="B1573"/>
      <c r="D1573" s="1"/>
      <c r="I1573" s="3"/>
      <c r="J1573" s="17"/>
      <c r="K1573" s="17"/>
      <c r="L1573" s="18"/>
      <c r="M1573" s="18"/>
      <c r="P1573" s="3"/>
      <c r="Q1573" s="4"/>
      <c r="R1573" s="19"/>
      <c r="S1573" s="20"/>
      <c r="U1573" s="3" t="str">
        <f t="shared" si="52"/>
        <v/>
      </c>
      <c r="V1573" s="4" t="str">
        <f t="shared" si="53"/>
        <v/>
      </c>
      <c r="W1573" s="21" t="e" cm="1">
        <f t="array" ref="W1573">_xlfn.IFS(
  A1573="BELL", "WHITE",
  A1573="GAMP", "ORANGE",
  A1573="GAMM", "GREEN",
  A1573="BWF", "YELLOW",
  OR(A1573="TNBE", A1573="TNBL", A1573="TNBD", A1573="TNWC", A1573="TNBW", A1573="THBS"), "PINK",
  A1573="CRWD", "BLUE",
  A1573="PASS", "WHITE"
)</f>
        <v>#N/A</v>
      </c>
    </row>
    <row r="1574" spans="1:23" x14ac:dyDescent="0.25">
      <c r="A1574" s="7"/>
      <c r="B1574"/>
      <c r="D1574" s="1"/>
      <c r="I1574" s="3"/>
      <c r="J1574" s="17"/>
      <c r="K1574" s="17"/>
      <c r="L1574" s="18"/>
      <c r="M1574" s="18"/>
      <c r="P1574" s="3"/>
      <c r="Q1574" s="4"/>
      <c r="R1574" s="19"/>
      <c r="S1574" s="20"/>
      <c r="U1574" s="3" t="str">
        <f t="shared" si="52"/>
        <v/>
      </c>
      <c r="V1574" s="4" t="str">
        <f t="shared" si="53"/>
        <v/>
      </c>
      <c r="W1574" s="21" t="e" cm="1">
        <f t="array" ref="W1574">_xlfn.IFS(
  A1574="BELL", "WHITE",
  A1574="GAMP", "ORANGE",
  A1574="GAMM", "GREEN",
  A1574="BWF", "YELLOW",
  OR(A1574="TNBE", A1574="TNBL", A1574="TNBD", A1574="TNWC", A1574="TNBW", A1574="THBS"), "PINK",
  A1574="CRWD", "BLUE",
  A1574="PASS", "WHITE"
)</f>
        <v>#N/A</v>
      </c>
    </row>
    <row r="1575" spans="1:23" x14ac:dyDescent="0.25">
      <c r="A1575" s="7"/>
      <c r="B1575"/>
      <c r="D1575" s="1"/>
      <c r="I1575" s="3"/>
      <c r="J1575" s="17"/>
      <c r="K1575" s="17"/>
      <c r="L1575" s="18"/>
      <c r="M1575" s="18"/>
      <c r="P1575" s="3"/>
      <c r="Q1575" s="4"/>
      <c r="R1575" s="19"/>
      <c r="S1575" s="20"/>
      <c r="U1575" s="3" t="str">
        <f t="shared" si="52"/>
        <v/>
      </c>
      <c r="V1575" s="4" t="str">
        <f t="shared" si="53"/>
        <v/>
      </c>
      <c r="W1575" s="21" t="e" cm="1">
        <f t="array" ref="W1575">_xlfn.IFS(
  A1575="BELL", "WHITE",
  A1575="GAMP", "ORANGE",
  A1575="GAMM", "GREEN",
  A1575="BWF", "YELLOW",
  OR(A1575="TNBE", A1575="TNBL", A1575="TNBD", A1575="TNWC", A1575="TNBW", A1575="THBS"), "PINK",
  A1575="CRWD", "BLUE",
  A1575="PASS", "WHITE"
)</f>
        <v>#N/A</v>
      </c>
    </row>
    <row r="1576" spans="1:23" x14ac:dyDescent="0.25">
      <c r="A1576" s="7"/>
      <c r="B1576"/>
      <c r="D1576" s="1"/>
      <c r="I1576" s="3"/>
      <c r="J1576" s="17"/>
      <c r="K1576" s="17"/>
      <c r="L1576" s="18"/>
      <c r="M1576" s="18"/>
      <c r="P1576" s="3"/>
      <c r="Q1576" s="4"/>
      <c r="R1576" s="19"/>
      <c r="S1576" s="20"/>
      <c r="U1576" s="3" t="str">
        <f t="shared" si="52"/>
        <v/>
      </c>
      <c r="V1576" s="4" t="str">
        <f t="shared" si="53"/>
        <v/>
      </c>
      <c r="W1576" s="21" t="e" cm="1">
        <f t="array" ref="W1576">_xlfn.IFS(
  A1576="BELL", "WHITE",
  A1576="GAMP", "ORANGE",
  A1576="GAMM", "GREEN",
  A1576="BWF", "YELLOW",
  OR(A1576="TNBE", A1576="TNBL", A1576="TNBD", A1576="TNWC", A1576="TNBW", A1576="THBS"), "PINK",
  A1576="CRWD", "BLUE",
  A1576="PASS", "WHITE"
)</f>
        <v>#N/A</v>
      </c>
    </row>
    <row r="1577" spans="1:23" x14ac:dyDescent="0.25">
      <c r="A1577" s="7"/>
      <c r="B1577"/>
      <c r="D1577" s="1"/>
      <c r="I1577" s="3"/>
      <c r="J1577" s="17"/>
      <c r="K1577" s="17"/>
      <c r="L1577" s="18"/>
      <c r="M1577" s="3"/>
      <c r="P1577" s="3"/>
      <c r="Q1577" s="4"/>
      <c r="R1577" s="19"/>
      <c r="S1577" s="20"/>
      <c r="U1577" s="3" t="str">
        <f t="shared" si="52"/>
        <v/>
      </c>
      <c r="V1577" s="4" t="str">
        <f t="shared" si="53"/>
        <v/>
      </c>
      <c r="W1577" s="21" t="e" cm="1">
        <f t="array" ref="W1577">_xlfn.IFS(
  A1577="BELL", "WHITE",
  A1577="GAMP", "ORANGE",
  A1577="GAMM", "GREEN",
  A1577="BWF", "YELLOW",
  OR(A1577="TNBE", A1577="TNBL", A1577="TNBD", A1577="TNWC", A1577="TNBW", A1577="THBS"), "PINK",
  A1577="CRWD", "BLUE",
  A1577="PASS", "WHITE"
)</f>
        <v>#N/A</v>
      </c>
    </row>
    <row r="1578" spans="1:23" x14ac:dyDescent="0.25">
      <c r="A1578" s="7"/>
      <c r="B1578"/>
      <c r="D1578" s="1"/>
      <c r="I1578" s="3"/>
      <c r="J1578" s="17"/>
      <c r="K1578" s="17"/>
      <c r="L1578" s="18"/>
      <c r="M1578" s="18"/>
      <c r="P1578" s="3"/>
      <c r="Q1578" s="4"/>
      <c r="R1578" s="19"/>
      <c r="S1578" s="20"/>
      <c r="U1578" s="3" t="str">
        <f t="shared" si="52"/>
        <v/>
      </c>
      <c r="V1578" s="4" t="str">
        <f t="shared" si="53"/>
        <v/>
      </c>
      <c r="W1578" s="21" t="e" cm="1">
        <f t="array" ref="W1578">_xlfn.IFS(
  A1578="BELL", "WHITE",
  A1578="GAMP", "ORANGE",
  A1578="GAMM", "GREEN",
  A1578="BWF", "YELLOW",
  OR(A1578="TNBE", A1578="TNBL", A1578="TNBD", A1578="TNWC", A1578="TNBW", A1578="THBS"), "PINK",
  A1578="CRWD", "BLUE",
  A1578="PASS", "WHITE"
)</f>
        <v>#N/A</v>
      </c>
    </row>
    <row r="1579" spans="1:23" x14ac:dyDescent="0.25">
      <c r="A1579" s="7"/>
      <c r="B1579"/>
      <c r="D1579" s="1"/>
      <c r="I1579" s="3"/>
      <c r="J1579" s="17"/>
      <c r="K1579" s="17"/>
      <c r="L1579" s="18"/>
      <c r="M1579" s="18"/>
      <c r="P1579" s="3"/>
      <c r="Q1579" s="4"/>
      <c r="R1579" s="19"/>
      <c r="S1579" s="20"/>
      <c r="U1579" s="3" t="str">
        <f t="shared" si="52"/>
        <v/>
      </c>
      <c r="V1579" s="4" t="str">
        <f t="shared" si="53"/>
        <v/>
      </c>
      <c r="W1579" s="21" t="e" cm="1">
        <f t="array" ref="W1579">_xlfn.IFS(
  A1579="BELL", "WHITE",
  A1579="GAMP", "ORANGE",
  A1579="GAMM", "GREEN",
  A1579="BWF", "YELLOW",
  OR(A1579="TNBE", A1579="TNBL", A1579="TNBD", A1579="TNWC", A1579="TNBW", A1579="THBS"), "PINK",
  A1579="CRWD", "BLUE",
  A1579="PASS", "WHITE"
)</f>
        <v>#N/A</v>
      </c>
    </row>
    <row r="1580" spans="1:23" x14ac:dyDescent="0.25">
      <c r="A1580" s="7"/>
      <c r="B1580"/>
      <c r="D1580" s="1"/>
      <c r="I1580" s="3"/>
      <c r="J1580" s="17"/>
      <c r="K1580" s="17"/>
      <c r="L1580" s="18"/>
      <c r="M1580" s="18"/>
      <c r="P1580" s="3"/>
      <c r="Q1580" s="4"/>
      <c r="R1580" s="19"/>
      <c r="S1580" s="20"/>
      <c r="U1580" s="3" t="str">
        <f t="shared" si="52"/>
        <v/>
      </c>
      <c r="V1580" s="4" t="str">
        <f t="shared" si="53"/>
        <v/>
      </c>
      <c r="W1580" s="21" t="e" cm="1">
        <f t="array" ref="W1580">_xlfn.IFS(
  A1580="BELL", "WHITE",
  A1580="GAMP", "ORANGE",
  A1580="GAMM", "GREEN",
  A1580="BWF", "YELLOW",
  OR(A1580="TNBE", A1580="TNBL", A1580="TNBD", A1580="TNWC", A1580="TNBW", A1580="THBS"), "PINK",
  A1580="CRWD", "BLUE",
  A1580="PASS", "WHITE"
)</f>
        <v>#N/A</v>
      </c>
    </row>
    <row r="1581" spans="1:23" x14ac:dyDescent="0.25">
      <c r="A1581" s="7"/>
      <c r="B1581"/>
      <c r="D1581" s="1"/>
      <c r="I1581" s="3"/>
      <c r="J1581" s="17"/>
      <c r="K1581" s="17"/>
      <c r="L1581" s="18"/>
      <c r="M1581" s="18"/>
      <c r="P1581" s="3"/>
      <c r="Q1581" s="4"/>
      <c r="R1581" s="19"/>
      <c r="S1581" s="20"/>
      <c r="U1581" s="3" t="str">
        <f t="shared" si="52"/>
        <v/>
      </c>
      <c r="V1581" s="4" t="str">
        <f t="shared" si="53"/>
        <v/>
      </c>
      <c r="W1581" s="21" t="e" cm="1">
        <f t="array" ref="W1581">_xlfn.IFS(
  A1581="BELL", "WHITE",
  A1581="GAMP", "ORANGE",
  A1581="GAMM", "GREEN",
  A1581="BWF", "YELLOW",
  OR(A1581="TNBE", A1581="TNBL", A1581="TNBD", A1581="TNWC", A1581="TNBW", A1581="THBS"), "PINK",
  A1581="CRWD", "BLUE",
  A1581="PASS", "WHITE"
)</f>
        <v>#N/A</v>
      </c>
    </row>
    <row r="1582" spans="1:23" x14ac:dyDescent="0.25">
      <c r="A1582" s="7"/>
      <c r="B1582"/>
      <c r="D1582" s="1"/>
      <c r="I1582" s="3"/>
      <c r="J1582" s="17"/>
      <c r="K1582" s="17"/>
      <c r="L1582" s="18"/>
      <c r="M1582" s="18"/>
      <c r="P1582" s="3"/>
      <c r="Q1582" s="4"/>
      <c r="R1582" s="19"/>
      <c r="S1582" s="20"/>
      <c r="U1582" s="3" t="str">
        <f t="shared" si="52"/>
        <v/>
      </c>
      <c r="V1582" s="4" t="str">
        <f t="shared" si="53"/>
        <v/>
      </c>
      <c r="W1582" s="21" t="e" cm="1">
        <f t="array" ref="W1582">_xlfn.IFS(
  A1582="BELL", "WHITE",
  A1582="GAMP", "ORANGE",
  A1582="GAMM", "GREEN",
  A1582="BWF", "YELLOW",
  OR(A1582="TNBE", A1582="TNBL", A1582="TNBD", A1582="TNWC", A1582="TNBW", A1582="THBS"), "PINK",
  A1582="CRWD", "BLUE",
  A1582="PASS", "WHITE"
)</f>
        <v>#N/A</v>
      </c>
    </row>
    <row r="1583" spans="1:23" x14ac:dyDescent="0.25">
      <c r="A1583" s="7"/>
      <c r="B1583"/>
      <c r="D1583" s="1"/>
      <c r="I1583" s="3"/>
      <c r="J1583" s="17"/>
      <c r="K1583" s="17"/>
      <c r="L1583" s="18"/>
      <c r="M1583" s="3"/>
      <c r="P1583" s="3"/>
      <c r="Q1583" s="4"/>
      <c r="R1583" s="19"/>
      <c r="S1583" s="20"/>
      <c r="U1583" s="3" t="str">
        <f t="shared" si="52"/>
        <v/>
      </c>
      <c r="V1583" s="4" t="str">
        <f t="shared" si="53"/>
        <v/>
      </c>
      <c r="W1583" s="21" t="e" cm="1">
        <f t="array" ref="W1583">_xlfn.IFS(
  A1583="BELL", "WHITE",
  A1583="GAMP", "ORANGE",
  A1583="GAMM", "GREEN",
  A1583="BWF", "YELLOW",
  OR(A1583="TNBE", A1583="TNBL", A1583="TNBD", A1583="TNWC", A1583="TNBW", A1583="THBS"), "PINK",
  A1583="CRWD", "BLUE",
  A1583="PASS", "WHITE"
)</f>
        <v>#N/A</v>
      </c>
    </row>
    <row r="1584" spans="1:23" x14ac:dyDescent="0.25">
      <c r="A1584" s="7"/>
      <c r="B1584"/>
      <c r="D1584" s="1"/>
      <c r="I1584" s="3"/>
      <c r="J1584" s="17"/>
      <c r="K1584" s="17"/>
      <c r="L1584" s="18"/>
      <c r="M1584" s="3"/>
      <c r="P1584" s="3"/>
      <c r="Q1584" s="4"/>
      <c r="R1584" s="19"/>
      <c r="S1584" s="20"/>
      <c r="U1584" s="3" t="str">
        <f t="shared" si="52"/>
        <v/>
      </c>
      <c r="V1584" s="4" t="str">
        <f t="shared" si="53"/>
        <v/>
      </c>
      <c r="W1584" s="21" t="e" cm="1">
        <f t="array" ref="W1584">_xlfn.IFS(
  A1584="BELL", "WHITE",
  A1584="GAMP", "ORANGE",
  A1584="GAMM", "GREEN",
  A1584="BWF", "YELLOW",
  OR(A1584="TNBE", A1584="TNBL", A1584="TNBD", A1584="TNWC", A1584="TNBW", A1584="THBS"), "PINK",
  A1584="CRWD", "BLUE",
  A1584="PASS", "WHITE"
)</f>
        <v>#N/A</v>
      </c>
    </row>
    <row r="1585" spans="1:23" x14ac:dyDescent="0.25">
      <c r="A1585" s="7"/>
      <c r="B1585"/>
      <c r="D1585" s="1"/>
      <c r="I1585" s="3"/>
      <c r="J1585" s="17"/>
      <c r="K1585" s="17"/>
      <c r="L1585" s="18"/>
      <c r="M1585" s="3"/>
      <c r="P1585" s="3"/>
      <c r="Q1585" s="4"/>
      <c r="R1585" s="19"/>
      <c r="S1585" s="20"/>
      <c r="U1585" s="3" t="str">
        <f t="shared" si="52"/>
        <v/>
      </c>
      <c r="V1585" s="4" t="str">
        <f t="shared" si="53"/>
        <v/>
      </c>
      <c r="W1585" s="21" t="e" cm="1">
        <f t="array" ref="W1585">_xlfn.IFS(
  A1585="BELL", "WHITE",
  A1585="GAMP", "ORANGE",
  A1585="GAMM", "GREEN",
  A1585="BWF", "YELLOW",
  OR(A1585="TNBE", A1585="TNBL", A1585="TNBD", A1585="TNWC", A1585="TNBW", A1585="THBS"), "PINK",
  A1585="CRWD", "BLUE",
  A1585="PASS", "WHITE"
)</f>
        <v>#N/A</v>
      </c>
    </row>
    <row r="1586" spans="1:23" x14ac:dyDescent="0.25">
      <c r="A1586" s="7"/>
      <c r="B1586"/>
      <c r="D1586" s="1"/>
      <c r="I1586" s="3"/>
      <c r="J1586" s="17"/>
      <c r="K1586" s="17"/>
      <c r="L1586" s="18"/>
      <c r="M1586" s="18"/>
      <c r="P1586" s="3"/>
      <c r="Q1586" s="4"/>
      <c r="R1586" s="19"/>
      <c r="S1586" s="20"/>
      <c r="U1586" s="3" t="str">
        <f t="shared" si="52"/>
        <v/>
      </c>
      <c r="V1586" s="4" t="str">
        <f t="shared" si="53"/>
        <v/>
      </c>
      <c r="W1586" s="21" t="e" cm="1">
        <f t="array" ref="W1586">_xlfn.IFS(
  A1586="BELL", "WHITE",
  A1586="GAMP", "ORANGE",
  A1586="GAMM", "GREEN",
  A1586="BWF", "YELLOW",
  OR(A1586="TNBE", A1586="TNBL", A1586="TNBD", A1586="TNWC", A1586="TNBW", A1586="THBS"), "PINK",
  A1586="CRWD", "BLUE",
  A1586="PASS", "WHITE"
)</f>
        <v>#N/A</v>
      </c>
    </row>
    <row r="1587" spans="1:23" x14ac:dyDescent="0.25">
      <c r="A1587" s="7"/>
      <c r="B1587"/>
      <c r="D1587" s="1"/>
      <c r="I1587" s="3"/>
      <c r="J1587" s="17"/>
      <c r="K1587" s="17"/>
      <c r="L1587" s="18"/>
      <c r="M1587" s="18"/>
      <c r="P1587" s="3"/>
      <c r="Q1587" s="4"/>
      <c r="R1587" s="19"/>
      <c r="S1587" s="20"/>
      <c r="U1587" s="3" t="str">
        <f t="shared" si="52"/>
        <v/>
      </c>
      <c r="V1587" s="4" t="str">
        <f t="shared" si="53"/>
        <v/>
      </c>
      <c r="W1587" s="21" t="e" cm="1">
        <f t="array" ref="W1587">_xlfn.IFS(
  A1587="BELL", "WHITE",
  A1587="GAMP", "ORANGE",
  A1587="GAMM", "GREEN",
  A1587="BWF", "YELLOW",
  OR(A1587="TNBE", A1587="TNBL", A1587="TNBD", A1587="TNWC", A1587="TNBW", A1587="THBS"), "PINK",
  A1587="CRWD", "BLUE",
  A1587="PASS", "WHITE"
)</f>
        <v>#N/A</v>
      </c>
    </row>
    <row r="1588" spans="1:23" x14ac:dyDescent="0.25">
      <c r="A1588" s="7"/>
      <c r="B1588"/>
      <c r="D1588" s="1"/>
      <c r="I1588" s="3"/>
      <c r="J1588" s="17"/>
      <c r="K1588" s="17"/>
      <c r="L1588" s="18"/>
      <c r="M1588" s="18"/>
      <c r="P1588" s="3"/>
      <c r="Q1588" s="4"/>
      <c r="R1588" s="19"/>
      <c r="S1588" s="20"/>
      <c r="U1588" s="3" t="str">
        <f t="shared" si="52"/>
        <v/>
      </c>
      <c r="V1588" s="4" t="str">
        <f t="shared" si="53"/>
        <v/>
      </c>
      <c r="W1588" s="21" t="e" cm="1">
        <f t="array" ref="W1588">_xlfn.IFS(
  A1588="BELL", "WHITE",
  A1588="GAMP", "ORANGE",
  A1588="GAMM", "GREEN",
  A1588="BWF", "YELLOW",
  OR(A1588="TNBE", A1588="TNBL", A1588="TNBD", A1588="TNWC", A1588="TNBW", A1588="THBS"), "PINK",
  A1588="CRWD", "BLUE",
  A1588="PASS", "WHITE"
)</f>
        <v>#N/A</v>
      </c>
    </row>
    <row r="1589" spans="1:23" x14ac:dyDescent="0.25">
      <c r="A1589" s="7"/>
      <c r="B1589"/>
      <c r="D1589" s="1"/>
      <c r="I1589" s="3"/>
      <c r="J1589" s="17"/>
      <c r="K1589" s="17"/>
      <c r="L1589" s="18"/>
      <c r="M1589" s="18"/>
      <c r="P1589" s="3"/>
      <c r="Q1589" s="4"/>
      <c r="R1589" s="19"/>
      <c r="S1589" s="20"/>
      <c r="U1589" s="3" t="str">
        <f t="shared" si="52"/>
        <v/>
      </c>
      <c r="V1589" s="4" t="str">
        <f t="shared" si="53"/>
        <v/>
      </c>
      <c r="W1589" s="21" t="e" cm="1">
        <f t="array" ref="W1589">_xlfn.IFS(
  A1589="BELL", "WHITE",
  A1589="GAMP", "ORANGE",
  A1589="GAMM", "GREEN",
  A1589="BWF", "YELLOW",
  OR(A1589="TNBE", A1589="TNBL", A1589="TNBD", A1589="TNWC", A1589="TNBW", A1589="THBS"), "PINK",
  A1589="CRWD", "BLUE",
  A1589="PASS", "WHITE"
)</f>
        <v>#N/A</v>
      </c>
    </row>
    <row r="1590" spans="1:23" x14ac:dyDescent="0.25">
      <c r="A1590" s="7"/>
      <c r="B1590" s="7"/>
      <c r="E1590" s="29"/>
      <c r="I1590" s="3"/>
      <c r="J1590" s="17"/>
      <c r="K1590" s="17"/>
      <c r="L1590" s="18"/>
      <c r="M1590" s="3"/>
      <c r="P1590" s="3"/>
      <c r="Q1590" s="4"/>
      <c r="R1590" s="19"/>
      <c r="S1590" s="20"/>
      <c r="U1590" s="3" t="str">
        <f t="shared" si="52"/>
        <v/>
      </c>
      <c r="V1590" s="4" t="str">
        <f t="shared" si="53"/>
        <v/>
      </c>
      <c r="W1590" s="21" t="e" cm="1">
        <f t="array" ref="W1590">_xlfn.IFS(
  A1590="BELL", "WHITE",
  A1590="GAMP", "ORANGE",
  A1590="GAMM", "GREEN",
  A1590="BWF", "YELLOW",
  OR(A1590="TNBE", A1590="TNBL", A1590="TNBD", A1590="TNWC", A1590="TNBW", A1590="THBS"), "PINK",
  A1590="CRWD", "BLUE",
  A1590="PASS", "WHITE"
)</f>
        <v>#N/A</v>
      </c>
    </row>
    <row r="1591" spans="1:23" x14ac:dyDescent="0.25">
      <c r="A1591" s="7"/>
      <c r="B1591" s="7"/>
      <c r="E1591" s="29"/>
      <c r="I1591" s="3"/>
      <c r="J1591" s="17"/>
      <c r="K1591" s="17"/>
      <c r="L1591" s="18"/>
      <c r="M1591" s="3"/>
      <c r="P1591" s="3"/>
      <c r="Q1591" s="4"/>
      <c r="R1591" s="19"/>
      <c r="S1591" s="20"/>
      <c r="U1591" s="3" t="str">
        <f t="shared" si="52"/>
        <v/>
      </c>
      <c r="V1591" s="4" t="str">
        <f t="shared" si="53"/>
        <v/>
      </c>
      <c r="W1591" s="21" t="e" cm="1">
        <f t="array" ref="W1591">_xlfn.IFS(
  A1591="BELL", "WHITE",
  A1591="GAMP", "ORANGE",
  A1591="GAMM", "GREEN",
  A1591="BWF", "YELLOW",
  OR(A1591="TNBE", A1591="TNBL", A1591="TNBD", A1591="TNWC", A1591="TNBW", A1591="THBS"), "PINK",
  A1591="CRWD", "BLUE",
  A1591="PASS", "WHITE"
)</f>
        <v>#N/A</v>
      </c>
    </row>
    <row r="1592" spans="1:23" x14ac:dyDescent="0.25">
      <c r="A1592" s="7"/>
      <c r="B1592" s="7"/>
      <c r="E1592" s="29"/>
      <c r="I1592" s="3"/>
      <c r="J1592" s="17"/>
      <c r="K1592" s="17"/>
      <c r="L1592" s="18"/>
      <c r="M1592" s="3"/>
      <c r="P1592" s="3"/>
      <c r="Q1592" s="4"/>
      <c r="R1592" s="19"/>
      <c r="S1592" s="20"/>
      <c r="U1592" s="3" t="str">
        <f t="shared" si="52"/>
        <v/>
      </c>
      <c r="V1592" s="4" t="str">
        <f t="shared" si="53"/>
        <v/>
      </c>
      <c r="W1592" s="21" t="e" cm="1">
        <f t="array" ref="W1592">_xlfn.IFS(
  A1592="BELL", "WHITE",
  A1592="GAMP", "ORANGE",
  A1592="GAMM", "GREEN",
  A1592="BWF", "YELLOW",
  OR(A1592="TNBE", A1592="TNBL", A1592="TNBD", A1592="TNWC", A1592="TNBW", A1592="THBS"), "PINK",
  A1592="CRWD", "BLUE",
  A1592="PASS", "WHITE"
)</f>
        <v>#N/A</v>
      </c>
    </row>
    <row r="1593" spans="1:23" x14ac:dyDescent="0.25">
      <c r="A1593" s="7"/>
      <c r="B1593" s="7"/>
      <c r="E1593" s="29"/>
      <c r="I1593" s="3"/>
      <c r="J1593" s="17"/>
      <c r="K1593" s="17"/>
      <c r="L1593" s="18"/>
      <c r="M1593" s="3"/>
      <c r="P1593" s="3"/>
      <c r="Q1593" s="4"/>
      <c r="R1593" s="19"/>
      <c r="S1593" s="20"/>
      <c r="U1593" s="3" t="str">
        <f t="shared" si="52"/>
        <v/>
      </c>
      <c r="V1593" s="4" t="str">
        <f t="shared" si="53"/>
        <v/>
      </c>
      <c r="W1593" s="21" t="e" cm="1">
        <f t="array" ref="W1593">_xlfn.IFS(
  A1593="BELL", "WHITE",
  A1593="GAMP", "ORANGE",
  A1593="GAMM", "GREEN",
  A1593="BWF", "YELLOW",
  OR(A1593="TNBE", A1593="TNBL", A1593="TNBD", A1593="TNWC", A1593="TNBW", A1593="THBS"), "PINK",
  A1593="CRWD", "BLUE",
  A1593="PASS", "WHITE"
)</f>
        <v>#N/A</v>
      </c>
    </row>
    <row r="1594" spans="1:23" x14ac:dyDescent="0.25">
      <c r="A1594" s="7"/>
      <c r="B1594" s="7"/>
      <c r="E1594" s="29"/>
      <c r="I1594" s="3"/>
      <c r="J1594" s="17"/>
      <c r="K1594" s="17"/>
      <c r="L1594" s="18"/>
      <c r="M1594" s="18"/>
      <c r="P1594" s="3"/>
      <c r="Q1594" s="4"/>
      <c r="R1594" s="19"/>
      <c r="S1594" s="20"/>
      <c r="U1594" s="3" t="str">
        <f t="shared" si="52"/>
        <v/>
      </c>
      <c r="V1594" s="4" t="str">
        <f t="shared" si="53"/>
        <v/>
      </c>
      <c r="W1594" s="21" t="e" cm="1">
        <f t="array" ref="W1594">_xlfn.IFS(
  A1594="BELL", "WHITE",
  A1594="GAMP", "ORANGE",
  A1594="GAMM", "GREEN",
  A1594="BWF", "YELLOW",
  OR(A1594="TNBE", A1594="TNBL", A1594="TNBD", A1594="TNWC", A1594="TNBW", A1594="THBS"), "PINK",
  A1594="CRWD", "BLUE",
  A1594="PASS", "WHITE"
)</f>
        <v>#N/A</v>
      </c>
    </row>
    <row r="1595" spans="1:23" x14ac:dyDescent="0.25">
      <c r="A1595" s="7"/>
      <c r="B1595" s="7"/>
      <c r="E1595" s="29"/>
      <c r="I1595" s="3"/>
      <c r="J1595" s="17"/>
      <c r="K1595" s="17"/>
      <c r="L1595" s="18"/>
      <c r="M1595" s="3"/>
      <c r="P1595" s="3"/>
      <c r="Q1595" s="4"/>
      <c r="R1595" s="19"/>
      <c r="S1595" s="20"/>
      <c r="U1595" s="3" t="str">
        <f t="shared" si="52"/>
        <v/>
      </c>
      <c r="V1595" s="4" t="str">
        <f t="shared" si="53"/>
        <v/>
      </c>
      <c r="W1595" s="21" t="e" cm="1">
        <f t="array" ref="W1595">_xlfn.IFS(
  A1595="BELL", "WHITE",
  A1595="GAMP", "ORANGE",
  A1595="GAMM", "GREEN",
  A1595="BWF", "YELLOW",
  OR(A1595="TNBE", A1595="TNBL", A1595="TNBD", A1595="TNWC", A1595="TNBW", A1595="THBS"), "PINK",
  A1595="CRWD", "BLUE",
  A1595="PASS", "WHITE"
)</f>
        <v>#N/A</v>
      </c>
    </row>
    <row r="1596" spans="1:23" x14ac:dyDescent="0.25">
      <c r="A1596" s="7"/>
      <c r="B1596" s="7"/>
      <c r="E1596" s="29"/>
      <c r="I1596" s="3"/>
      <c r="J1596" s="17"/>
      <c r="K1596" s="17"/>
      <c r="L1596" s="18"/>
      <c r="M1596" s="3"/>
      <c r="P1596" s="3"/>
      <c r="Q1596" s="4"/>
      <c r="R1596" s="19"/>
      <c r="S1596" s="20"/>
      <c r="U1596" s="3" t="str">
        <f t="shared" si="52"/>
        <v/>
      </c>
      <c r="V1596" s="4" t="str">
        <f t="shared" si="53"/>
        <v/>
      </c>
      <c r="W1596" s="21" t="e" cm="1">
        <f t="array" ref="W1596">_xlfn.IFS(
  A1596="BELL", "WHITE",
  A1596="GAMP", "ORANGE",
  A1596="GAMM", "GREEN",
  A1596="BWF", "YELLOW",
  OR(A1596="TNBE", A1596="TNBL", A1596="TNBD", A1596="TNWC", A1596="TNBW", A1596="THBS"), "PINK",
  A1596="CRWD", "BLUE",
  A1596="PASS", "WHITE"
)</f>
        <v>#N/A</v>
      </c>
    </row>
    <row r="1597" spans="1:23" x14ac:dyDescent="0.25">
      <c r="A1597" s="7"/>
      <c r="B1597" s="7"/>
      <c r="E1597" s="29"/>
      <c r="I1597" s="3"/>
      <c r="J1597" s="17"/>
      <c r="K1597" s="17"/>
      <c r="L1597" s="18"/>
      <c r="M1597" s="3"/>
      <c r="P1597" s="3"/>
      <c r="Q1597" s="4"/>
      <c r="R1597" s="19"/>
      <c r="S1597" s="20"/>
      <c r="U1597" s="3" t="str">
        <f t="shared" si="52"/>
        <v/>
      </c>
      <c r="V1597" s="4" t="str">
        <f t="shared" si="53"/>
        <v/>
      </c>
      <c r="W1597" s="21" t="e" cm="1">
        <f t="array" ref="W1597">_xlfn.IFS(
  A1597="BELL", "WHITE",
  A1597="GAMP", "ORANGE",
  A1597="GAMM", "GREEN",
  A1597="BWF", "YELLOW",
  OR(A1597="TNBE", A1597="TNBL", A1597="TNBD", A1597="TNWC", A1597="TNBW", A1597="THBS"), "PINK",
  A1597="CRWD", "BLUE",
  A1597="PASS", "WHITE"
)</f>
        <v>#N/A</v>
      </c>
    </row>
    <row r="1598" spans="1:23" x14ac:dyDescent="0.25">
      <c r="A1598" s="7"/>
      <c r="B1598" s="7"/>
      <c r="E1598" s="29"/>
      <c r="I1598" s="3"/>
      <c r="J1598" s="17"/>
      <c r="K1598" s="17"/>
      <c r="L1598" s="18"/>
      <c r="M1598" s="3"/>
      <c r="P1598" s="3"/>
      <c r="Q1598" s="4"/>
      <c r="R1598" s="19"/>
      <c r="S1598" s="20"/>
      <c r="U1598" s="3" t="str">
        <f t="shared" si="52"/>
        <v/>
      </c>
      <c r="V1598" s="4" t="str">
        <f t="shared" si="53"/>
        <v/>
      </c>
      <c r="W1598" s="21" t="e" cm="1">
        <f t="array" ref="W1598">_xlfn.IFS(
  A1598="BELL", "WHITE",
  A1598="GAMP", "ORANGE",
  A1598="GAMM", "GREEN",
  A1598="BWF", "YELLOW",
  OR(A1598="TNBE", A1598="TNBL", A1598="TNBD", A1598="TNWC", A1598="TNBW", A1598="THBS"), "PINK",
  A1598="CRWD", "BLUE",
  A1598="PASS", "WHITE"
)</f>
        <v>#N/A</v>
      </c>
    </row>
    <row r="1599" spans="1:23" x14ac:dyDescent="0.25">
      <c r="A1599" s="7"/>
      <c r="B1599" s="7"/>
      <c r="E1599" s="29"/>
      <c r="I1599" s="3"/>
      <c r="J1599" s="17"/>
      <c r="K1599" s="17"/>
      <c r="L1599" s="18"/>
      <c r="M1599" s="3"/>
      <c r="P1599" s="3"/>
      <c r="Q1599" s="4"/>
      <c r="R1599" s="19"/>
      <c r="S1599" s="20"/>
      <c r="U1599" s="3" t="str">
        <f t="shared" si="52"/>
        <v/>
      </c>
      <c r="V1599" s="4" t="str">
        <f t="shared" si="53"/>
        <v/>
      </c>
      <c r="W1599" s="21" t="e" cm="1">
        <f t="array" ref="W1599">_xlfn.IFS(
  A1599="BELL", "WHITE",
  A1599="GAMP", "ORANGE",
  A1599="GAMM", "GREEN",
  A1599="BWF", "YELLOW",
  OR(A1599="TNBE", A1599="TNBL", A1599="TNBD", A1599="TNWC", A1599="TNBW", A1599="THBS"), "PINK",
  A1599="CRWD", "BLUE",
  A1599="PASS", "WHITE"
)</f>
        <v>#N/A</v>
      </c>
    </row>
    <row r="1600" spans="1:23" x14ac:dyDescent="0.25">
      <c r="A1600" s="7"/>
      <c r="B1600" s="7"/>
      <c r="E1600" s="29"/>
      <c r="I1600" s="3"/>
      <c r="J1600" s="17"/>
      <c r="K1600" s="17"/>
      <c r="L1600" s="18"/>
      <c r="M1600" s="3"/>
      <c r="P1600" s="3"/>
      <c r="Q1600" s="4"/>
      <c r="R1600" s="19"/>
      <c r="S1600" s="20"/>
      <c r="U1600" s="3" t="str">
        <f t="shared" si="52"/>
        <v/>
      </c>
      <c r="V1600" s="4" t="str">
        <f t="shared" si="53"/>
        <v/>
      </c>
      <c r="W1600" s="21" t="e" cm="1">
        <f t="array" ref="W1600">_xlfn.IFS(
  A1600="BELL", "WHITE",
  A1600="GAMP", "ORANGE",
  A1600="GAMM", "GREEN",
  A1600="BWF", "YELLOW",
  OR(A1600="TNBE", A1600="TNBL", A1600="TNBD", A1600="TNWC", A1600="TNBW", A1600="THBS"), "PINK",
  A1600="CRWD", "BLUE",
  A1600="PASS", "WHITE"
)</f>
        <v>#N/A</v>
      </c>
    </row>
    <row r="1601" spans="1:23" x14ac:dyDescent="0.25">
      <c r="A1601" s="7"/>
      <c r="B1601" s="7"/>
      <c r="E1601" s="29"/>
      <c r="I1601" s="3"/>
      <c r="J1601" s="17"/>
      <c r="K1601" s="17"/>
      <c r="L1601" s="18"/>
      <c r="M1601" s="3"/>
      <c r="P1601" s="3"/>
      <c r="Q1601" s="4"/>
      <c r="R1601" s="19"/>
      <c r="S1601" s="20"/>
      <c r="U1601" s="3" t="str">
        <f t="shared" si="52"/>
        <v/>
      </c>
      <c r="V1601" s="4" t="str">
        <f t="shared" si="53"/>
        <v/>
      </c>
      <c r="W1601" s="21" t="e" cm="1">
        <f t="array" ref="W1601">_xlfn.IFS(
  A1601="BELL", "WHITE",
  A1601="GAMP", "ORANGE",
  A1601="GAMM", "GREEN",
  A1601="BWF", "YELLOW",
  OR(A1601="TNBE", A1601="TNBL", A1601="TNBD", A1601="TNWC", A1601="TNBW", A1601="THBS"), "PINK",
  A1601="CRWD", "BLUE",
  A1601="PASS", "WHITE"
)</f>
        <v>#N/A</v>
      </c>
    </row>
    <row r="1602" spans="1:23" x14ac:dyDescent="0.25">
      <c r="A1602" s="7"/>
      <c r="B1602" s="7"/>
      <c r="E1602" s="29"/>
      <c r="I1602" s="3"/>
      <c r="J1602" s="17"/>
      <c r="K1602" s="17"/>
      <c r="L1602" s="18"/>
      <c r="M1602" s="3"/>
      <c r="P1602" s="3"/>
      <c r="Q1602" s="4"/>
      <c r="R1602" s="19"/>
      <c r="S1602" s="20"/>
      <c r="U1602" s="3" t="str">
        <f t="shared" si="52"/>
        <v/>
      </c>
      <c r="V1602" s="4" t="str">
        <f t="shared" si="53"/>
        <v/>
      </c>
      <c r="W1602" s="21" t="e" cm="1">
        <f t="array" ref="W1602">_xlfn.IFS(
  A1602="BELL", "WHITE",
  A1602="GAMP", "ORANGE",
  A1602="GAMM", "GREEN",
  A1602="BWF", "YELLOW",
  OR(A1602="TNBE", A1602="TNBL", A1602="TNBD", A1602="TNWC", A1602="TNBW", A1602="THBS"), "PINK",
  A1602="CRWD", "BLUE",
  A1602="PASS", "WHITE"
)</f>
        <v>#N/A</v>
      </c>
    </row>
    <row r="1603" spans="1:23" x14ac:dyDescent="0.25">
      <c r="A1603" s="7"/>
      <c r="B1603" s="7"/>
      <c r="E1603" s="29"/>
      <c r="I1603" s="3"/>
      <c r="J1603" s="17"/>
      <c r="K1603" s="17"/>
      <c r="L1603" s="18"/>
      <c r="M1603" s="3"/>
      <c r="P1603" s="3"/>
      <c r="Q1603" s="4"/>
      <c r="R1603" s="19"/>
      <c r="S1603" s="20"/>
      <c r="U1603" s="3" t="str">
        <f t="shared" si="52"/>
        <v/>
      </c>
      <c r="V1603" s="4" t="str">
        <f t="shared" si="53"/>
        <v/>
      </c>
      <c r="W1603" s="21" t="e" cm="1">
        <f t="array" ref="W1603">_xlfn.IFS(
  A1603="BELL", "WHITE",
  A1603="GAMP", "ORANGE",
  A1603="GAMM", "GREEN",
  A1603="BWF", "YELLOW",
  OR(A1603="TNBE", A1603="TNBL", A1603="TNBD", A1603="TNWC", A1603="TNBW", A1603="THBS"), "PINK",
  A1603="CRWD", "BLUE",
  A1603="PASS", "WHITE"
)</f>
        <v>#N/A</v>
      </c>
    </row>
    <row r="1604" spans="1:23" x14ac:dyDescent="0.25">
      <c r="A1604" s="7"/>
      <c r="B1604" s="7"/>
      <c r="E1604" s="29"/>
      <c r="I1604" s="3"/>
      <c r="J1604" s="17"/>
      <c r="K1604" s="17"/>
      <c r="L1604" s="18"/>
      <c r="M1604" s="3"/>
      <c r="P1604" s="3"/>
      <c r="Q1604" s="4"/>
      <c r="R1604" s="19"/>
      <c r="S1604" s="20"/>
      <c r="U1604" s="3" t="str">
        <f t="shared" ref="U1604:U1667" si="54">IF(T1604="","",IF(T1604&gt;I1604,H1604,T1604/G1604))</f>
        <v/>
      </c>
      <c r="V1604" s="4" t="str">
        <f t="shared" ref="V1604:V1667" si="55">IF(T1604&gt;I1604,T1604-I1604,"")</f>
        <v/>
      </c>
      <c r="W1604" s="21" t="e" cm="1">
        <f t="array" ref="W1604">_xlfn.IFS(
  A1604="BELL", "WHITE",
  A1604="GAMP", "ORANGE",
  A1604="GAMM", "GREEN",
  A1604="BWF", "YELLOW",
  OR(A1604="TNBE", A1604="TNBL", A1604="TNBD", A1604="TNWC", A1604="TNBW", A1604="THBS"), "PINK",
  A1604="CRWD", "BLUE",
  A1604="PASS", "WHITE"
)</f>
        <v>#N/A</v>
      </c>
    </row>
    <row r="1605" spans="1:23" x14ac:dyDescent="0.25">
      <c r="A1605" s="7"/>
      <c r="B1605" s="7"/>
      <c r="E1605" s="29"/>
      <c r="I1605" s="3"/>
      <c r="J1605" s="17"/>
      <c r="K1605" s="17"/>
      <c r="L1605" s="18"/>
      <c r="M1605" s="18"/>
      <c r="P1605" s="3"/>
      <c r="Q1605" s="4"/>
      <c r="R1605" s="19"/>
      <c r="S1605" s="20"/>
      <c r="U1605" s="3" t="str">
        <f t="shared" si="54"/>
        <v/>
      </c>
      <c r="V1605" s="4" t="str">
        <f t="shared" si="55"/>
        <v/>
      </c>
      <c r="W1605" s="21" t="e" cm="1">
        <f t="array" ref="W1605">_xlfn.IFS(
  A1605="BELL", "WHITE",
  A1605="GAMP", "ORANGE",
  A1605="GAMM", "GREEN",
  A1605="BWF", "YELLOW",
  OR(A1605="TNBE", A1605="TNBL", A1605="TNBD", A1605="TNWC", A1605="TNBW", A1605="THBS"), "PINK",
  A1605="CRWD", "BLUE",
  A1605="PASS", "WHITE"
)</f>
        <v>#N/A</v>
      </c>
    </row>
    <row r="1606" spans="1:23" x14ac:dyDescent="0.25">
      <c r="A1606" s="7"/>
      <c r="B1606" s="7"/>
      <c r="E1606" s="29"/>
      <c r="I1606" s="3"/>
      <c r="J1606" s="17"/>
      <c r="K1606" s="17"/>
      <c r="L1606" s="18"/>
      <c r="M1606" s="18"/>
      <c r="P1606" s="3"/>
      <c r="Q1606" s="4"/>
      <c r="R1606" s="19"/>
      <c r="S1606" s="20"/>
      <c r="U1606" s="3" t="str">
        <f t="shared" si="54"/>
        <v/>
      </c>
      <c r="V1606" s="4" t="str">
        <f t="shared" si="55"/>
        <v/>
      </c>
      <c r="W1606" s="21" t="e" cm="1">
        <f t="array" ref="W1606">_xlfn.IFS(
  A1606="BELL", "WHITE",
  A1606="GAMP", "ORANGE",
  A1606="GAMM", "GREEN",
  A1606="BWF", "YELLOW",
  OR(A1606="TNBE", A1606="TNBL", A1606="TNBD", A1606="TNWC", A1606="TNBW", A1606="THBS"), "PINK",
  A1606="CRWD", "BLUE",
  A1606="PASS", "WHITE"
)</f>
        <v>#N/A</v>
      </c>
    </row>
    <row r="1607" spans="1:23" x14ac:dyDescent="0.25">
      <c r="A1607" s="7"/>
      <c r="B1607" s="7"/>
      <c r="E1607" s="29"/>
      <c r="I1607" s="3"/>
      <c r="J1607" s="17"/>
      <c r="K1607" s="17"/>
      <c r="L1607" s="18"/>
      <c r="M1607" s="18"/>
      <c r="P1607" s="3"/>
      <c r="Q1607" s="4"/>
      <c r="R1607" s="19"/>
      <c r="S1607" s="20"/>
      <c r="U1607" s="3" t="str">
        <f t="shared" si="54"/>
        <v/>
      </c>
      <c r="V1607" s="4" t="str">
        <f t="shared" si="55"/>
        <v/>
      </c>
      <c r="W1607" s="21" t="e" cm="1">
        <f t="array" ref="W1607">_xlfn.IFS(
  A1607="BELL", "WHITE",
  A1607="GAMP", "ORANGE",
  A1607="GAMM", "GREEN",
  A1607="BWF", "YELLOW",
  OR(A1607="TNBE", A1607="TNBL", A1607="TNBD", A1607="TNWC", A1607="TNBW", A1607="THBS"), "PINK",
  A1607="CRWD", "BLUE",
  A1607="PASS", "WHITE"
)</f>
        <v>#N/A</v>
      </c>
    </row>
    <row r="1608" spans="1:23" x14ac:dyDescent="0.25">
      <c r="A1608" s="7"/>
      <c r="B1608" s="7"/>
      <c r="E1608" s="29"/>
      <c r="I1608" s="3"/>
      <c r="J1608" s="17"/>
      <c r="K1608" s="17"/>
      <c r="L1608" s="18"/>
      <c r="M1608" s="3"/>
      <c r="P1608" s="3"/>
      <c r="Q1608" s="4"/>
      <c r="R1608" s="19"/>
      <c r="S1608" s="20"/>
      <c r="U1608" s="3" t="str">
        <f t="shared" si="54"/>
        <v/>
      </c>
      <c r="V1608" s="4" t="str">
        <f t="shared" si="55"/>
        <v/>
      </c>
      <c r="W1608" s="21" t="e" cm="1">
        <f t="array" ref="W1608">_xlfn.IFS(
  A1608="BELL", "WHITE",
  A1608="GAMP", "ORANGE",
  A1608="GAMM", "GREEN",
  A1608="BWF", "YELLOW",
  OR(A1608="TNBE", A1608="TNBL", A1608="TNBD", A1608="TNWC", A1608="TNBW", A1608="THBS"), "PINK",
  A1608="CRWD", "BLUE",
  A1608="PASS", "WHITE"
)</f>
        <v>#N/A</v>
      </c>
    </row>
    <row r="1609" spans="1:23" x14ac:dyDescent="0.25">
      <c r="A1609" s="7"/>
      <c r="B1609" s="7"/>
      <c r="E1609" s="29"/>
      <c r="I1609" s="3"/>
      <c r="J1609" s="17"/>
      <c r="K1609" s="17"/>
      <c r="L1609" s="18"/>
      <c r="M1609" s="18"/>
      <c r="P1609" s="3"/>
      <c r="Q1609" s="4"/>
      <c r="R1609" s="19"/>
      <c r="S1609" s="20"/>
      <c r="U1609" s="3" t="str">
        <f t="shared" si="54"/>
        <v/>
      </c>
      <c r="V1609" s="4" t="str">
        <f t="shared" si="55"/>
        <v/>
      </c>
      <c r="W1609" s="21" t="e" cm="1">
        <f t="array" ref="W1609">_xlfn.IFS(
  A1609="BELL", "WHITE",
  A1609="GAMP", "ORANGE",
  A1609="GAMM", "GREEN",
  A1609="BWF", "YELLOW",
  OR(A1609="TNBE", A1609="TNBL", A1609="TNBD", A1609="TNWC", A1609="TNBW", A1609="THBS"), "PINK",
  A1609="CRWD", "BLUE",
  A1609="PASS", "WHITE"
)</f>
        <v>#N/A</v>
      </c>
    </row>
    <row r="1610" spans="1:23" x14ac:dyDescent="0.25">
      <c r="A1610" s="7"/>
      <c r="B1610" s="7"/>
      <c r="E1610" s="29"/>
      <c r="I1610" s="3"/>
      <c r="J1610" s="17"/>
      <c r="K1610" s="17"/>
      <c r="L1610" s="18"/>
      <c r="M1610" s="18"/>
      <c r="P1610" s="3"/>
      <c r="Q1610" s="4"/>
      <c r="R1610" s="19"/>
      <c r="S1610" s="20"/>
      <c r="U1610" s="3" t="str">
        <f t="shared" si="54"/>
        <v/>
      </c>
      <c r="V1610" s="4" t="str">
        <f t="shared" si="55"/>
        <v/>
      </c>
      <c r="W1610" s="21" t="e" cm="1">
        <f t="array" ref="W1610">_xlfn.IFS(
  A1610="BELL", "WHITE",
  A1610="GAMP", "ORANGE",
  A1610="GAMM", "GREEN",
  A1610="BWF", "YELLOW",
  OR(A1610="TNBE", A1610="TNBL", A1610="TNBD", A1610="TNWC", A1610="TNBW", A1610="THBS"), "PINK",
  A1610="CRWD", "BLUE",
  A1610="PASS", "WHITE"
)</f>
        <v>#N/A</v>
      </c>
    </row>
    <row r="1611" spans="1:23" x14ac:dyDescent="0.25">
      <c r="A1611" s="7"/>
      <c r="B1611" s="7"/>
      <c r="E1611" s="29"/>
      <c r="I1611" s="3"/>
      <c r="J1611" s="17"/>
      <c r="K1611" s="17"/>
      <c r="L1611" s="18"/>
      <c r="M1611" s="18"/>
      <c r="P1611" s="3"/>
      <c r="Q1611" s="4"/>
      <c r="R1611" s="19"/>
      <c r="S1611" s="20"/>
      <c r="U1611" s="3" t="str">
        <f t="shared" si="54"/>
        <v/>
      </c>
      <c r="V1611" s="4" t="str">
        <f t="shared" si="55"/>
        <v/>
      </c>
      <c r="W1611" s="21" t="e" cm="1">
        <f t="array" ref="W1611">_xlfn.IFS(
  A1611="BELL", "WHITE",
  A1611="GAMP", "ORANGE",
  A1611="GAMM", "GREEN",
  A1611="BWF", "YELLOW",
  OR(A1611="TNBE", A1611="TNBL", A1611="TNBD", A1611="TNWC", A1611="TNBW", A1611="THBS"), "PINK",
  A1611="CRWD", "BLUE",
  A1611="PASS", "WHITE"
)</f>
        <v>#N/A</v>
      </c>
    </row>
    <row r="1612" spans="1:23" x14ac:dyDescent="0.25">
      <c r="A1612" s="7"/>
      <c r="B1612" s="7"/>
      <c r="E1612" s="29"/>
      <c r="I1612" s="3"/>
      <c r="J1612" s="17"/>
      <c r="K1612" s="17"/>
      <c r="L1612" s="18"/>
      <c r="M1612" s="18"/>
      <c r="P1612" s="3"/>
      <c r="Q1612" s="4"/>
      <c r="R1612" s="19"/>
      <c r="S1612" s="20"/>
      <c r="U1612" s="3" t="str">
        <f t="shared" si="54"/>
        <v/>
      </c>
      <c r="V1612" s="4" t="str">
        <f t="shared" si="55"/>
        <v/>
      </c>
      <c r="W1612" s="21" t="e" cm="1">
        <f t="array" ref="W1612">_xlfn.IFS(
  A1612="BELL", "WHITE",
  A1612="GAMP", "ORANGE",
  A1612="GAMM", "GREEN",
  A1612="BWF", "YELLOW",
  OR(A1612="TNBE", A1612="TNBL", A1612="TNBD", A1612="TNWC", A1612="TNBW", A1612="THBS"), "PINK",
  A1612="CRWD", "BLUE",
  A1612="PASS", "WHITE"
)</f>
        <v>#N/A</v>
      </c>
    </row>
    <row r="1613" spans="1:23" x14ac:dyDescent="0.25">
      <c r="A1613" s="7"/>
      <c r="B1613" s="7"/>
      <c r="E1613" s="29"/>
      <c r="I1613" s="3"/>
      <c r="J1613" s="17"/>
      <c r="K1613" s="17"/>
      <c r="L1613" s="18"/>
      <c r="M1613" s="18"/>
      <c r="P1613" s="3"/>
      <c r="Q1613" s="4"/>
      <c r="R1613" s="19"/>
      <c r="S1613" s="20"/>
      <c r="U1613" s="3" t="str">
        <f t="shared" si="54"/>
        <v/>
      </c>
      <c r="V1613" s="4" t="str">
        <f t="shared" si="55"/>
        <v/>
      </c>
      <c r="W1613" s="21" t="e" cm="1">
        <f t="array" ref="W1613">_xlfn.IFS(
  A1613="BELL", "WHITE",
  A1613="GAMP", "ORANGE",
  A1613="GAMM", "GREEN",
  A1613="BWF", "YELLOW",
  OR(A1613="TNBE", A1613="TNBL", A1613="TNBD", A1613="TNWC", A1613="TNBW", A1613="THBS"), "PINK",
  A1613="CRWD", "BLUE",
  A1613="PASS", "WHITE"
)</f>
        <v>#N/A</v>
      </c>
    </row>
    <row r="1614" spans="1:23" x14ac:dyDescent="0.25">
      <c r="A1614" s="7"/>
      <c r="B1614" s="7"/>
      <c r="E1614" s="29"/>
      <c r="I1614" s="3"/>
      <c r="J1614" s="17"/>
      <c r="K1614" s="17"/>
      <c r="L1614" s="18"/>
      <c r="M1614" s="18"/>
      <c r="P1614" s="3"/>
      <c r="Q1614" s="4"/>
      <c r="R1614" s="19"/>
      <c r="S1614" s="20"/>
      <c r="U1614" s="3" t="str">
        <f t="shared" si="54"/>
        <v/>
      </c>
      <c r="V1614" s="4" t="str">
        <f t="shared" si="55"/>
        <v/>
      </c>
      <c r="W1614" s="21" t="e" cm="1">
        <f t="array" ref="W1614">_xlfn.IFS(
  A1614="BELL", "WHITE",
  A1614="GAMP", "ORANGE",
  A1614="GAMM", "GREEN",
  A1614="BWF", "YELLOW",
  OR(A1614="TNBE", A1614="TNBL", A1614="TNBD", A1614="TNWC", A1614="TNBW", A1614="THBS"), "PINK",
  A1614="CRWD", "BLUE",
  A1614="PASS", "WHITE"
)</f>
        <v>#N/A</v>
      </c>
    </row>
    <row r="1615" spans="1:23" x14ac:dyDescent="0.25">
      <c r="A1615" s="7"/>
      <c r="B1615" s="7"/>
      <c r="E1615" s="29"/>
      <c r="I1615" s="3"/>
      <c r="J1615" s="17"/>
      <c r="K1615" s="17"/>
      <c r="L1615" s="18"/>
      <c r="M1615" s="18"/>
      <c r="P1615" s="3"/>
      <c r="Q1615" s="4"/>
      <c r="R1615" s="19"/>
      <c r="S1615" s="20"/>
      <c r="U1615" s="3" t="str">
        <f t="shared" si="54"/>
        <v/>
      </c>
      <c r="V1615" s="4" t="str">
        <f t="shared" si="55"/>
        <v/>
      </c>
      <c r="W1615" s="21" t="e" cm="1">
        <f t="array" ref="W1615">_xlfn.IFS(
  A1615="BELL", "WHITE",
  A1615="GAMP", "ORANGE",
  A1615="GAMM", "GREEN",
  A1615="BWF", "YELLOW",
  OR(A1615="TNBE", A1615="TNBL", A1615="TNBD", A1615="TNWC", A1615="TNBW", A1615="THBS"), "PINK",
  A1615="CRWD", "BLUE",
  A1615="PASS", "WHITE"
)</f>
        <v>#N/A</v>
      </c>
    </row>
    <row r="1616" spans="1:23" x14ac:dyDescent="0.25">
      <c r="A1616" s="7"/>
      <c r="B1616" s="7"/>
      <c r="E1616" s="29"/>
      <c r="I1616" s="3"/>
      <c r="J1616" s="17"/>
      <c r="K1616" s="17"/>
      <c r="L1616" s="18"/>
      <c r="M1616" s="18"/>
      <c r="P1616" s="3"/>
      <c r="Q1616" s="4"/>
      <c r="R1616" s="19"/>
      <c r="S1616" s="20"/>
      <c r="U1616" s="3" t="str">
        <f t="shared" si="54"/>
        <v/>
      </c>
      <c r="V1616" s="4" t="str">
        <f t="shared" si="55"/>
        <v/>
      </c>
      <c r="W1616" s="21" t="e" cm="1">
        <f t="array" ref="W1616">_xlfn.IFS(
  A1616="BELL", "WHITE",
  A1616="GAMP", "ORANGE",
  A1616="GAMM", "GREEN",
  A1616="BWF", "YELLOW",
  OR(A1616="TNBE", A1616="TNBL", A1616="TNBD", A1616="TNWC", A1616="TNBW", A1616="THBS"), "PINK",
  A1616="CRWD", "BLUE",
  A1616="PASS", "WHITE"
)</f>
        <v>#N/A</v>
      </c>
    </row>
    <row r="1617" spans="1:23" x14ac:dyDescent="0.25">
      <c r="A1617" s="7"/>
      <c r="B1617" s="7"/>
      <c r="E1617" s="29"/>
      <c r="I1617" s="3"/>
      <c r="J1617" s="17"/>
      <c r="K1617" s="17"/>
      <c r="L1617" s="18"/>
      <c r="M1617" s="18"/>
      <c r="P1617" s="3"/>
      <c r="Q1617" s="4"/>
      <c r="R1617" s="19"/>
      <c r="S1617" s="20"/>
      <c r="U1617" s="3" t="str">
        <f t="shared" si="54"/>
        <v/>
      </c>
      <c r="V1617" s="4" t="str">
        <f t="shared" si="55"/>
        <v/>
      </c>
      <c r="W1617" s="21" t="e" cm="1">
        <f t="array" ref="W1617">_xlfn.IFS(
  A1617="BELL", "WHITE",
  A1617="GAMP", "ORANGE",
  A1617="GAMM", "GREEN",
  A1617="BWF", "YELLOW",
  OR(A1617="TNBE", A1617="TNBL", A1617="TNBD", A1617="TNWC", A1617="TNBW", A1617="THBS"), "PINK",
  A1617="CRWD", "BLUE",
  A1617="PASS", "WHITE"
)</f>
        <v>#N/A</v>
      </c>
    </row>
    <row r="1618" spans="1:23" x14ac:dyDescent="0.25">
      <c r="A1618" s="7"/>
      <c r="B1618" s="7"/>
      <c r="E1618" s="29"/>
      <c r="I1618" s="3"/>
      <c r="J1618" s="17"/>
      <c r="K1618" s="17"/>
      <c r="L1618" s="18"/>
      <c r="M1618" s="3"/>
      <c r="P1618" s="3"/>
      <c r="Q1618" s="4"/>
      <c r="R1618" s="19"/>
      <c r="S1618" s="20"/>
      <c r="U1618" s="3" t="str">
        <f t="shared" si="54"/>
        <v/>
      </c>
      <c r="V1618" s="4" t="str">
        <f t="shared" si="55"/>
        <v/>
      </c>
      <c r="W1618" s="21" t="e" cm="1">
        <f t="array" ref="W1618">_xlfn.IFS(
  A1618="BELL", "WHITE",
  A1618="GAMP", "ORANGE",
  A1618="GAMM", "GREEN",
  A1618="BWF", "YELLOW",
  OR(A1618="TNBE", A1618="TNBL", A1618="TNBD", A1618="TNWC", A1618="TNBW", A1618="THBS"), "PINK",
  A1618="CRWD", "BLUE",
  A1618="PASS", "WHITE"
)</f>
        <v>#N/A</v>
      </c>
    </row>
    <row r="1619" spans="1:23" x14ac:dyDescent="0.25">
      <c r="A1619" s="7"/>
      <c r="H1619" s="2"/>
      <c r="L1619" s="18"/>
      <c r="M1619" s="3"/>
      <c r="P1619" s="3"/>
      <c r="Q1619" s="4"/>
      <c r="S1619" s="20"/>
      <c r="U1619" s="3" t="str">
        <f t="shared" si="54"/>
        <v/>
      </c>
      <c r="V1619" s="4" t="str">
        <f t="shared" si="55"/>
        <v/>
      </c>
      <c r="W1619" s="21" t="e" cm="1">
        <f t="array" ref="W1619">_xlfn.IFS(
  A1619="BELL", "WHITE",
  A1619="GAMP", "ORANGE",
  A1619="GAMM", "GREEN",
  A1619="BWF", "YELLOW",
  OR(A1619="TNBE", A1619="TNBL", A1619="TNBD", A1619="TNWC", A1619="TNBW", A1619="THBS"), "PINK",
  A1619="CRWD", "BLUE",
  A1619="PASS", "WHITE"
)</f>
        <v>#N/A</v>
      </c>
    </row>
    <row r="1620" spans="1:23" x14ac:dyDescent="0.25">
      <c r="A1620" s="7"/>
      <c r="H1620" s="2"/>
      <c r="L1620" s="18"/>
      <c r="M1620" s="3"/>
      <c r="P1620" s="3"/>
      <c r="Q1620" s="4"/>
      <c r="S1620" s="20"/>
      <c r="U1620" s="3" t="str">
        <f t="shared" si="54"/>
        <v/>
      </c>
      <c r="V1620" s="4" t="str">
        <f t="shared" si="55"/>
        <v/>
      </c>
      <c r="W1620" s="21" t="e" cm="1">
        <f t="array" ref="W1620">_xlfn.IFS(
  A1620="BELL", "WHITE",
  A1620="GAMP", "ORANGE",
  A1620="GAMM", "GREEN",
  A1620="BWF", "YELLOW",
  OR(A1620="TNBE", A1620="TNBL", A1620="TNBD", A1620="TNWC", A1620="TNBW", A1620="THBS"), "PINK",
  A1620="CRWD", "BLUE",
  A1620="PASS", "WHITE"
)</f>
        <v>#N/A</v>
      </c>
    </row>
    <row r="1621" spans="1:23" x14ac:dyDescent="0.25">
      <c r="A1621" s="7"/>
      <c r="H1621" s="2"/>
      <c r="L1621" s="18"/>
      <c r="M1621" s="3"/>
      <c r="P1621" s="3"/>
      <c r="Q1621" s="4"/>
      <c r="S1621" s="20"/>
      <c r="U1621" s="3" t="str">
        <f t="shared" si="54"/>
        <v/>
      </c>
      <c r="V1621" s="4" t="str">
        <f t="shared" si="55"/>
        <v/>
      </c>
      <c r="W1621" s="21" t="e" cm="1">
        <f t="array" ref="W1621">_xlfn.IFS(
  A1621="BELL", "WHITE",
  A1621="GAMP", "ORANGE",
  A1621="GAMM", "GREEN",
  A1621="BWF", "YELLOW",
  OR(A1621="TNBE", A1621="TNBL", A1621="TNBD", A1621="TNWC", A1621="TNBW", A1621="THBS"), "PINK",
  A1621="CRWD", "BLUE",
  A1621="PASS", "WHITE"
)</f>
        <v>#N/A</v>
      </c>
    </row>
    <row r="1622" spans="1:23" x14ac:dyDescent="0.25">
      <c r="A1622" s="7"/>
      <c r="H1622" s="2"/>
      <c r="L1622" s="18"/>
      <c r="M1622" s="3"/>
      <c r="P1622" s="3"/>
      <c r="Q1622" s="4"/>
      <c r="S1622" s="20"/>
      <c r="U1622" s="3" t="str">
        <f t="shared" si="54"/>
        <v/>
      </c>
      <c r="V1622" s="4" t="str">
        <f t="shared" si="55"/>
        <v/>
      </c>
      <c r="W1622" s="21" t="e" cm="1">
        <f t="array" ref="W1622">_xlfn.IFS(
  A1622="BELL", "WHITE",
  A1622="GAMP", "ORANGE",
  A1622="GAMM", "GREEN",
  A1622="BWF", "YELLOW",
  OR(A1622="TNBE", A1622="TNBL", A1622="TNBD", A1622="TNWC", A1622="TNBW", A1622="THBS"), "PINK",
  A1622="CRWD", "BLUE",
  A1622="PASS", "WHITE"
)</f>
        <v>#N/A</v>
      </c>
    </row>
    <row r="1623" spans="1:23" x14ac:dyDescent="0.25">
      <c r="A1623" s="7"/>
      <c r="H1623" s="2"/>
      <c r="L1623" s="18"/>
      <c r="M1623" s="3"/>
      <c r="P1623" s="3"/>
      <c r="Q1623" s="4"/>
      <c r="S1623" s="20"/>
      <c r="U1623" s="3" t="str">
        <f t="shared" si="54"/>
        <v/>
      </c>
      <c r="V1623" s="4" t="str">
        <f t="shared" si="55"/>
        <v/>
      </c>
      <c r="W1623" s="21" t="e" cm="1">
        <f t="array" ref="W1623">_xlfn.IFS(
  A1623="BELL", "WHITE",
  A1623="GAMP", "ORANGE",
  A1623="GAMM", "GREEN",
  A1623="BWF", "YELLOW",
  OR(A1623="TNBE", A1623="TNBL", A1623="TNBD", A1623="TNWC", A1623="TNBW", A1623="THBS"), "PINK",
  A1623="CRWD", "BLUE",
  A1623="PASS", "WHITE"
)</f>
        <v>#N/A</v>
      </c>
    </row>
    <row r="1624" spans="1:23" x14ac:dyDescent="0.25">
      <c r="A1624" s="7"/>
      <c r="H1624" s="2"/>
      <c r="L1624" s="18"/>
      <c r="M1624" s="3"/>
      <c r="P1624" s="3"/>
      <c r="Q1624" s="4"/>
      <c r="S1624" s="20"/>
      <c r="U1624" s="3" t="str">
        <f t="shared" si="54"/>
        <v/>
      </c>
      <c r="V1624" s="4" t="str">
        <f t="shared" si="55"/>
        <v/>
      </c>
      <c r="W1624" s="21" t="e" cm="1">
        <f t="array" ref="W1624">_xlfn.IFS(
  A1624="BELL", "WHITE",
  A1624="GAMP", "ORANGE",
  A1624="GAMM", "GREEN",
  A1624="BWF", "YELLOW",
  OR(A1624="TNBE", A1624="TNBL", A1624="TNBD", A1624="TNWC", A1624="TNBW", A1624="THBS"), "PINK",
  A1624="CRWD", "BLUE",
  A1624="PASS", "WHITE"
)</f>
        <v>#N/A</v>
      </c>
    </row>
    <row r="1625" spans="1:23" x14ac:dyDescent="0.25">
      <c r="A1625" s="7"/>
      <c r="H1625" s="2"/>
      <c r="L1625" s="18"/>
      <c r="M1625" s="3"/>
      <c r="P1625" s="3"/>
      <c r="Q1625" s="4"/>
      <c r="S1625" s="20"/>
      <c r="U1625" s="3" t="str">
        <f t="shared" si="54"/>
        <v/>
      </c>
      <c r="V1625" s="4" t="str">
        <f t="shared" si="55"/>
        <v/>
      </c>
      <c r="W1625" s="21" t="e" cm="1">
        <f t="array" ref="W1625">_xlfn.IFS(
  A1625="BELL", "WHITE",
  A1625="GAMP", "ORANGE",
  A1625="GAMM", "GREEN",
  A1625="BWF", "YELLOW",
  OR(A1625="TNBE", A1625="TNBL", A1625="TNBD", A1625="TNWC", A1625="TNBW", A1625="THBS"), "PINK",
  A1625="CRWD", "BLUE",
  A1625="PASS", "WHITE"
)</f>
        <v>#N/A</v>
      </c>
    </row>
    <row r="1626" spans="1:23" x14ac:dyDescent="0.25">
      <c r="A1626" s="7"/>
      <c r="H1626" s="2"/>
      <c r="L1626" s="18"/>
      <c r="M1626" s="3"/>
      <c r="P1626" s="3"/>
      <c r="Q1626" s="4"/>
      <c r="S1626" s="20"/>
      <c r="U1626" s="3" t="str">
        <f t="shared" si="54"/>
        <v/>
      </c>
      <c r="V1626" s="4" t="str">
        <f t="shared" si="55"/>
        <v/>
      </c>
      <c r="W1626" s="21" t="e" cm="1">
        <f t="array" ref="W1626">_xlfn.IFS(
  A1626="BELL", "WHITE",
  A1626="GAMP", "ORANGE",
  A1626="GAMM", "GREEN",
  A1626="BWF", "YELLOW",
  OR(A1626="TNBE", A1626="TNBL", A1626="TNBD", A1626="TNWC", A1626="TNBW", A1626="THBS"), "PINK",
  A1626="CRWD", "BLUE",
  A1626="PASS", "WHITE"
)</f>
        <v>#N/A</v>
      </c>
    </row>
    <row r="1627" spans="1:23" x14ac:dyDescent="0.25">
      <c r="A1627" s="7"/>
      <c r="H1627" s="2"/>
      <c r="L1627" s="18"/>
      <c r="M1627" s="3"/>
      <c r="P1627" s="3"/>
      <c r="Q1627" s="4"/>
      <c r="S1627" s="20"/>
      <c r="U1627" s="3" t="str">
        <f t="shared" si="54"/>
        <v/>
      </c>
      <c r="V1627" s="4" t="str">
        <f t="shared" si="55"/>
        <v/>
      </c>
      <c r="W1627" s="21" t="e" cm="1">
        <f t="array" ref="W1627">_xlfn.IFS(
  A1627="BELL", "WHITE",
  A1627="GAMP", "ORANGE",
  A1627="GAMM", "GREEN",
  A1627="BWF", "YELLOW",
  OR(A1627="TNBE", A1627="TNBL", A1627="TNBD", A1627="TNWC", A1627="TNBW", A1627="THBS"), "PINK",
  A1627="CRWD", "BLUE",
  A1627="PASS", "WHITE"
)</f>
        <v>#N/A</v>
      </c>
    </row>
    <row r="1628" spans="1:23" x14ac:dyDescent="0.25">
      <c r="A1628" s="7"/>
      <c r="H1628" s="2"/>
      <c r="L1628" s="18"/>
      <c r="M1628" s="3"/>
      <c r="P1628" s="3"/>
      <c r="Q1628" s="4"/>
      <c r="S1628" s="20"/>
      <c r="U1628" s="3" t="str">
        <f t="shared" si="54"/>
        <v/>
      </c>
      <c r="V1628" s="4" t="str">
        <f t="shared" si="55"/>
        <v/>
      </c>
      <c r="W1628" s="21" t="e" cm="1">
        <f t="array" ref="W1628">_xlfn.IFS(
  A1628="BELL", "WHITE",
  A1628="GAMP", "ORANGE",
  A1628="GAMM", "GREEN",
  A1628="BWF", "YELLOW",
  OR(A1628="TNBE", A1628="TNBL", A1628="TNBD", A1628="TNWC", A1628="TNBW", A1628="THBS"), "PINK",
  A1628="CRWD", "BLUE",
  A1628="PASS", "WHITE"
)</f>
        <v>#N/A</v>
      </c>
    </row>
    <row r="1629" spans="1:23" x14ac:dyDescent="0.25">
      <c r="A1629" s="7"/>
      <c r="H1629" s="2"/>
      <c r="L1629" s="18"/>
      <c r="M1629" s="3"/>
      <c r="P1629" s="3"/>
      <c r="Q1629" s="4"/>
      <c r="S1629" s="20"/>
      <c r="U1629" s="3" t="str">
        <f t="shared" si="54"/>
        <v/>
      </c>
      <c r="V1629" s="4" t="str">
        <f t="shared" si="55"/>
        <v/>
      </c>
      <c r="W1629" s="21" t="e" cm="1">
        <f t="array" ref="W1629">_xlfn.IFS(
  A1629="BELL", "WHITE",
  A1629="GAMP", "ORANGE",
  A1629="GAMM", "GREEN",
  A1629="BWF", "YELLOW",
  OR(A1629="TNBE", A1629="TNBL", A1629="TNBD", A1629="TNWC", A1629="TNBW", A1629="THBS"), "PINK",
  A1629="CRWD", "BLUE",
  A1629="PASS", "WHITE"
)</f>
        <v>#N/A</v>
      </c>
    </row>
    <row r="1630" spans="1:23" x14ac:dyDescent="0.25">
      <c r="A1630" s="7"/>
      <c r="H1630" s="2"/>
      <c r="L1630" s="18"/>
      <c r="M1630" s="3"/>
      <c r="P1630" s="3"/>
      <c r="Q1630" s="4"/>
      <c r="S1630" s="20"/>
      <c r="U1630" s="3" t="str">
        <f t="shared" si="54"/>
        <v/>
      </c>
      <c r="V1630" s="4" t="str">
        <f t="shared" si="55"/>
        <v/>
      </c>
      <c r="W1630" s="21" t="e" cm="1">
        <f t="array" ref="W1630">_xlfn.IFS(
  A1630="BELL", "WHITE",
  A1630="GAMP", "ORANGE",
  A1630="GAMM", "GREEN",
  A1630="BWF", "YELLOW",
  OR(A1630="TNBE", A1630="TNBL", A1630="TNBD", A1630="TNWC", A1630="TNBW", A1630="THBS"), "PINK",
  A1630="CRWD", "BLUE",
  A1630="PASS", "WHITE"
)</f>
        <v>#N/A</v>
      </c>
    </row>
    <row r="1631" spans="1:23" x14ac:dyDescent="0.25">
      <c r="A1631" s="7"/>
      <c r="H1631" s="2"/>
      <c r="L1631" s="18"/>
      <c r="M1631" s="3"/>
      <c r="P1631" s="3"/>
      <c r="Q1631" s="4"/>
      <c r="S1631" s="20"/>
      <c r="U1631" s="3" t="str">
        <f t="shared" si="54"/>
        <v/>
      </c>
      <c r="V1631" s="4" t="str">
        <f t="shared" si="55"/>
        <v/>
      </c>
      <c r="W1631" s="21" t="e" cm="1">
        <f t="array" ref="W1631">_xlfn.IFS(
  A1631="BELL", "WHITE",
  A1631="GAMP", "ORANGE",
  A1631="GAMM", "GREEN",
  A1631="BWF", "YELLOW",
  OR(A1631="TNBE", A1631="TNBL", A1631="TNBD", A1631="TNWC", A1631="TNBW", A1631="THBS"), "PINK",
  A1631="CRWD", "BLUE",
  A1631="PASS", "WHITE"
)</f>
        <v>#N/A</v>
      </c>
    </row>
    <row r="1632" spans="1:23" x14ac:dyDescent="0.25">
      <c r="A1632" s="7"/>
      <c r="H1632" s="2"/>
      <c r="L1632" s="18"/>
      <c r="M1632" s="3"/>
      <c r="P1632" s="3"/>
      <c r="Q1632" s="4"/>
      <c r="S1632" s="20"/>
      <c r="U1632" s="3" t="str">
        <f t="shared" si="54"/>
        <v/>
      </c>
      <c r="V1632" s="4" t="str">
        <f t="shared" si="55"/>
        <v/>
      </c>
      <c r="W1632" s="21" t="e" cm="1">
        <f t="array" ref="W1632">_xlfn.IFS(
  A1632="BELL", "WHITE",
  A1632="GAMP", "ORANGE",
  A1632="GAMM", "GREEN",
  A1632="BWF", "YELLOW",
  OR(A1632="TNBE", A1632="TNBL", A1632="TNBD", A1632="TNWC", A1632="TNBW", A1632="THBS"), "PINK",
  A1632="CRWD", "BLUE",
  A1632="PASS", "WHITE"
)</f>
        <v>#N/A</v>
      </c>
    </row>
    <row r="1633" spans="1:23" x14ac:dyDescent="0.25">
      <c r="A1633" s="7"/>
      <c r="H1633" s="2"/>
      <c r="L1633" s="18"/>
      <c r="M1633" s="3"/>
      <c r="P1633" s="3"/>
      <c r="Q1633" s="4"/>
      <c r="S1633" s="20"/>
      <c r="U1633" s="3" t="str">
        <f t="shared" si="54"/>
        <v/>
      </c>
      <c r="V1633" s="4" t="str">
        <f t="shared" si="55"/>
        <v/>
      </c>
      <c r="W1633" s="21" t="e" cm="1">
        <f t="array" ref="W1633">_xlfn.IFS(
  A1633="BELL", "WHITE",
  A1633="GAMP", "ORANGE",
  A1633="GAMM", "GREEN",
  A1633="BWF", "YELLOW",
  OR(A1633="TNBE", A1633="TNBL", A1633="TNBD", A1633="TNWC", A1633="TNBW", A1633="THBS"), "PINK",
  A1633="CRWD", "BLUE",
  A1633="PASS", "WHITE"
)</f>
        <v>#N/A</v>
      </c>
    </row>
    <row r="1634" spans="1:23" x14ac:dyDescent="0.25">
      <c r="A1634" s="7"/>
      <c r="H1634" s="2"/>
      <c r="L1634" s="18"/>
      <c r="M1634" s="3"/>
      <c r="P1634" s="3"/>
      <c r="Q1634" s="4"/>
      <c r="S1634" s="20"/>
      <c r="U1634" s="3" t="str">
        <f t="shared" si="54"/>
        <v/>
      </c>
      <c r="V1634" s="4" t="str">
        <f t="shared" si="55"/>
        <v/>
      </c>
      <c r="W1634" s="21" t="e" cm="1">
        <f t="array" ref="W1634">_xlfn.IFS(
  A1634="BELL", "WHITE",
  A1634="GAMP", "ORANGE",
  A1634="GAMM", "GREEN",
  A1634="BWF", "YELLOW",
  OR(A1634="TNBE", A1634="TNBL", A1634="TNBD", A1634="TNWC", A1634="TNBW", A1634="THBS"), "PINK",
  A1634="CRWD", "BLUE",
  A1634="PASS", "WHITE"
)</f>
        <v>#N/A</v>
      </c>
    </row>
    <row r="1635" spans="1:23" x14ac:dyDescent="0.25">
      <c r="A1635" s="7"/>
      <c r="H1635" s="2"/>
      <c r="L1635" s="18"/>
      <c r="M1635" s="3"/>
      <c r="P1635" s="3"/>
      <c r="Q1635" s="4"/>
      <c r="S1635" s="20"/>
      <c r="U1635" s="3" t="str">
        <f t="shared" si="54"/>
        <v/>
      </c>
      <c r="V1635" s="4" t="str">
        <f t="shared" si="55"/>
        <v/>
      </c>
      <c r="W1635" s="21" t="e" cm="1">
        <f t="array" ref="W1635">_xlfn.IFS(
  A1635="BELL", "WHITE",
  A1635="GAMP", "ORANGE",
  A1635="GAMM", "GREEN",
  A1635="BWF", "YELLOW",
  OR(A1635="TNBE", A1635="TNBL", A1635="TNBD", A1635="TNWC", A1635="TNBW", A1635="THBS"), "PINK",
  A1635="CRWD", "BLUE",
  A1635="PASS", "WHITE"
)</f>
        <v>#N/A</v>
      </c>
    </row>
    <row r="1636" spans="1:23" x14ac:dyDescent="0.25">
      <c r="A1636" s="7"/>
      <c r="H1636" s="2"/>
      <c r="L1636" s="18"/>
      <c r="M1636" s="3"/>
      <c r="P1636" s="3"/>
      <c r="Q1636" s="4"/>
      <c r="S1636" s="20"/>
      <c r="U1636" s="3" t="str">
        <f t="shared" si="54"/>
        <v/>
      </c>
      <c r="V1636" s="4" t="str">
        <f t="shared" si="55"/>
        <v/>
      </c>
      <c r="W1636" s="21" t="e" cm="1">
        <f t="array" ref="W1636">_xlfn.IFS(
  A1636="BELL", "WHITE",
  A1636="GAMP", "ORANGE",
  A1636="GAMM", "GREEN",
  A1636="BWF", "YELLOW",
  OR(A1636="TNBE", A1636="TNBL", A1636="TNBD", A1636="TNWC", A1636="TNBW", A1636="THBS"), "PINK",
  A1636="CRWD", "BLUE",
  A1636="PASS", "WHITE"
)</f>
        <v>#N/A</v>
      </c>
    </row>
    <row r="1637" spans="1:23" x14ac:dyDescent="0.25">
      <c r="A1637" s="7"/>
      <c r="H1637" s="2"/>
      <c r="L1637" s="18"/>
      <c r="M1637" s="3"/>
      <c r="P1637" s="3"/>
      <c r="Q1637" s="4"/>
      <c r="S1637" s="20"/>
      <c r="U1637" s="3" t="str">
        <f t="shared" si="54"/>
        <v/>
      </c>
      <c r="V1637" s="4" t="str">
        <f t="shared" si="55"/>
        <v/>
      </c>
      <c r="W1637" s="21" t="e" cm="1">
        <f t="array" ref="W1637">_xlfn.IFS(
  A1637="BELL", "WHITE",
  A1637="GAMP", "ORANGE",
  A1637="GAMM", "GREEN",
  A1637="BWF", "YELLOW",
  OR(A1637="TNBE", A1637="TNBL", A1637="TNBD", A1637="TNWC", A1637="TNBW", A1637="THBS"), "PINK",
  A1637="CRWD", "BLUE",
  A1637="PASS", "WHITE"
)</f>
        <v>#N/A</v>
      </c>
    </row>
    <row r="1638" spans="1:23" x14ac:dyDescent="0.25">
      <c r="A1638" s="7"/>
      <c r="H1638" s="2"/>
      <c r="L1638" s="18"/>
      <c r="M1638" s="3"/>
      <c r="P1638" s="3"/>
      <c r="Q1638" s="4"/>
      <c r="S1638" s="20"/>
      <c r="U1638" s="3" t="str">
        <f t="shared" si="54"/>
        <v/>
      </c>
      <c r="V1638" s="4" t="str">
        <f t="shared" si="55"/>
        <v/>
      </c>
      <c r="W1638" s="21" t="e" cm="1">
        <f t="array" ref="W1638">_xlfn.IFS(
  A1638="BELL", "WHITE",
  A1638="GAMP", "ORANGE",
  A1638="GAMM", "GREEN",
  A1638="BWF", "YELLOW",
  OR(A1638="TNBE", A1638="TNBL", A1638="TNBD", A1638="TNWC", A1638="TNBW", A1638="THBS"), "PINK",
  A1638="CRWD", "BLUE",
  A1638="PASS", "WHITE"
)</f>
        <v>#N/A</v>
      </c>
    </row>
    <row r="1639" spans="1:23" x14ac:dyDescent="0.25">
      <c r="A1639" s="7"/>
      <c r="H1639" s="2"/>
      <c r="L1639" s="18"/>
      <c r="M1639" s="3"/>
      <c r="P1639" s="3"/>
      <c r="Q1639" s="4"/>
      <c r="S1639" s="20"/>
      <c r="U1639" s="3" t="str">
        <f t="shared" si="54"/>
        <v/>
      </c>
      <c r="V1639" s="4" t="str">
        <f t="shared" si="55"/>
        <v/>
      </c>
      <c r="W1639" s="21" t="e" cm="1">
        <f t="array" ref="W1639">_xlfn.IFS(
  A1639="BELL", "WHITE",
  A1639="GAMP", "ORANGE",
  A1639="GAMM", "GREEN",
  A1639="BWF", "YELLOW",
  OR(A1639="TNBE", A1639="TNBL", A1639="TNBD", A1639="TNWC", A1639="TNBW", A1639="THBS"), "PINK",
  A1639="CRWD", "BLUE",
  A1639="PASS", "WHITE"
)</f>
        <v>#N/A</v>
      </c>
    </row>
    <row r="1640" spans="1:23" x14ac:dyDescent="0.25">
      <c r="A1640" s="7"/>
      <c r="H1640" s="2"/>
      <c r="L1640" s="18"/>
      <c r="M1640" s="3"/>
      <c r="P1640" s="3"/>
      <c r="Q1640" s="4"/>
      <c r="S1640" s="20"/>
      <c r="U1640" s="3" t="str">
        <f t="shared" si="54"/>
        <v/>
      </c>
      <c r="V1640" s="4" t="str">
        <f t="shared" si="55"/>
        <v/>
      </c>
      <c r="W1640" s="21" t="e" cm="1">
        <f t="array" ref="W1640">_xlfn.IFS(
  A1640="BELL", "WHITE",
  A1640="GAMP", "ORANGE",
  A1640="GAMM", "GREEN",
  A1640="BWF", "YELLOW",
  OR(A1640="TNBE", A1640="TNBL", A1640="TNBD", A1640="TNWC", A1640="TNBW", A1640="THBS"), "PINK",
  A1640="CRWD", "BLUE",
  A1640="PASS", "WHITE"
)</f>
        <v>#N/A</v>
      </c>
    </row>
    <row r="1641" spans="1:23" x14ac:dyDescent="0.25">
      <c r="A1641" s="7"/>
      <c r="H1641" s="2"/>
      <c r="L1641" s="18"/>
      <c r="M1641" s="3"/>
      <c r="P1641" s="3"/>
      <c r="Q1641" s="4"/>
      <c r="S1641" s="20"/>
      <c r="U1641" s="3" t="str">
        <f t="shared" si="54"/>
        <v/>
      </c>
      <c r="V1641" s="4" t="str">
        <f t="shared" si="55"/>
        <v/>
      </c>
      <c r="W1641" s="21" t="e" cm="1">
        <f t="array" ref="W1641">_xlfn.IFS(
  A1641="BELL", "WHITE",
  A1641="GAMP", "ORANGE",
  A1641="GAMM", "GREEN",
  A1641="BWF", "YELLOW",
  OR(A1641="TNBE", A1641="TNBL", A1641="TNBD", A1641="TNWC", A1641="TNBW", A1641="THBS"), "PINK",
  A1641="CRWD", "BLUE",
  A1641="PASS", "WHITE"
)</f>
        <v>#N/A</v>
      </c>
    </row>
    <row r="1642" spans="1:23" x14ac:dyDescent="0.25">
      <c r="A1642" s="7"/>
      <c r="H1642" s="2"/>
      <c r="L1642" s="18"/>
      <c r="M1642" s="3"/>
      <c r="P1642" s="3"/>
      <c r="Q1642" s="4"/>
      <c r="S1642" s="20"/>
      <c r="U1642" s="3" t="str">
        <f t="shared" si="54"/>
        <v/>
      </c>
      <c r="V1642" s="4" t="str">
        <f t="shared" si="55"/>
        <v/>
      </c>
      <c r="W1642" s="21" t="e" cm="1">
        <f t="array" ref="W1642">_xlfn.IFS(
  A1642="BELL", "WHITE",
  A1642="GAMP", "ORANGE",
  A1642="GAMM", "GREEN",
  A1642="BWF", "YELLOW",
  OR(A1642="TNBE", A1642="TNBL", A1642="TNBD", A1642="TNWC", A1642="TNBW", A1642="THBS"), "PINK",
  A1642="CRWD", "BLUE",
  A1642="PASS", "WHITE"
)</f>
        <v>#N/A</v>
      </c>
    </row>
    <row r="1643" spans="1:23" x14ac:dyDescent="0.25">
      <c r="A1643" s="7"/>
      <c r="H1643" s="2"/>
      <c r="L1643" s="18"/>
      <c r="M1643" s="3"/>
      <c r="P1643" s="3"/>
      <c r="Q1643" s="4"/>
      <c r="S1643" s="20"/>
      <c r="U1643" s="3" t="str">
        <f t="shared" si="54"/>
        <v/>
      </c>
      <c r="V1643" s="4" t="str">
        <f t="shared" si="55"/>
        <v/>
      </c>
      <c r="W1643" s="21" t="e" cm="1">
        <f t="array" ref="W1643">_xlfn.IFS(
  A1643="BELL", "WHITE",
  A1643="GAMP", "ORANGE",
  A1643="GAMM", "GREEN",
  A1643="BWF", "YELLOW",
  OR(A1643="TNBE", A1643="TNBL", A1643="TNBD", A1643="TNWC", A1643="TNBW", A1643="THBS"), "PINK",
  A1643="CRWD", "BLUE",
  A1643="PASS", "WHITE"
)</f>
        <v>#N/A</v>
      </c>
    </row>
    <row r="1644" spans="1:23" x14ac:dyDescent="0.25">
      <c r="A1644" s="7"/>
      <c r="H1644" s="2"/>
      <c r="L1644" s="18"/>
      <c r="M1644" s="3"/>
      <c r="P1644" s="3"/>
      <c r="Q1644" s="4"/>
      <c r="S1644" s="20"/>
      <c r="U1644" s="3" t="str">
        <f t="shared" si="54"/>
        <v/>
      </c>
      <c r="V1644" s="4" t="str">
        <f t="shared" si="55"/>
        <v/>
      </c>
      <c r="W1644" s="21" t="e" cm="1">
        <f t="array" ref="W1644">_xlfn.IFS(
  A1644="BELL", "WHITE",
  A1644="GAMP", "ORANGE",
  A1644="GAMM", "GREEN",
  A1644="BWF", "YELLOW",
  OR(A1644="TNBE", A1644="TNBL", A1644="TNBD", A1644="TNWC", A1644="TNBW", A1644="THBS"), "PINK",
  A1644="CRWD", "BLUE",
  A1644="PASS", "WHITE"
)</f>
        <v>#N/A</v>
      </c>
    </row>
    <row r="1645" spans="1:23" x14ac:dyDescent="0.25">
      <c r="A1645" s="7"/>
      <c r="H1645" s="2"/>
      <c r="L1645" s="18"/>
      <c r="M1645" s="3"/>
      <c r="P1645" s="3"/>
      <c r="Q1645" s="4"/>
      <c r="S1645" s="20"/>
      <c r="U1645" s="3" t="str">
        <f t="shared" si="54"/>
        <v/>
      </c>
      <c r="V1645" s="4" t="str">
        <f t="shared" si="55"/>
        <v/>
      </c>
      <c r="W1645" s="21" t="e" cm="1">
        <f t="array" ref="W1645">_xlfn.IFS(
  A1645="BELL", "WHITE",
  A1645="GAMP", "ORANGE",
  A1645="GAMM", "GREEN",
  A1645="BWF", "YELLOW",
  OR(A1645="TNBE", A1645="TNBL", A1645="TNBD", A1645="TNWC", A1645="TNBW", A1645="THBS"), "PINK",
  A1645="CRWD", "BLUE",
  A1645="PASS", "WHITE"
)</f>
        <v>#N/A</v>
      </c>
    </row>
    <row r="1646" spans="1:23" x14ac:dyDescent="0.25">
      <c r="A1646" s="7"/>
      <c r="H1646" s="2"/>
      <c r="L1646" s="18"/>
      <c r="M1646" s="3"/>
      <c r="P1646" s="3"/>
      <c r="Q1646" s="4"/>
      <c r="S1646" s="20"/>
      <c r="U1646" s="3" t="str">
        <f t="shared" si="54"/>
        <v/>
      </c>
      <c r="V1646" s="4" t="str">
        <f t="shared" si="55"/>
        <v/>
      </c>
      <c r="W1646" s="21" t="e" cm="1">
        <f t="array" ref="W1646">_xlfn.IFS(
  A1646="BELL", "WHITE",
  A1646="GAMP", "ORANGE",
  A1646="GAMM", "GREEN",
  A1646="BWF", "YELLOW",
  OR(A1646="TNBE", A1646="TNBL", A1646="TNBD", A1646="TNWC", A1646="TNBW", A1646="THBS"), "PINK",
  A1646="CRWD", "BLUE",
  A1646="PASS", "WHITE"
)</f>
        <v>#N/A</v>
      </c>
    </row>
    <row r="1647" spans="1:23" x14ac:dyDescent="0.25">
      <c r="A1647" s="7"/>
      <c r="H1647" s="2"/>
      <c r="L1647" s="18"/>
      <c r="M1647" s="3"/>
      <c r="P1647" s="3"/>
      <c r="Q1647" s="4"/>
      <c r="S1647" s="20"/>
      <c r="U1647" s="3" t="str">
        <f t="shared" si="54"/>
        <v/>
      </c>
      <c r="V1647" s="4" t="str">
        <f t="shared" si="55"/>
        <v/>
      </c>
      <c r="W1647" s="21" t="e" cm="1">
        <f t="array" ref="W1647">_xlfn.IFS(
  A1647="BELL", "WHITE",
  A1647="GAMP", "ORANGE",
  A1647="GAMM", "GREEN",
  A1647="BWF", "YELLOW",
  OR(A1647="TNBE", A1647="TNBL", A1647="TNBD", A1647="TNWC", A1647="TNBW", A1647="THBS"), "PINK",
  A1647="CRWD", "BLUE",
  A1647="PASS", "WHITE"
)</f>
        <v>#N/A</v>
      </c>
    </row>
    <row r="1648" spans="1:23" x14ac:dyDescent="0.25">
      <c r="A1648" s="7"/>
      <c r="H1648" s="2"/>
      <c r="L1648" s="18"/>
      <c r="M1648" s="3"/>
      <c r="P1648" s="3"/>
      <c r="Q1648" s="4"/>
      <c r="S1648" s="20"/>
      <c r="U1648" s="3" t="str">
        <f t="shared" si="54"/>
        <v/>
      </c>
      <c r="V1648" s="4" t="str">
        <f t="shared" si="55"/>
        <v/>
      </c>
      <c r="W1648" s="21" t="e" cm="1">
        <f t="array" ref="W1648">_xlfn.IFS(
  A1648="BELL", "WHITE",
  A1648="GAMP", "ORANGE",
  A1648="GAMM", "GREEN",
  A1648="BWF", "YELLOW",
  OR(A1648="TNBE", A1648="TNBL", A1648="TNBD", A1648="TNWC", A1648="TNBW", A1648="THBS"), "PINK",
  A1648="CRWD", "BLUE",
  A1648="PASS", "WHITE"
)</f>
        <v>#N/A</v>
      </c>
    </row>
    <row r="1649" spans="1:23" x14ac:dyDescent="0.25">
      <c r="A1649" s="7"/>
      <c r="H1649" s="2"/>
      <c r="L1649" s="18"/>
      <c r="M1649" s="3"/>
      <c r="P1649" s="3"/>
      <c r="Q1649" s="4"/>
      <c r="S1649" s="20"/>
      <c r="U1649" s="3" t="str">
        <f t="shared" si="54"/>
        <v/>
      </c>
      <c r="V1649" s="4" t="str">
        <f t="shared" si="55"/>
        <v/>
      </c>
      <c r="W1649" s="21" t="e" cm="1">
        <f t="array" ref="W1649">_xlfn.IFS(
  A1649="BELL", "WHITE",
  A1649="GAMP", "ORANGE",
  A1649="GAMM", "GREEN",
  A1649="BWF", "YELLOW",
  OR(A1649="TNBE", A1649="TNBL", A1649="TNBD", A1649="TNWC", A1649="TNBW", A1649="THBS"), "PINK",
  A1649="CRWD", "BLUE",
  A1649="PASS", "WHITE"
)</f>
        <v>#N/A</v>
      </c>
    </row>
    <row r="1650" spans="1:23" x14ac:dyDescent="0.25">
      <c r="A1650" s="7"/>
      <c r="H1650" s="2"/>
      <c r="L1650" s="18"/>
      <c r="M1650" s="3"/>
      <c r="P1650" s="3"/>
      <c r="Q1650" s="4"/>
      <c r="S1650" s="20"/>
      <c r="U1650" s="3" t="str">
        <f t="shared" si="54"/>
        <v/>
      </c>
      <c r="V1650" s="4" t="str">
        <f t="shared" si="55"/>
        <v/>
      </c>
      <c r="W1650" s="21" t="e" cm="1">
        <f t="array" ref="W1650">_xlfn.IFS(
  A1650="BELL", "WHITE",
  A1650="GAMP", "ORANGE",
  A1650="GAMM", "GREEN",
  A1650="BWF", "YELLOW",
  OR(A1650="TNBE", A1650="TNBL", A1650="TNBD", A1650="TNWC", A1650="TNBW", A1650="THBS"), "PINK",
  A1650="CRWD", "BLUE",
  A1650="PASS", "WHITE"
)</f>
        <v>#N/A</v>
      </c>
    </row>
    <row r="1651" spans="1:23" x14ac:dyDescent="0.25">
      <c r="A1651" s="7"/>
      <c r="H1651" s="2"/>
      <c r="L1651" s="18"/>
      <c r="M1651" s="3"/>
      <c r="P1651" s="3"/>
      <c r="Q1651" s="4"/>
      <c r="S1651" s="20"/>
      <c r="U1651" s="3" t="str">
        <f t="shared" si="54"/>
        <v/>
      </c>
      <c r="V1651" s="4" t="str">
        <f t="shared" si="55"/>
        <v/>
      </c>
      <c r="W1651" s="21" t="e" cm="1">
        <f t="array" ref="W1651">_xlfn.IFS(
  A1651="BELL", "WHITE",
  A1651="GAMP", "ORANGE",
  A1651="GAMM", "GREEN",
  A1651="BWF", "YELLOW",
  OR(A1651="TNBE", A1651="TNBL", A1651="TNBD", A1651="TNWC", A1651="TNBW", A1651="THBS"), "PINK",
  A1651="CRWD", "BLUE",
  A1651="PASS", "WHITE"
)</f>
        <v>#N/A</v>
      </c>
    </row>
    <row r="1652" spans="1:23" x14ac:dyDescent="0.25">
      <c r="A1652" s="7"/>
      <c r="H1652" s="2"/>
      <c r="L1652" s="18"/>
      <c r="M1652" s="3"/>
      <c r="P1652" s="3"/>
      <c r="Q1652" s="4"/>
      <c r="S1652" s="20"/>
      <c r="U1652" s="3" t="str">
        <f t="shared" si="54"/>
        <v/>
      </c>
      <c r="V1652" s="4" t="str">
        <f t="shared" si="55"/>
        <v/>
      </c>
      <c r="W1652" s="21" t="e" cm="1">
        <f t="array" ref="W1652">_xlfn.IFS(
  A1652="BELL", "WHITE",
  A1652="GAMP", "ORANGE",
  A1652="GAMM", "GREEN",
  A1652="BWF", "YELLOW",
  OR(A1652="TNBE", A1652="TNBL", A1652="TNBD", A1652="TNWC", A1652="TNBW", A1652="THBS"), "PINK",
  A1652="CRWD", "BLUE",
  A1652="PASS", "WHITE"
)</f>
        <v>#N/A</v>
      </c>
    </row>
    <row r="1653" spans="1:23" x14ac:dyDescent="0.25">
      <c r="A1653" s="7"/>
      <c r="H1653" s="2"/>
      <c r="L1653" s="18"/>
      <c r="M1653" s="3"/>
      <c r="P1653" s="3"/>
      <c r="Q1653" s="4"/>
      <c r="S1653" s="20"/>
      <c r="U1653" s="3" t="str">
        <f t="shared" si="54"/>
        <v/>
      </c>
      <c r="V1653" s="4" t="str">
        <f t="shared" si="55"/>
        <v/>
      </c>
      <c r="W1653" s="21" t="e" cm="1">
        <f t="array" ref="W1653">_xlfn.IFS(
  A1653="BELL", "WHITE",
  A1653="GAMP", "ORANGE",
  A1653="GAMM", "GREEN",
  A1653="BWF", "YELLOW",
  OR(A1653="TNBE", A1653="TNBL", A1653="TNBD", A1653="TNWC", A1653="TNBW", A1653="THBS"), "PINK",
  A1653="CRWD", "BLUE",
  A1653="PASS", "WHITE"
)</f>
        <v>#N/A</v>
      </c>
    </row>
    <row r="1654" spans="1:23" x14ac:dyDescent="0.25">
      <c r="A1654" s="7"/>
      <c r="H1654" s="2"/>
      <c r="L1654" s="18"/>
      <c r="M1654" s="3"/>
      <c r="P1654" s="3"/>
      <c r="Q1654" s="4"/>
      <c r="S1654" s="20"/>
      <c r="U1654" s="3" t="str">
        <f t="shared" si="54"/>
        <v/>
      </c>
      <c r="V1654" s="4" t="str">
        <f t="shared" si="55"/>
        <v/>
      </c>
      <c r="W1654" s="21" t="e" cm="1">
        <f t="array" ref="W1654">_xlfn.IFS(
  A1654="BELL", "WHITE",
  A1654="GAMP", "ORANGE",
  A1654="GAMM", "GREEN",
  A1654="BWF", "YELLOW",
  OR(A1654="TNBE", A1654="TNBL", A1654="TNBD", A1654="TNWC", A1654="TNBW", A1654="THBS"), "PINK",
  A1654="CRWD", "BLUE",
  A1654="PASS", "WHITE"
)</f>
        <v>#N/A</v>
      </c>
    </row>
    <row r="1655" spans="1:23" x14ac:dyDescent="0.25">
      <c r="A1655" s="7"/>
      <c r="H1655" s="2"/>
      <c r="L1655" s="18"/>
      <c r="M1655" s="3"/>
      <c r="P1655" s="3"/>
      <c r="Q1655" s="4"/>
      <c r="S1655" s="20"/>
      <c r="U1655" s="3" t="str">
        <f t="shared" si="54"/>
        <v/>
      </c>
      <c r="V1655" s="4" t="str">
        <f t="shared" si="55"/>
        <v/>
      </c>
      <c r="W1655" s="21" t="e" cm="1">
        <f t="array" ref="W1655">_xlfn.IFS(
  A1655="BELL", "WHITE",
  A1655="GAMP", "ORANGE",
  A1655="GAMM", "GREEN",
  A1655="BWF", "YELLOW",
  OR(A1655="TNBE", A1655="TNBL", A1655="TNBD", A1655="TNWC", A1655="TNBW", A1655="THBS"), "PINK",
  A1655="CRWD", "BLUE",
  A1655="PASS", "WHITE"
)</f>
        <v>#N/A</v>
      </c>
    </row>
    <row r="1656" spans="1:23" x14ac:dyDescent="0.25">
      <c r="A1656" s="7"/>
      <c r="H1656" s="2"/>
      <c r="L1656" s="18"/>
      <c r="M1656" s="3"/>
      <c r="P1656" s="3"/>
      <c r="Q1656" s="4"/>
      <c r="S1656" s="20"/>
      <c r="U1656" s="3" t="str">
        <f t="shared" si="54"/>
        <v/>
      </c>
      <c r="V1656" s="4" t="str">
        <f t="shared" si="55"/>
        <v/>
      </c>
      <c r="W1656" s="21" t="e" cm="1">
        <f t="array" ref="W1656">_xlfn.IFS(
  A1656="BELL", "WHITE",
  A1656="GAMP", "ORANGE",
  A1656="GAMM", "GREEN",
  A1656="BWF", "YELLOW",
  OR(A1656="TNBE", A1656="TNBL", A1656="TNBD", A1656="TNWC", A1656="TNBW", A1656="THBS"), "PINK",
  A1656="CRWD", "BLUE",
  A1656="PASS", "WHITE"
)</f>
        <v>#N/A</v>
      </c>
    </row>
    <row r="1657" spans="1:23" x14ac:dyDescent="0.25">
      <c r="A1657" s="7"/>
      <c r="H1657" s="2"/>
      <c r="L1657" s="18"/>
      <c r="M1657" s="3"/>
      <c r="P1657" s="3"/>
      <c r="Q1657" s="4"/>
      <c r="S1657" s="20"/>
      <c r="U1657" s="3" t="str">
        <f t="shared" si="54"/>
        <v/>
      </c>
      <c r="V1657" s="4" t="str">
        <f t="shared" si="55"/>
        <v/>
      </c>
      <c r="W1657" s="21" t="e" cm="1">
        <f t="array" ref="W1657">_xlfn.IFS(
  A1657="BELL", "WHITE",
  A1657="GAMP", "ORANGE",
  A1657="GAMM", "GREEN",
  A1657="BWF", "YELLOW",
  OR(A1657="TNBE", A1657="TNBL", A1657="TNBD", A1657="TNWC", A1657="TNBW", A1657="THBS"), "PINK",
  A1657="CRWD", "BLUE",
  A1657="PASS", "WHITE"
)</f>
        <v>#N/A</v>
      </c>
    </row>
    <row r="1658" spans="1:23" x14ac:dyDescent="0.25">
      <c r="A1658" s="7"/>
      <c r="H1658" s="2"/>
      <c r="L1658" s="18"/>
      <c r="M1658" s="3"/>
      <c r="P1658" s="3"/>
      <c r="Q1658" s="4"/>
      <c r="S1658" s="20"/>
      <c r="U1658" s="3" t="str">
        <f t="shared" si="54"/>
        <v/>
      </c>
      <c r="V1658" s="4" t="str">
        <f t="shared" si="55"/>
        <v/>
      </c>
      <c r="W1658" s="21" t="e" cm="1">
        <f t="array" ref="W1658">_xlfn.IFS(
  A1658="BELL", "WHITE",
  A1658="GAMP", "ORANGE",
  A1658="GAMM", "GREEN",
  A1658="BWF", "YELLOW",
  OR(A1658="TNBE", A1658="TNBL", A1658="TNBD", A1658="TNWC", A1658="TNBW", A1658="THBS"), "PINK",
  A1658="CRWD", "BLUE",
  A1658="PASS", "WHITE"
)</f>
        <v>#N/A</v>
      </c>
    </row>
    <row r="1659" spans="1:23" x14ac:dyDescent="0.25">
      <c r="A1659" s="7"/>
      <c r="H1659" s="2"/>
      <c r="L1659" s="18"/>
      <c r="M1659" s="3"/>
      <c r="P1659" s="3"/>
      <c r="Q1659" s="4"/>
      <c r="S1659" s="20"/>
      <c r="U1659" s="3" t="str">
        <f t="shared" si="54"/>
        <v/>
      </c>
      <c r="V1659" s="4" t="str">
        <f t="shared" si="55"/>
        <v/>
      </c>
      <c r="W1659" s="21" t="e" cm="1">
        <f t="array" ref="W1659">_xlfn.IFS(
  A1659="BELL", "WHITE",
  A1659="GAMP", "ORANGE",
  A1659="GAMM", "GREEN",
  A1659="BWF", "YELLOW",
  OR(A1659="TNBE", A1659="TNBL", A1659="TNBD", A1659="TNWC", A1659="TNBW", A1659="THBS"), "PINK",
  A1659="CRWD", "BLUE",
  A1659="PASS", "WHITE"
)</f>
        <v>#N/A</v>
      </c>
    </row>
    <row r="1660" spans="1:23" x14ac:dyDescent="0.25">
      <c r="A1660" s="7"/>
      <c r="H1660" s="2"/>
      <c r="L1660" s="18"/>
      <c r="M1660" s="3"/>
      <c r="P1660" s="3"/>
      <c r="Q1660" s="4"/>
      <c r="S1660" s="20"/>
      <c r="U1660" s="3" t="str">
        <f t="shared" si="54"/>
        <v/>
      </c>
      <c r="V1660" s="4" t="str">
        <f t="shared" si="55"/>
        <v/>
      </c>
      <c r="W1660" s="21" t="e" cm="1">
        <f t="array" ref="W1660">_xlfn.IFS(
  A1660="BELL", "WHITE",
  A1660="GAMP", "ORANGE",
  A1660="GAMM", "GREEN",
  A1660="BWF", "YELLOW",
  OR(A1660="TNBE", A1660="TNBL", A1660="TNBD", A1660="TNWC", A1660="TNBW", A1660="THBS"), "PINK",
  A1660="CRWD", "BLUE",
  A1660="PASS", "WHITE"
)</f>
        <v>#N/A</v>
      </c>
    </row>
    <row r="1661" spans="1:23" x14ac:dyDescent="0.25">
      <c r="A1661" s="7"/>
      <c r="H1661" s="2"/>
      <c r="L1661" s="18"/>
      <c r="M1661" s="3"/>
      <c r="P1661" s="3"/>
      <c r="Q1661" s="4"/>
      <c r="S1661" s="20"/>
      <c r="U1661" s="3" t="str">
        <f t="shared" si="54"/>
        <v/>
      </c>
      <c r="V1661" s="4" t="str">
        <f t="shared" si="55"/>
        <v/>
      </c>
      <c r="W1661" s="21" t="e" cm="1">
        <f t="array" ref="W1661">_xlfn.IFS(
  A1661="BELL", "WHITE",
  A1661="GAMP", "ORANGE",
  A1661="GAMM", "GREEN",
  A1661="BWF", "YELLOW",
  OR(A1661="TNBE", A1661="TNBL", A1661="TNBD", A1661="TNWC", A1661="TNBW", A1661="THBS"), "PINK",
  A1661="CRWD", "BLUE",
  A1661="PASS", "WHITE"
)</f>
        <v>#N/A</v>
      </c>
    </row>
    <row r="1662" spans="1:23" x14ac:dyDescent="0.25">
      <c r="A1662" s="7"/>
      <c r="H1662" s="2"/>
      <c r="L1662" s="18"/>
      <c r="M1662" s="3"/>
      <c r="P1662" s="3"/>
      <c r="Q1662" s="4"/>
      <c r="S1662" s="20"/>
      <c r="U1662" s="3" t="str">
        <f t="shared" si="54"/>
        <v/>
      </c>
      <c r="V1662" s="4" t="str">
        <f t="shared" si="55"/>
        <v/>
      </c>
      <c r="W1662" s="21" t="e" cm="1">
        <f t="array" ref="W1662">_xlfn.IFS(
  A1662="BELL", "WHITE",
  A1662="GAMP", "ORANGE",
  A1662="GAMM", "GREEN",
  A1662="BWF", "YELLOW",
  OR(A1662="TNBE", A1662="TNBL", A1662="TNBD", A1662="TNWC", A1662="TNBW", A1662="THBS"), "PINK",
  A1662="CRWD", "BLUE",
  A1662="PASS", "WHITE"
)</f>
        <v>#N/A</v>
      </c>
    </row>
    <row r="1663" spans="1:23" x14ac:dyDescent="0.25">
      <c r="A1663" s="7"/>
      <c r="H1663" s="2"/>
      <c r="L1663" s="18"/>
      <c r="M1663" s="3"/>
      <c r="P1663" s="3"/>
      <c r="Q1663" s="4"/>
      <c r="S1663" s="20"/>
      <c r="U1663" s="3" t="str">
        <f t="shared" si="54"/>
        <v/>
      </c>
      <c r="V1663" s="4" t="str">
        <f t="shared" si="55"/>
        <v/>
      </c>
      <c r="W1663" s="21" t="e" cm="1">
        <f t="array" ref="W1663">_xlfn.IFS(
  A1663="BELL", "WHITE",
  A1663="GAMP", "ORANGE",
  A1663="GAMM", "GREEN",
  A1663="BWF", "YELLOW",
  OR(A1663="TNBE", A1663="TNBL", A1663="TNBD", A1663="TNWC", A1663="TNBW", A1663="THBS"), "PINK",
  A1663="CRWD", "BLUE",
  A1663="PASS", "WHITE"
)</f>
        <v>#N/A</v>
      </c>
    </row>
    <row r="1664" spans="1:23" x14ac:dyDescent="0.25">
      <c r="A1664" s="7"/>
      <c r="H1664" s="2"/>
      <c r="L1664" s="18"/>
      <c r="M1664" s="3"/>
      <c r="P1664" s="3"/>
      <c r="Q1664" s="4"/>
      <c r="S1664" s="20"/>
      <c r="U1664" s="3" t="str">
        <f t="shared" si="54"/>
        <v/>
      </c>
      <c r="V1664" s="4" t="str">
        <f t="shared" si="55"/>
        <v/>
      </c>
      <c r="W1664" s="21" t="e" cm="1">
        <f t="array" ref="W1664">_xlfn.IFS(
  A1664="BELL", "WHITE",
  A1664="GAMP", "ORANGE",
  A1664="GAMM", "GREEN",
  A1664="BWF", "YELLOW",
  OR(A1664="TNBE", A1664="TNBL", A1664="TNBD", A1664="TNWC", A1664="TNBW", A1664="THBS"), "PINK",
  A1664="CRWD", "BLUE",
  A1664="PASS", "WHITE"
)</f>
        <v>#N/A</v>
      </c>
    </row>
    <row r="1665" spans="1:23" x14ac:dyDescent="0.25">
      <c r="A1665" s="7"/>
      <c r="H1665" s="2"/>
      <c r="L1665" s="18"/>
      <c r="M1665" s="3"/>
      <c r="P1665" s="3"/>
      <c r="Q1665" s="4"/>
      <c r="S1665" s="20"/>
      <c r="U1665" s="3" t="str">
        <f t="shared" si="54"/>
        <v/>
      </c>
      <c r="V1665" s="4" t="str">
        <f t="shared" si="55"/>
        <v/>
      </c>
      <c r="W1665" s="21" t="e" cm="1">
        <f t="array" ref="W1665">_xlfn.IFS(
  A1665="BELL", "WHITE",
  A1665="GAMP", "ORANGE",
  A1665="GAMM", "GREEN",
  A1665="BWF", "YELLOW",
  OR(A1665="TNBE", A1665="TNBL", A1665="TNBD", A1665="TNWC", A1665="TNBW", A1665="THBS"), "PINK",
  A1665="CRWD", "BLUE",
  A1665="PASS", "WHITE"
)</f>
        <v>#N/A</v>
      </c>
    </row>
    <row r="1666" spans="1:23" x14ac:dyDescent="0.25">
      <c r="A1666" s="7"/>
      <c r="H1666" s="2"/>
      <c r="L1666" s="18"/>
      <c r="M1666" s="3"/>
      <c r="P1666" s="3"/>
      <c r="Q1666" s="4"/>
      <c r="S1666" s="20"/>
      <c r="U1666" s="3" t="str">
        <f t="shared" si="54"/>
        <v/>
      </c>
      <c r="V1666" s="4" t="str">
        <f t="shared" si="55"/>
        <v/>
      </c>
      <c r="W1666" s="21" t="e" cm="1">
        <f t="array" ref="W1666">_xlfn.IFS(
  A1666="BELL", "WHITE",
  A1666="GAMP", "ORANGE",
  A1666="GAMM", "GREEN",
  A1666="BWF", "YELLOW",
  OR(A1666="TNBE", A1666="TNBL", A1666="TNBD", A1666="TNWC", A1666="TNBW", A1666="THBS"), "PINK",
  A1666="CRWD", "BLUE",
  A1666="PASS", "WHITE"
)</f>
        <v>#N/A</v>
      </c>
    </row>
    <row r="1667" spans="1:23" x14ac:dyDescent="0.25">
      <c r="A1667" s="7"/>
      <c r="H1667" s="2"/>
      <c r="L1667" s="18"/>
      <c r="M1667" s="3"/>
      <c r="P1667" s="3"/>
      <c r="Q1667" s="4"/>
      <c r="S1667" s="20"/>
      <c r="U1667" s="3" t="str">
        <f t="shared" si="54"/>
        <v/>
      </c>
      <c r="V1667" s="4" t="str">
        <f t="shared" si="55"/>
        <v/>
      </c>
      <c r="W1667" s="21" t="e" cm="1">
        <f t="array" ref="W1667">_xlfn.IFS(
  A1667="BELL", "WHITE",
  A1667="GAMP", "ORANGE",
  A1667="GAMM", "GREEN",
  A1667="BWF", "YELLOW",
  OR(A1667="TNBE", A1667="TNBL", A1667="TNBD", A1667="TNWC", A1667="TNBW", A1667="THBS"), "PINK",
  A1667="CRWD", "BLUE",
  A1667="PASS", "WHITE"
)</f>
        <v>#N/A</v>
      </c>
    </row>
    <row r="1668" spans="1:23" x14ac:dyDescent="0.25">
      <c r="A1668" s="7"/>
      <c r="H1668" s="2"/>
      <c r="L1668" s="18"/>
      <c r="M1668" s="3"/>
      <c r="P1668" s="3"/>
      <c r="Q1668" s="4"/>
      <c r="S1668" s="20"/>
      <c r="U1668" s="3" t="str">
        <f t="shared" ref="U1668:U1731" si="56">IF(T1668="","",IF(T1668&gt;I1668,H1668,T1668/G1668))</f>
        <v/>
      </c>
      <c r="V1668" s="4" t="str">
        <f t="shared" ref="V1668:V1731" si="57">IF(T1668&gt;I1668,T1668-I1668,"")</f>
        <v/>
      </c>
      <c r="W1668" s="21" t="e" cm="1">
        <f t="array" ref="W1668">_xlfn.IFS(
  A1668="BELL", "WHITE",
  A1668="GAMP", "ORANGE",
  A1668="GAMM", "GREEN",
  A1668="BWF", "YELLOW",
  OR(A1668="TNBE", A1668="TNBL", A1668="TNBD", A1668="TNWC", A1668="TNBW", A1668="THBS"), "PINK",
  A1668="CRWD", "BLUE",
  A1668="PASS", "WHITE"
)</f>
        <v>#N/A</v>
      </c>
    </row>
    <row r="1669" spans="1:23" x14ac:dyDescent="0.25">
      <c r="A1669" s="7"/>
      <c r="H1669" s="2"/>
      <c r="L1669" s="18"/>
      <c r="M1669" s="3"/>
      <c r="P1669" s="3"/>
      <c r="Q1669" s="4"/>
      <c r="S1669" s="20"/>
      <c r="U1669" s="3" t="str">
        <f t="shared" si="56"/>
        <v/>
      </c>
      <c r="V1669" s="4" t="str">
        <f t="shared" si="57"/>
        <v/>
      </c>
      <c r="W1669" s="21" t="e" cm="1">
        <f t="array" ref="W1669">_xlfn.IFS(
  A1669="BELL", "WHITE",
  A1669="GAMP", "ORANGE",
  A1669="GAMM", "GREEN",
  A1669="BWF", "YELLOW",
  OR(A1669="TNBE", A1669="TNBL", A1669="TNBD", A1669="TNWC", A1669="TNBW", A1669="THBS"), "PINK",
  A1669="CRWD", "BLUE",
  A1669="PASS", "WHITE"
)</f>
        <v>#N/A</v>
      </c>
    </row>
    <row r="1670" spans="1:23" x14ac:dyDescent="0.25">
      <c r="A1670" s="7"/>
      <c r="H1670" s="2"/>
      <c r="L1670" s="18"/>
      <c r="M1670" s="3"/>
      <c r="P1670" s="3"/>
      <c r="Q1670" s="4"/>
      <c r="S1670" s="20"/>
      <c r="U1670" s="3" t="str">
        <f t="shared" si="56"/>
        <v/>
      </c>
      <c r="V1670" s="4" t="str">
        <f t="shared" si="57"/>
        <v/>
      </c>
      <c r="W1670" s="21" t="e" cm="1">
        <f t="array" ref="W1670">_xlfn.IFS(
  A1670="BELL", "WHITE",
  A1670="GAMP", "ORANGE",
  A1670="GAMM", "GREEN",
  A1670="BWF", "YELLOW",
  OR(A1670="TNBE", A1670="TNBL", A1670="TNBD", A1670="TNWC", A1670="TNBW", A1670="THBS"), "PINK",
  A1670="CRWD", "BLUE",
  A1670="PASS", "WHITE"
)</f>
        <v>#N/A</v>
      </c>
    </row>
    <row r="1671" spans="1:23" x14ac:dyDescent="0.25">
      <c r="A1671" s="7"/>
      <c r="H1671" s="2"/>
      <c r="L1671" s="18"/>
      <c r="M1671" s="3"/>
      <c r="P1671" s="3"/>
      <c r="Q1671" s="4"/>
      <c r="S1671" s="20"/>
      <c r="U1671" s="3" t="str">
        <f t="shared" si="56"/>
        <v/>
      </c>
      <c r="V1671" s="4" t="str">
        <f t="shared" si="57"/>
        <v/>
      </c>
      <c r="W1671" s="21" t="e" cm="1">
        <f t="array" ref="W1671">_xlfn.IFS(
  A1671="BELL", "WHITE",
  A1671="GAMP", "ORANGE",
  A1671="GAMM", "GREEN",
  A1671="BWF", "YELLOW",
  OR(A1671="TNBE", A1671="TNBL", A1671="TNBD", A1671="TNWC", A1671="TNBW", A1671="THBS"), "PINK",
  A1671="CRWD", "BLUE",
  A1671="PASS", "WHITE"
)</f>
        <v>#N/A</v>
      </c>
    </row>
    <row r="1672" spans="1:23" x14ac:dyDescent="0.25">
      <c r="A1672" s="7"/>
      <c r="H1672" s="2"/>
      <c r="L1672" s="18"/>
      <c r="M1672" s="3"/>
      <c r="P1672" s="3"/>
      <c r="Q1672" s="4"/>
      <c r="S1672" s="20"/>
      <c r="U1672" s="3" t="str">
        <f t="shared" si="56"/>
        <v/>
      </c>
      <c r="V1672" s="4" t="str">
        <f t="shared" si="57"/>
        <v/>
      </c>
      <c r="W1672" s="21" t="e" cm="1">
        <f t="array" ref="W1672">_xlfn.IFS(
  A1672="BELL", "WHITE",
  A1672="GAMP", "ORANGE",
  A1672="GAMM", "GREEN",
  A1672="BWF", "YELLOW",
  OR(A1672="TNBE", A1672="TNBL", A1672="TNBD", A1672="TNWC", A1672="TNBW", A1672="THBS"), "PINK",
  A1672="CRWD", "BLUE",
  A1672="PASS", "WHITE"
)</f>
        <v>#N/A</v>
      </c>
    </row>
    <row r="1673" spans="1:23" x14ac:dyDescent="0.25">
      <c r="A1673" s="7"/>
      <c r="H1673" s="2"/>
      <c r="L1673" s="18"/>
      <c r="M1673" s="3"/>
      <c r="P1673" s="3"/>
      <c r="Q1673" s="4"/>
      <c r="S1673" s="20"/>
      <c r="U1673" s="3" t="str">
        <f t="shared" si="56"/>
        <v/>
      </c>
      <c r="V1673" s="4" t="str">
        <f t="shared" si="57"/>
        <v/>
      </c>
      <c r="W1673" s="21" t="e" cm="1">
        <f t="array" ref="W1673">_xlfn.IFS(
  A1673="BELL", "WHITE",
  A1673="GAMP", "ORANGE",
  A1673="GAMM", "GREEN",
  A1673="BWF", "YELLOW",
  OR(A1673="TNBE", A1673="TNBL", A1673="TNBD", A1673="TNWC", A1673="TNBW", A1673="THBS"), "PINK",
  A1673="CRWD", "BLUE",
  A1673="PASS", "WHITE"
)</f>
        <v>#N/A</v>
      </c>
    </row>
    <row r="1674" spans="1:23" x14ac:dyDescent="0.25">
      <c r="A1674" s="7"/>
      <c r="H1674" s="2"/>
      <c r="L1674" s="18"/>
      <c r="M1674" s="3"/>
      <c r="P1674" s="3"/>
      <c r="Q1674" s="4"/>
      <c r="S1674" s="20"/>
      <c r="U1674" s="3" t="str">
        <f t="shared" si="56"/>
        <v/>
      </c>
      <c r="V1674" s="4" t="str">
        <f t="shared" si="57"/>
        <v/>
      </c>
      <c r="W1674" s="21" t="e" cm="1">
        <f t="array" ref="W1674">_xlfn.IFS(
  A1674="BELL", "WHITE",
  A1674="GAMP", "ORANGE",
  A1674="GAMM", "GREEN",
  A1674="BWF", "YELLOW",
  OR(A1674="TNBE", A1674="TNBL", A1674="TNBD", A1674="TNWC", A1674="TNBW", A1674="THBS"), "PINK",
  A1674="CRWD", "BLUE",
  A1674="PASS", "WHITE"
)</f>
        <v>#N/A</v>
      </c>
    </row>
    <row r="1675" spans="1:23" x14ac:dyDescent="0.25">
      <c r="A1675" s="7"/>
      <c r="H1675" s="2"/>
      <c r="L1675" s="18"/>
      <c r="M1675" s="3"/>
      <c r="P1675" s="3"/>
      <c r="Q1675" s="4"/>
      <c r="S1675" s="20"/>
      <c r="U1675" s="3" t="str">
        <f t="shared" si="56"/>
        <v/>
      </c>
      <c r="V1675" s="4" t="str">
        <f t="shared" si="57"/>
        <v/>
      </c>
      <c r="W1675" s="21" t="e" cm="1">
        <f t="array" ref="W1675">_xlfn.IFS(
  A1675="BELL", "WHITE",
  A1675="GAMP", "ORANGE",
  A1675="GAMM", "GREEN",
  A1675="BWF", "YELLOW",
  OR(A1675="TNBE", A1675="TNBL", A1675="TNBD", A1675="TNWC", A1675="TNBW", A1675="THBS"), "PINK",
  A1675="CRWD", "BLUE",
  A1675="PASS", "WHITE"
)</f>
        <v>#N/A</v>
      </c>
    </row>
    <row r="1676" spans="1:23" x14ac:dyDescent="0.25">
      <c r="A1676" s="7"/>
      <c r="H1676" s="2"/>
      <c r="L1676" s="18"/>
      <c r="M1676" s="3"/>
      <c r="P1676" s="3"/>
      <c r="Q1676" s="4"/>
      <c r="S1676" s="20"/>
      <c r="U1676" s="3" t="str">
        <f t="shared" si="56"/>
        <v/>
      </c>
      <c r="V1676" s="4" t="str">
        <f t="shared" si="57"/>
        <v/>
      </c>
      <c r="W1676" s="21" t="e" cm="1">
        <f t="array" ref="W1676">_xlfn.IFS(
  A1676="BELL", "WHITE",
  A1676="GAMP", "ORANGE",
  A1676="GAMM", "GREEN",
  A1676="BWF", "YELLOW",
  OR(A1676="TNBE", A1676="TNBL", A1676="TNBD", A1676="TNWC", A1676="TNBW", A1676="THBS"), "PINK",
  A1676="CRWD", "BLUE",
  A1676="PASS", "WHITE"
)</f>
        <v>#N/A</v>
      </c>
    </row>
    <row r="1677" spans="1:23" x14ac:dyDescent="0.25">
      <c r="A1677" s="7"/>
      <c r="H1677" s="2"/>
      <c r="L1677" s="18"/>
      <c r="M1677" s="3"/>
      <c r="P1677" s="3"/>
      <c r="Q1677" s="4"/>
      <c r="S1677" s="20"/>
      <c r="U1677" s="3" t="str">
        <f t="shared" si="56"/>
        <v/>
      </c>
      <c r="V1677" s="4" t="str">
        <f t="shared" si="57"/>
        <v/>
      </c>
      <c r="W1677" s="21" t="e" cm="1">
        <f t="array" ref="W1677">_xlfn.IFS(
  A1677="BELL", "WHITE",
  A1677="GAMP", "ORANGE",
  A1677="GAMM", "GREEN",
  A1677="BWF", "YELLOW",
  OR(A1677="TNBE", A1677="TNBL", A1677="TNBD", A1677="TNWC", A1677="TNBW", A1677="THBS"), "PINK",
  A1677="CRWD", "BLUE",
  A1677="PASS", "WHITE"
)</f>
        <v>#N/A</v>
      </c>
    </row>
    <row r="1678" spans="1:23" x14ac:dyDescent="0.25">
      <c r="A1678" s="7"/>
      <c r="H1678" s="2"/>
      <c r="L1678" s="18"/>
      <c r="M1678" s="3"/>
      <c r="P1678" s="3"/>
      <c r="Q1678" s="4"/>
      <c r="S1678" s="20"/>
      <c r="U1678" s="3" t="str">
        <f t="shared" si="56"/>
        <v/>
      </c>
      <c r="V1678" s="4" t="str">
        <f t="shared" si="57"/>
        <v/>
      </c>
      <c r="W1678" s="21" t="e" cm="1">
        <f t="array" ref="W1678">_xlfn.IFS(
  A1678="BELL", "WHITE",
  A1678="GAMP", "ORANGE",
  A1678="GAMM", "GREEN",
  A1678="BWF", "YELLOW",
  OR(A1678="TNBE", A1678="TNBL", A1678="TNBD", A1678="TNWC", A1678="TNBW", A1678="THBS"), "PINK",
  A1678="CRWD", "BLUE",
  A1678="PASS", "WHITE"
)</f>
        <v>#N/A</v>
      </c>
    </row>
    <row r="1679" spans="1:23" x14ac:dyDescent="0.25">
      <c r="A1679" s="7"/>
      <c r="H1679" s="2"/>
      <c r="L1679" s="18"/>
      <c r="M1679" s="3"/>
      <c r="P1679" s="3"/>
      <c r="Q1679" s="4"/>
      <c r="S1679" s="20"/>
      <c r="U1679" s="3" t="str">
        <f t="shared" si="56"/>
        <v/>
      </c>
      <c r="V1679" s="4" t="str">
        <f t="shared" si="57"/>
        <v/>
      </c>
      <c r="W1679" s="21" t="e" cm="1">
        <f t="array" ref="W1679">_xlfn.IFS(
  A1679="BELL", "WHITE",
  A1679="GAMP", "ORANGE",
  A1679="GAMM", "GREEN",
  A1679="BWF", "YELLOW",
  OR(A1679="TNBE", A1679="TNBL", A1679="TNBD", A1679="TNWC", A1679="TNBW", A1679="THBS"), "PINK",
  A1679="CRWD", "BLUE",
  A1679="PASS", "WHITE"
)</f>
        <v>#N/A</v>
      </c>
    </row>
    <row r="1680" spans="1:23" x14ac:dyDescent="0.25">
      <c r="A1680" s="7"/>
      <c r="H1680" s="2"/>
      <c r="L1680" s="18"/>
      <c r="M1680" s="3"/>
      <c r="P1680" s="3"/>
      <c r="Q1680" s="4"/>
      <c r="S1680" s="20"/>
      <c r="U1680" s="3" t="str">
        <f t="shared" si="56"/>
        <v/>
      </c>
      <c r="V1680" s="4" t="str">
        <f t="shared" si="57"/>
        <v/>
      </c>
      <c r="W1680" s="21" t="e" cm="1">
        <f t="array" ref="W1680">_xlfn.IFS(
  A1680="BELL", "WHITE",
  A1680="GAMP", "ORANGE",
  A1680="GAMM", "GREEN",
  A1680="BWF", "YELLOW",
  OR(A1680="TNBE", A1680="TNBL", A1680="TNBD", A1680="TNWC", A1680="TNBW", A1680="THBS"), "PINK",
  A1680="CRWD", "BLUE",
  A1680="PASS", "WHITE"
)</f>
        <v>#N/A</v>
      </c>
    </row>
    <row r="1681" spans="1:23" x14ac:dyDescent="0.25">
      <c r="A1681" s="7"/>
      <c r="H1681" s="2"/>
      <c r="L1681" s="18"/>
      <c r="M1681" s="3"/>
      <c r="P1681" s="3"/>
      <c r="Q1681" s="4"/>
      <c r="S1681" s="20"/>
      <c r="U1681" s="3" t="str">
        <f t="shared" si="56"/>
        <v/>
      </c>
      <c r="V1681" s="4" t="str">
        <f t="shared" si="57"/>
        <v/>
      </c>
      <c r="W1681" s="21" t="e" cm="1">
        <f t="array" ref="W1681">_xlfn.IFS(
  A1681="BELL", "WHITE",
  A1681="GAMP", "ORANGE",
  A1681="GAMM", "GREEN",
  A1681="BWF", "YELLOW",
  OR(A1681="TNBE", A1681="TNBL", A1681="TNBD", A1681="TNWC", A1681="TNBW", A1681="THBS"), "PINK",
  A1681="CRWD", "BLUE",
  A1681="PASS", "WHITE"
)</f>
        <v>#N/A</v>
      </c>
    </row>
    <row r="1682" spans="1:23" x14ac:dyDescent="0.25">
      <c r="A1682" s="7"/>
      <c r="H1682" s="2"/>
      <c r="L1682" s="18"/>
      <c r="M1682" s="3"/>
      <c r="P1682" s="3"/>
      <c r="Q1682" s="4"/>
      <c r="S1682" s="20"/>
      <c r="U1682" s="3" t="str">
        <f t="shared" si="56"/>
        <v/>
      </c>
      <c r="V1682" s="4" t="str">
        <f t="shared" si="57"/>
        <v/>
      </c>
      <c r="W1682" s="21" t="e" cm="1">
        <f t="array" ref="W1682">_xlfn.IFS(
  A1682="BELL", "WHITE",
  A1682="GAMP", "ORANGE",
  A1682="GAMM", "GREEN",
  A1682="BWF", "YELLOW",
  OR(A1682="TNBE", A1682="TNBL", A1682="TNBD", A1682="TNWC", A1682="TNBW", A1682="THBS"), "PINK",
  A1682="CRWD", "BLUE",
  A1682="PASS", "WHITE"
)</f>
        <v>#N/A</v>
      </c>
    </row>
    <row r="1683" spans="1:23" x14ac:dyDescent="0.25">
      <c r="A1683" s="7"/>
      <c r="H1683" s="2"/>
      <c r="L1683" s="18"/>
      <c r="M1683" s="3"/>
      <c r="P1683" s="3"/>
      <c r="Q1683" s="4"/>
      <c r="S1683" s="20"/>
      <c r="U1683" s="3" t="str">
        <f t="shared" si="56"/>
        <v/>
      </c>
      <c r="V1683" s="4" t="str">
        <f t="shared" si="57"/>
        <v/>
      </c>
      <c r="W1683" s="21" t="e" cm="1">
        <f t="array" ref="W1683">_xlfn.IFS(
  A1683="BELL", "WHITE",
  A1683="GAMP", "ORANGE",
  A1683="GAMM", "GREEN",
  A1683="BWF", "YELLOW",
  OR(A1683="TNBE", A1683="TNBL", A1683="TNBD", A1683="TNWC", A1683="TNBW", A1683="THBS"), "PINK",
  A1683="CRWD", "BLUE",
  A1683="PASS", "WHITE"
)</f>
        <v>#N/A</v>
      </c>
    </row>
    <row r="1684" spans="1:23" x14ac:dyDescent="0.25">
      <c r="A1684" s="7"/>
      <c r="H1684" s="2"/>
      <c r="L1684" s="18"/>
      <c r="M1684" s="3"/>
      <c r="P1684" s="3"/>
      <c r="Q1684" s="4"/>
      <c r="S1684" s="20"/>
      <c r="U1684" s="3" t="str">
        <f t="shared" si="56"/>
        <v/>
      </c>
      <c r="V1684" s="4" t="str">
        <f t="shared" si="57"/>
        <v/>
      </c>
      <c r="W1684" s="21" t="e" cm="1">
        <f t="array" ref="W1684">_xlfn.IFS(
  A1684="BELL", "WHITE",
  A1684="GAMP", "ORANGE",
  A1684="GAMM", "GREEN",
  A1684="BWF", "YELLOW",
  OR(A1684="TNBE", A1684="TNBL", A1684="TNBD", A1684="TNWC", A1684="TNBW", A1684="THBS"), "PINK",
  A1684="CRWD", "BLUE",
  A1684="PASS", "WHITE"
)</f>
        <v>#N/A</v>
      </c>
    </row>
    <row r="1685" spans="1:23" x14ac:dyDescent="0.25">
      <c r="A1685" s="7"/>
      <c r="H1685" s="2"/>
      <c r="L1685" s="18"/>
      <c r="M1685" s="3"/>
      <c r="P1685" s="3"/>
      <c r="Q1685" s="4"/>
      <c r="S1685" s="20"/>
      <c r="U1685" s="3" t="str">
        <f t="shared" si="56"/>
        <v/>
      </c>
      <c r="V1685" s="4" t="str">
        <f t="shared" si="57"/>
        <v/>
      </c>
      <c r="W1685" s="21" t="e" cm="1">
        <f t="array" ref="W1685">_xlfn.IFS(
  A1685="BELL", "WHITE",
  A1685="GAMP", "ORANGE",
  A1685="GAMM", "GREEN",
  A1685="BWF", "YELLOW",
  OR(A1685="TNBE", A1685="TNBL", A1685="TNBD", A1685="TNWC", A1685="TNBW", A1685="THBS"), "PINK",
  A1685="CRWD", "BLUE",
  A1685="PASS", "WHITE"
)</f>
        <v>#N/A</v>
      </c>
    </row>
    <row r="1686" spans="1:23" x14ac:dyDescent="0.25">
      <c r="A1686" s="7"/>
      <c r="H1686" s="2"/>
      <c r="L1686" s="18"/>
      <c r="M1686" s="3"/>
      <c r="P1686" s="3"/>
      <c r="Q1686" s="4"/>
      <c r="S1686" s="20"/>
      <c r="U1686" s="3" t="str">
        <f t="shared" si="56"/>
        <v/>
      </c>
      <c r="V1686" s="4" t="str">
        <f t="shared" si="57"/>
        <v/>
      </c>
      <c r="W1686" s="21" t="e" cm="1">
        <f t="array" ref="W1686">_xlfn.IFS(
  A1686="BELL", "WHITE",
  A1686="GAMP", "ORANGE",
  A1686="GAMM", "GREEN",
  A1686="BWF", "YELLOW",
  OR(A1686="TNBE", A1686="TNBL", A1686="TNBD", A1686="TNWC", A1686="TNBW", A1686="THBS"), "PINK",
  A1686="CRWD", "BLUE",
  A1686="PASS", "WHITE"
)</f>
        <v>#N/A</v>
      </c>
    </row>
    <row r="1687" spans="1:23" x14ac:dyDescent="0.25">
      <c r="A1687" s="7"/>
      <c r="H1687" s="2"/>
      <c r="L1687" s="18"/>
      <c r="M1687" s="3"/>
      <c r="P1687" s="3"/>
      <c r="Q1687" s="4"/>
      <c r="S1687" s="20"/>
      <c r="U1687" s="3" t="str">
        <f t="shared" si="56"/>
        <v/>
      </c>
      <c r="V1687" s="4" t="str">
        <f t="shared" si="57"/>
        <v/>
      </c>
      <c r="W1687" s="21" t="e" cm="1">
        <f t="array" ref="W1687">_xlfn.IFS(
  A1687="BELL", "WHITE",
  A1687="GAMP", "ORANGE",
  A1687="GAMM", "GREEN",
  A1687="BWF", "YELLOW",
  OR(A1687="TNBE", A1687="TNBL", A1687="TNBD", A1687="TNWC", A1687="TNBW", A1687="THBS"), "PINK",
  A1687="CRWD", "BLUE",
  A1687="PASS", "WHITE"
)</f>
        <v>#N/A</v>
      </c>
    </row>
    <row r="1688" spans="1:23" x14ac:dyDescent="0.25">
      <c r="A1688" s="7"/>
      <c r="H1688" s="2"/>
      <c r="L1688" s="18"/>
      <c r="M1688" s="3"/>
      <c r="P1688" s="3"/>
      <c r="Q1688" s="4"/>
      <c r="S1688" s="20"/>
      <c r="U1688" s="3" t="str">
        <f t="shared" si="56"/>
        <v/>
      </c>
      <c r="V1688" s="4" t="str">
        <f t="shared" si="57"/>
        <v/>
      </c>
      <c r="W1688" s="21" t="e" cm="1">
        <f t="array" ref="W1688">_xlfn.IFS(
  A1688="BELL", "WHITE",
  A1688="GAMP", "ORANGE",
  A1688="GAMM", "GREEN",
  A1688="BWF", "YELLOW",
  OR(A1688="TNBE", A1688="TNBL", A1688="TNBD", A1688="TNWC", A1688="TNBW", A1688="THBS"), "PINK",
  A1688="CRWD", "BLUE",
  A1688="PASS", "WHITE"
)</f>
        <v>#N/A</v>
      </c>
    </row>
    <row r="1689" spans="1:23" x14ac:dyDescent="0.25">
      <c r="A1689" s="7"/>
      <c r="H1689" s="2"/>
      <c r="L1689" s="18"/>
      <c r="M1689" s="3"/>
      <c r="P1689" s="3"/>
      <c r="Q1689" s="4"/>
      <c r="S1689" s="20"/>
      <c r="U1689" s="3" t="str">
        <f t="shared" si="56"/>
        <v/>
      </c>
      <c r="V1689" s="4" t="str">
        <f t="shared" si="57"/>
        <v/>
      </c>
      <c r="W1689" s="21" t="e" cm="1">
        <f t="array" ref="W1689">_xlfn.IFS(
  A1689="BELL", "WHITE",
  A1689="GAMP", "ORANGE",
  A1689="GAMM", "GREEN",
  A1689="BWF", "YELLOW",
  OR(A1689="TNBE", A1689="TNBL", A1689="TNBD", A1689="TNWC", A1689="TNBW", A1689="THBS"), "PINK",
  A1689="CRWD", "BLUE",
  A1689="PASS", "WHITE"
)</f>
        <v>#N/A</v>
      </c>
    </row>
    <row r="1690" spans="1:23" x14ac:dyDescent="0.25">
      <c r="A1690" s="7"/>
      <c r="H1690" s="2"/>
      <c r="L1690" s="18"/>
      <c r="M1690" s="3"/>
      <c r="P1690" s="3"/>
      <c r="Q1690" s="4"/>
      <c r="S1690" s="20"/>
      <c r="U1690" s="3" t="str">
        <f t="shared" si="56"/>
        <v/>
      </c>
      <c r="V1690" s="4" t="str">
        <f t="shared" si="57"/>
        <v/>
      </c>
      <c r="W1690" s="21" t="e" cm="1">
        <f t="array" ref="W1690">_xlfn.IFS(
  A1690="BELL", "WHITE",
  A1690="GAMP", "ORANGE",
  A1690="GAMM", "GREEN",
  A1690="BWF", "YELLOW",
  OR(A1690="TNBE", A1690="TNBL", A1690="TNBD", A1690="TNWC", A1690="TNBW", A1690="THBS"), "PINK",
  A1690="CRWD", "BLUE",
  A1690="PASS", "WHITE"
)</f>
        <v>#N/A</v>
      </c>
    </row>
    <row r="1691" spans="1:23" x14ac:dyDescent="0.25">
      <c r="A1691" s="7"/>
      <c r="H1691" s="2"/>
      <c r="L1691" s="18"/>
      <c r="M1691" s="3"/>
      <c r="P1691" s="3"/>
      <c r="Q1691" s="4"/>
      <c r="S1691" s="20"/>
      <c r="U1691" s="3" t="str">
        <f t="shared" si="56"/>
        <v/>
      </c>
      <c r="V1691" s="4" t="str">
        <f t="shared" si="57"/>
        <v/>
      </c>
      <c r="W1691" s="21" t="e" cm="1">
        <f t="array" ref="W1691">_xlfn.IFS(
  A1691="BELL", "WHITE",
  A1691="GAMP", "ORANGE",
  A1691="GAMM", "GREEN",
  A1691="BWF", "YELLOW",
  OR(A1691="TNBE", A1691="TNBL", A1691="TNBD", A1691="TNWC", A1691="TNBW", A1691="THBS"), "PINK",
  A1691="CRWD", "BLUE",
  A1691="PASS", "WHITE"
)</f>
        <v>#N/A</v>
      </c>
    </row>
    <row r="1692" spans="1:23" x14ac:dyDescent="0.25">
      <c r="A1692" s="7"/>
      <c r="H1692" s="2"/>
      <c r="L1692" s="18"/>
      <c r="M1692" s="3"/>
      <c r="P1692" s="3"/>
      <c r="Q1692" s="4"/>
      <c r="S1692" s="20"/>
      <c r="U1692" s="3" t="str">
        <f t="shared" si="56"/>
        <v/>
      </c>
      <c r="V1692" s="4" t="str">
        <f t="shared" si="57"/>
        <v/>
      </c>
      <c r="W1692" s="21" t="e" cm="1">
        <f t="array" ref="W1692">_xlfn.IFS(
  A1692="BELL", "WHITE",
  A1692="GAMP", "ORANGE",
  A1692="GAMM", "GREEN",
  A1692="BWF", "YELLOW",
  OR(A1692="TNBE", A1692="TNBL", A1692="TNBD", A1692="TNWC", A1692="TNBW", A1692="THBS"), "PINK",
  A1692="CRWD", "BLUE",
  A1692="PASS", "WHITE"
)</f>
        <v>#N/A</v>
      </c>
    </row>
    <row r="1693" spans="1:23" x14ac:dyDescent="0.25">
      <c r="A1693" s="7"/>
      <c r="B1693" s="26"/>
      <c r="D1693" s="26"/>
      <c r="E1693" s="26"/>
      <c r="H1693" s="2"/>
      <c r="L1693" s="18"/>
      <c r="M1693" s="18"/>
      <c r="P1693" s="3"/>
      <c r="Q1693" s="4"/>
      <c r="S1693" s="20"/>
      <c r="U1693" s="3" t="str">
        <f t="shared" si="56"/>
        <v/>
      </c>
      <c r="V1693" s="4" t="str">
        <f t="shared" si="57"/>
        <v/>
      </c>
      <c r="W1693" s="21" t="e" cm="1">
        <f t="array" ref="W1693">_xlfn.IFS(
  A1693="BELL", "WHITE",
  A1693="GAMP", "ORANGE",
  A1693="GAMM", "GREEN",
  A1693="BWF", "YELLOW",
  OR(A1693="TNBE", A1693="TNBL", A1693="TNBD", A1693="TNWC", A1693="TNBW", A1693="THBS"), "PINK",
  A1693="CRWD", "BLUE",
  A1693="PASS", "WHITE"
)</f>
        <v>#N/A</v>
      </c>
    </row>
    <row r="1694" spans="1:23" x14ac:dyDescent="0.25">
      <c r="A1694" s="7"/>
      <c r="B1694" s="26"/>
      <c r="H1694" s="2"/>
      <c r="L1694" s="18"/>
      <c r="M1694" s="3"/>
      <c r="P1694" s="3"/>
      <c r="Q1694" s="4"/>
      <c r="S1694" s="20"/>
      <c r="U1694" s="3" t="str">
        <f t="shared" si="56"/>
        <v/>
      </c>
      <c r="V1694" s="4" t="str">
        <f t="shared" si="57"/>
        <v/>
      </c>
      <c r="W1694" s="21" t="e" cm="1">
        <f t="array" ref="W1694">_xlfn.IFS(
  A1694="BELL", "WHITE",
  A1694="GAMP", "ORANGE",
  A1694="GAMM", "GREEN",
  A1694="BWF", "YELLOW",
  OR(A1694="TNBE", A1694="TNBL", A1694="TNBD", A1694="TNWC", A1694="TNBW", A1694="THBS"), "PINK",
  A1694="CRWD", "BLUE",
  A1694="PASS", "WHITE"
)</f>
        <v>#N/A</v>
      </c>
    </row>
    <row r="1695" spans="1:23" x14ac:dyDescent="0.25">
      <c r="A1695" s="7"/>
      <c r="B1695" s="26"/>
      <c r="H1695" s="2"/>
      <c r="L1695" s="18"/>
      <c r="M1695" s="3"/>
      <c r="P1695" s="3"/>
      <c r="Q1695" s="4"/>
      <c r="S1695" s="20"/>
      <c r="U1695" s="3" t="str">
        <f t="shared" si="56"/>
        <v/>
      </c>
      <c r="V1695" s="4" t="str">
        <f t="shared" si="57"/>
        <v/>
      </c>
      <c r="W1695" s="21" t="e" cm="1">
        <f t="array" ref="W1695">_xlfn.IFS(
  A1695="BELL", "WHITE",
  A1695="GAMP", "ORANGE",
  A1695="GAMM", "GREEN",
  A1695="BWF", "YELLOW",
  OR(A1695="TNBE", A1695="TNBL", A1695="TNBD", A1695="TNWC", A1695="TNBW", A1695="THBS"), "PINK",
  A1695="CRWD", "BLUE",
  A1695="PASS", "WHITE"
)</f>
        <v>#N/A</v>
      </c>
    </row>
    <row r="1696" spans="1:23" x14ac:dyDescent="0.25">
      <c r="A1696" s="7"/>
      <c r="B1696" s="26"/>
      <c r="H1696" s="2"/>
      <c r="L1696" s="18"/>
      <c r="M1696" s="3"/>
      <c r="P1696" s="3"/>
      <c r="Q1696" s="4"/>
      <c r="S1696" s="20"/>
      <c r="U1696" s="3" t="str">
        <f t="shared" si="56"/>
        <v/>
      </c>
      <c r="V1696" s="4" t="str">
        <f t="shared" si="57"/>
        <v/>
      </c>
      <c r="W1696" s="21" t="e" cm="1">
        <f t="array" ref="W1696">_xlfn.IFS(
  A1696="BELL", "WHITE",
  A1696="GAMP", "ORANGE",
  A1696="GAMM", "GREEN",
  A1696="BWF", "YELLOW",
  OR(A1696="TNBE", A1696="TNBL", A1696="TNBD", A1696="TNWC", A1696="TNBW", A1696="THBS"), "PINK",
  A1696="CRWD", "BLUE",
  A1696="PASS", "WHITE"
)</f>
        <v>#N/A</v>
      </c>
    </row>
    <row r="1697" spans="1:23" x14ac:dyDescent="0.25">
      <c r="A1697" s="7"/>
      <c r="B1697" s="26"/>
      <c r="H1697" s="2"/>
      <c r="L1697" s="18"/>
      <c r="M1697" s="3"/>
      <c r="P1697" s="3"/>
      <c r="Q1697" s="4"/>
      <c r="S1697" s="20"/>
      <c r="U1697" s="3" t="str">
        <f t="shared" si="56"/>
        <v/>
      </c>
      <c r="V1697" s="4" t="str">
        <f t="shared" si="57"/>
        <v/>
      </c>
      <c r="W1697" s="21" t="e" cm="1">
        <f t="array" ref="W1697">_xlfn.IFS(
  A1697="BELL", "WHITE",
  A1697="GAMP", "ORANGE",
  A1697="GAMM", "GREEN",
  A1697="BWF", "YELLOW",
  OR(A1697="TNBE", A1697="TNBL", A1697="TNBD", A1697="TNWC", A1697="TNBW", A1697="THBS"), "PINK",
  A1697="CRWD", "BLUE",
  A1697="PASS", "WHITE"
)</f>
        <v>#N/A</v>
      </c>
    </row>
    <row r="1698" spans="1:23" x14ac:dyDescent="0.25">
      <c r="A1698" s="7"/>
      <c r="B1698" s="26"/>
      <c r="H1698" s="2"/>
      <c r="L1698" s="18"/>
      <c r="M1698" s="3"/>
      <c r="P1698" s="3"/>
      <c r="Q1698" s="4"/>
      <c r="S1698" s="20"/>
      <c r="U1698" s="3" t="str">
        <f t="shared" si="56"/>
        <v/>
      </c>
      <c r="V1698" s="4" t="str">
        <f t="shared" si="57"/>
        <v/>
      </c>
      <c r="W1698" s="21" t="e" cm="1">
        <f t="array" ref="W1698">_xlfn.IFS(
  A1698="BELL", "WHITE",
  A1698="GAMP", "ORANGE",
  A1698="GAMM", "GREEN",
  A1698="BWF", "YELLOW",
  OR(A1698="TNBE", A1698="TNBL", A1698="TNBD", A1698="TNWC", A1698="TNBW", A1698="THBS"), "PINK",
  A1698="CRWD", "BLUE",
  A1698="PASS", "WHITE"
)</f>
        <v>#N/A</v>
      </c>
    </row>
    <row r="1699" spans="1:23" x14ac:dyDescent="0.25">
      <c r="A1699" s="7"/>
      <c r="B1699" s="26"/>
      <c r="H1699" s="2"/>
      <c r="L1699" s="18"/>
      <c r="M1699" s="3"/>
      <c r="P1699" s="3"/>
      <c r="Q1699" s="4"/>
      <c r="S1699" s="20"/>
      <c r="U1699" s="3" t="str">
        <f t="shared" si="56"/>
        <v/>
      </c>
      <c r="V1699" s="4" t="str">
        <f t="shared" si="57"/>
        <v/>
      </c>
      <c r="W1699" s="21" t="e" cm="1">
        <f t="array" ref="W1699">_xlfn.IFS(
  A1699="BELL", "WHITE",
  A1699="GAMP", "ORANGE",
  A1699="GAMM", "GREEN",
  A1699="BWF", "YELLOW",
  OR(A1699="TNBE", A1699="TNBL", A1699="TNBD", A1699="TNWC", A1699="TNBW", A1699="THBS"), "PINK",
  A1699="CRWD", "BLUE",
  A1699="PASS", "WHITE"
)</f>
        <v>#N/A</v>
      </c>
    </row>
    <row r="1700" spans="1:23" x14ac:dyDescent="0.25">
      <c r="A1700" s="7"/>
      <c r="B1700" s="26"/>
      <c r="H1700" s="2"/>
      <c r="L1700" s="18"/>
      <c r="M1700" s="3"/>
      <c r="P1700" s="3"/>
      <c r="Q1700" s="4"/>
      <c r="S1700" s="20"/>
      <c r="U1700" s="3" t="str">
        <f t="shared" si="56"/>
        <v/>
      </c>
      <c r="V1700" s="4" t="str">
        <f t="shared" si="57"/>
        <v/>
      </c>
      <c r="W1700" s="21" t="e" cm="1">
        <f t="array" ref="W1700">_xlfn.IFS(
  A1700="BELL", "WHITE",
  A1700="GAMP", "ORANGE",
  A1700="GAMM", "GREEN",
  A1700="BWF", "YELLOW",
  OR(A1700="TNBE", A1700="TNBL", A1700="TNBD", A1700="TNWC", A1700="TNBW", A1700="THBS"), "PINK",
  A1700="CRWD", "BLUE",
  A1700="PASS", "WHITE"
)</f>
        <v>#N/A</v>
      </c>
    </row>
    <row r="1701" spans="1:23" x14ac:dyDescent="0.25">
      <c r="A1701" s="7"/>
      <c r="B1701" s="26"/>
      <c r="H1701" s="2"/>
      <c r="L1701" s="18"/>
      <c r="M1701" s="3"/>
      <c r="P1701" s="3"/>
      <c r="Q1701" s="4"/>
      <c r="S1701" s="20"/>
      <c r="U1701" s="3" t="str">
        <f t="shared" si="56"/>
        <v/>
      </c>
      <c r="V1701" s="4" t="str">
        <f t="shared" si="57"/>
        <v/>
      </c>
      <c r="W1701" s="21" t="e" cm="1">
        <f t="array" ref="W1701">_xlfn.IFS(
  A1701="BELL", "WHITE",
  A1701="GAMP", "ORANGE",
  A1701="GAMM", "GREEN",
  A1701="BWF", "YELLOW",
  OR(A1701="TNBE", A1701="TNBL", A1701="TNBD", A1701="TNWC", A1701="TNBW", A1701="THBS"), "PINK",
  A1701="CRWD", "BLUE",
  A1701="PASS", "WHITE"
)</f>
        <v>#N/A</v>
      </c>
    </row>
    <row r="1702" spans="1:23" x14ac:dyDescent="0.25">
      <c r="A1702" s="7"/>
      <c r="B1702" s="26"/>
      <c r="H1702" s="2"/>
      <c r="L1702" s="18"/>
      <c r="M1702" s="3"/>
      <c r="P1702" s="3"/>
      <c r="Q1702" s="4"/>
      <c r="S1702" s="20"/>
      <c r="U1702" s="3" t="str">
        <f t="shared" si="56"/>
        <v/>
      </c>
      <c r="V1702" s="4" t="str">
        <f t="shared" si="57"/>
        <v/>
      </c>
      <c r="W1702" s="21" t="e" cm="1">
        <f t="array" ref="W1702">_xlfn.IFS(
  A1702="BELL", "WHITE",
  A1702="GAMP", "ORANGE",
  A1702="GAMM", "GREEN",
  A1702="BWF", "YELLOW",
  OR(A1702="TNBE", A1702="TNBL", A1702="TNBD", A1702="TNWC", A1702="TNBW", A1702="THBS"), "PINK",
  A1702="CRWD", "BLUE",
  A1702="PASS", "WHITE"
)</f>
        <v>#N/A</v>
      </c>
    </row>
    <row r="1703" spans="1:23" x14ac:dyDescent="0.25">
      <c r="A1703" s="7"/>
      <c r="B1703" s="26"/>
      <c r="H1703" s="2"/>
      <c r="L1703" s="18"/>
      <c r="M1703" s="3"/>
      <c r="P1703" s="3"/>
      <c r="Q1703" s="4"/>
      <c r="S1703" s="20"/>
      <c r="U1703" s="3" t="str">
        <f t="shared" si="56"/>
        <v/>
      </c>
      <c r="V1703" s="4" t="str">
        <f t="shared" si="57"/>
        <v/>
      </c>
      <c r="W1703" s="21" t="e" cm="1">
        <f t="array" ref="W1703">_xlfn.IFS(
  A1703="BELL", "WHITE",
  A1703="GAMP", "ORANGE",
  A1703="GAMM", "GREEN",
  A1703="BWF", "YELLOW",
  OR(A1703="TNBE", A1703="TNBL", A1703="TNBD", A1703="TNWC", A1703="TNBW", A1703="THBS"), "PINK",
  A1703="CRWD", "BLUE",
  A1703="PASS", "WHITE"
)</f>
        <v>#N/A</v>
      </c>
    </row>
    <row r="1704" spans="1:23" x14ac:dyDescent="0.25">
      <c r="A1704" s="7"/>
      <c r="B1704" s="26"/>
      <c r="D1704" s="26"/>
      <c r="E1704" s="26"/>
      <c r="H1704" s="2"/>
      <c r="L1704" s="18"/>
      <c r="M1704" s="3"/>
      <c r="P1704" s="3"/>
      <c r="Q1704" s="4"/>
      <c r="S1704" s="20"/>
      <c r="U1704" s="3" t="str">
        <f t="shared" si="56"/>
        <v/>
      </c>
      <c r="V1704" s="4" t="str">
        <f t="shared" si="57"/>
        <v/>
      </c>
      <c r="W1704" s="21" t="e" cm="1">
        <f t="array" ref="W1704">_xlfn.IFS(
  A1704="BELL", "WHITE",
  A1704="GAMP", "ORANGE",
  A1704="GAMM", "GREEN",
  A1704="BWF", "YELLOW",
  OR(A1704="TNBE", A1704="TNBL", A1704="TNBD", A1704="TNWC", A1704="TNBW", A1704="THBS"), "PINK",
  A1704="CRWD", "BLUE",
  A1704="PASS", "WHITE"
)</f>
        <v>#N/A</v>
      </c>
    </row>
    <row r="1705" spans="1:23" x14ac:dyDescent="0.25">
      <c r="A1705" s="7"/>
      <c r="B1705" s="26"/>
      <c r="D1705" s="26"/>
      <c r="E1705" s="26"/>
      <c r="H1705" s="2"/>
      <c r="L1705" s="18"/>
      <c r="M1705" s="3"/>
      <c r="P1705" s="3"/>
      <c r="Q1705" s="4"/>
      <c r="S1705" s="20"/>
      <c r="U1705" s="3" t="str">
        <f t="shared" si="56"/>
        <v/>
      </c>
      <c r="V1705" s="4" t="str">
        <f t="shared" si="57"/>
        <v/>
      </c>
      <c r="W1705" s="21" t="e" cm="1">
        <f t="array" ref="W1705">_xlfn.IFS(
  A1705="BELL", "WHITE",
  A1705="GAMP", "ORANGE",
  A1705="GAMM", "GREEN",
  A1705="BWF", "YELLOW",
  OR(A1705="TNBE", A1705="TNBL", A1705="TNBD", A1705="TNWC", A1705="TNBW", A1705="THBS"), "PINK",
  A1705="CRWD", "BLUE",
  A1705="PASS", "WHITE"
)</f>
        <v>#N/A</v>
      </c>
    </row>
    <row r="1706" spans="1:23" x14ac:dyDescent="0.25">
      <c r="A1706" s="7"/>
      <c r="B1706" s="26"/>
      <c r="H1706" s="2"/>
      <c r="L1706" s="18"/>
      <c r="M1706" s="3"/>
      <c r="P1706" s="3"/>
      <c r="Q1706" s="4"/>
      <c r="S1706" s="20"/>
      <c r="U1706" s="3" t="str">
        <f t="shared" si="56"/>
        <v/>
      </c>
      <c r="V1706" s="4" t="str">
        <f t="shared" si="57"/>
        <v/>
      </c>
      <c r="W1706" s="21" t="e" cm="1">
        <f t="array" ref="W1706">_xlfn.IFS(
  A1706="BELL", "WHITE",
  A1706="GAMP", "ORANGE",
  A1706="GAMM", "GREEN",
  A1706="BWF", "YELLOW",
  OR(A1706="TNBE", A1706="TNBL", A1706="TNBD", A1706="TNWC", A1706="TNBW", A1706="THBS"), "PINK",
  A1706="CRWD", "BLUE",
  A1706="PASS", "WHITE"
)</f>
        <v>#N/A</v>
      </c>
    </row>
    <row r="1707" spans="1:23" x14ac:dyDescent="0.25">
      <c r="A1707" s="7"/>
      <c r="B1707" s="7"/>
      <c r="I1707" s="3"/>
      <c r="J1707" s="17"/>
      <c r="K1707" s="17"/>
      <c r="L1707" s="18"/>
      <c r="M1707" s="3"/>
      <c r="P1707" s="3"/>
      <c r="Q1707" s="4"/>
      <c r="S1707" s="20"/>
      <c r="U1707" s="3" t="str">
        <f t="shared" si="56"/>
        <v/>
      </c>
      <c r="V1707" s="4" t="str">
        <f t="shared" si="57"/>
        <v/>
      </c>
      <c r="W1707" s="21" t="e" cm="1">
        <f t="array" ref="W1707">_xlfn.IFS(
  A1707="BELL", "WHITE",
  A1707="GAMP", "ORANGE",
  A1707="GAMM", "GREEN",
  A1707="BWF", "YELLOW",
  OR(A1707="TNBE", A1707="TNBL", A1707="TNBD", A1707="TNWC", A1707="TNBW", A1707="THBS"), "PINK",
  A1707="CRWD", "BLUE",
  A1707="PASS", "WHITE"
)</f>
        <v>#N/A</v>
      </c>
    </row>
    <row r="1708" spans="1:23" x14ac:dyDescent="0.25">
      <c r="A1708" s="7"/>
      <c r="B1708" s="7"/>
      <c r="D1708" s="1"/>
      <c r="E1708" s="1"/>
      <c r="I1708" s="3"/>
      <c r="J1708" s="17"/>
      <c r="K1708" s="17"/>
      <c r="L1708" s="18"/>
      <c r="M1708" s="3"/>
      <c r="P1708" s="3"/>
      <c r="Q1708" s="4"/>
      <c r="S1708" s="20"/>
      <c r="U1708" s="3" t="str">
        <f t="shared" si="56"/>
        <v/>
      </c>
      <c r="V1708" s="4" t="str">
        <f t="shared" si="57"/>
        <v/>
      </c>
      <c r="W1708" s="21" t="e" cm="1">
        <f t="array" ref="W1708">_xlfn.IFS(
  A1708="BELL", "WHITE",
  A1708="GAMP", "ORANGE",
  A1708="GAMM", "GREEN",
  A1708="BWF", "YELLOW",
  OR(A1708="TNBE", A1708="TNBL", A1708="TNBD", A1708="TNWC", A1708="TNBW", A1708="THBS"), "PINK",
  A1708="CRWD", "BLUE",
  A1708="PASS", "WHITE"
)</f>
        <v>#N/A</v>
      </c>
    </row>
    <row r="1709" spans="1:23" x14ac:dyDescent="0.25">
      <c r="A1709" s="7"/>
      <c r="B1709"/>
      <c r="I1709" s="3"/>
      <c r="J1709" s="17"/>
      <c r="K1709" s="17"/>
      <c r="L1709" s="18"/>
      <c r="M1709" s="3"/>
      <c r="P1709" s="3"/>
      <c r="Q1709" s="4"/>
      <c r="R1709" s="19"/>
      <c r="S1709" s="20"/>
      <c r="U1709" s="3" t="str">
        <f t="shared" si="56"/>
        <v/>
      </c>
      <c r="V1709" s="4" t="str">
        <f t="shared" si="57"/>
        <v/>
      </c>
      <c r="W1709" s="21" t="e" cm="1">
        <f t="array" ref="W1709">_xlfn.IFS(
  A1709="BELL", "WHITE",
  A1709="GAMP", "ORANGE",
  A1709="GAMM", "GREEN",
  A1709="BWF", "YELLOW",
  OR(A1709="TNBE", A1709="TNBL", A1709="TNBD", A1709="TNWC", A1709="TNBW", A1709="THBS"), "PINK",
  A1709="CRWD", "BLUE",
  A1709="PASS", "WHITE"
)</f>
        <v>#N/A</v>
      </c>
    </row>
    <row r="1710" spans="1:23" x14ac:dyDescent="0.25">
      <c r="A1710" s="7"/>
      <c r="B1710"/>
      <c r="I1710" s="3"/>
      <c r="J1710" s="17"/>
      <c r="K1710" s="17"/>
      <c r="L1710" s="18"/>
      <c r="M1710" s="3"/>
      <c r="P1710" s="3"/>
      <c r="Q1710" s="4"/>
      <c r="R1710" s="19"/>
      <c r="S1710" s="20"/>
      <c r="U1710" s="3" t="str">
        <f t="shared" si="56"/>
        <v/>
      </c>
      <c r="V1710" s="4" t="str">
        <f t="shared" si="57"/>
        <v/>
      </c>
      <c r="W1710" s="21" t="e" cm="1">
        <f t="array" ref="W1710">_xlfn.IFS(
  A1710="BELL", "WHITE",
  A1710="GAMP", "ORANGE",
  A1710="GAMM", "GREEN",
  A1710="BWF", "YELLOW",
  OR(A1710="TNBE", A1710="TNBL", A1710="TNBD", A1710="TNWC", A1710="TNBW", A1710="THBS"), "PINK",
  A1710="CRWD", "BLUE",
  A1710="PASS", "WHITE"
)</f>
        <v>#N/A</v>
      </c>
    </row>
    <row r="1711" spans="1:23" x14ac:dyDescent="0.25">
      <c r="A1711" s="7"/>
      <c r="B1711"/>
      <c r="I1711" s="3"/>
      <c r="J1711" s="17"/>
      <c r="K1711" s="17"/>
      <c r="L1711" s="18"/>
      <c r="M1711" s="3"/>
      <c r="P1711" s="3"/>
      <c r="Q1711" s="4"/>
      <c r="R1711" s="19"/>
      <c r="S1711" s="20"/>
      <c r="U1711" s="3" t="str">
        <f t="shared" si="56"/>
        <v/>
      </c>
      <c r="V1711" s="4" t="str">
        <f t="shared" si="57"/>
        <v/>
      </c>
      <c r="W1711" s="21" t="e" cm="1">
        <f t="array" ref="W1711">_xlfn.IFS(
  A1711="BELL", "WHITE",
  A1711="GAMP", "ORANGE",
  A1711="GAMM", "GREEN",
  A1711="BWF", "YELLOW",
  OR(A1711="TNBE", A1711="TNBL", A1711="TNBD", A1711="TNWC", A1711="TNBW", A1711="THBS"), "PINK",
  A1711="CRWD", "BLUE",
  A1711="PASS", "WHITE"
)</f>
        <v>#N/A</v>
      </c>
    </row>
    <row r="1712" spans="1:23" x14ac:dyDescent="0.25">
      <c r="A1712" s="7"/>
      <c r="B1712"/>
      <c r="I1712" s="3"/>
      <c r="J1712" s="17"/>
      <c r="K1712" s="17"/>
      <c r="L1712" s="18"/>
      <c r="M1712" s="3"/>
      <c r="P1712" s="3"/>
      <c r="Q1712" s="4"/>
      <c r="R1712" s="19"/>
      <c r="S1712" s="20"/>
      <c r="U1712" s="3" t="str">
        <f t="shared" si="56"/>
        <v/>
      </c>
      <c r="V1712" s="4" t="str">
        <f t="shared" si="57"/>
        <v/>
      </c>
      <c r="W1712" s="21" t="e" cm="1">
        <f t="array" ref="W1712">_xlfn.IFS(
  A1712="BELL", "WHITE",
  A1712="GAMP", "ORANGE",
  A1712="GAMM", "GREEN",
  A1712="BWF", "YELLOW",
  OR(A1712="TNBE", A1712="TNBL", A1712="TNBD", A1712="TNWC", A1712="TNBW", A1712="THBS"), "PINK",
  A1712="CRWD", "BLUE",
  A1712="PASS", "WHITE"
)</f>
        <v>#N/A</v>
      </c>
    </row>
    <row r="1713" spans="1:23" x14ac:dyDescent="0.25">
      <c r="A1713" s="7"/>
      <c r="B1713"/>
      <c r="I1713" s="3"/>
      <c r="J1713" s="17"/>
      <c r="K1713" s="17"/>
      <c r="L1713" s="18"/>
      <c r="M1713" s="3"/>
      <c r="P1713" s="3"/>
      <c r="Q1713" s="4"/>
      <c r="R1713" s="19"/>
      <c r="S1713" s="20"/>
      <c r="U1713" s="3" t="str">
        <f t="shared" si="56"/>
        <v/>
      </c>
      <c r="V1713" s="4" t="str">
        <f t="shared" si="57"/>
        <v/>
      </c>
      <c r="W1713" s="21" t="e" cm="1">
        <f t="array" ref="W1713">_xlfn.IFS(
  A1713="BELL", "WHITE",
  A1713="GAMP", "ORANGE",
  A1713="GAMM", "GREEN",
  A1713="BWF", "YELLOW",
  OR(A1713="TNBE", A1713="TNBL", A1713="TNBD", A1713="TNWC", A1713="TNBW", A1713="THBS"), "PINK",
  A1713="CRWD", "BLUE",
  A1713="PASS", "WHITE"
)</f>
        <v>#N/A</v>
      </c>
    </row>
    <row r="1714" spans="1:23" x14ac:dyDescent="0.25">
      <c r="A1714" s="7"/>
      <c r="B1714"/>
      <c r="I1714" s="3"/>
      <c r="J1714" s="17"/>
      <c r="K1714" s="17"/>
      <c r="L1714" s="18"/>
      <c r="M1714" s="3"/>
      <c r="P1714" s="3"/>
      <c r="Q1714" s="4"/>
      <c r="R1714" s="19"/>
      <c r="S1714" s="20"/>
      <c r="U1714" s="3" t="str">
        <f t="shared" si="56"/>
        <v/>
      </c>
      <c r="V1714" s="4" t="str">
        <f t="shared" si="57"/>
        <v/>
      </c>
      <c r="W1714" s="21" t="e" cm="1">
        <f t="array" ref="W1714">_xlfn.IFS(
  A1714="BELL", "WHITE",
  A1714="GAMP", "ORANGE",
  A1714="GAMM", "GREEN",
  A1714="BWF", "YELLOW",
  OR(A1714="TNBE", A1714="TNBL", A1714="TNBD", A1714="TNWC", A1714="TNBW", A1714="THBS"), "PINK",
  A1714="CRWD", "BLUE",
  A1714="PASS", "WHITE"
)</f>
        <v>#N/A</v>
      </c>
    </row>
    <row r="1715" spans="1:23" x14ac:dyDescent="0.25">
      <c r="A1715" s="7"/>
      <c r="B1715"/>
      <c r="I1715" s="3"/>
      <c r="J1715" s="17"/>
      <c r="K1715" s="17"/>
      <c r="L1715" s="18"/>
      <c r="M1715" s="3"/>
      <c r="P1715" s="3"/>
      <c r="Q1715" s="4"/>
      <c r="R1715" s="19"/>
      <c r="S1715" s="20"/>
      <c r="U1715" s="3" t="str">
        <f t="shared" si="56"/>
        <v/>
      </c>
      <c r="V1715" s="4" t="str">
        <f t="shared" si="57"/>
        <v/>
      </c>
      <c r="W1715" s="21" t="e" cm="1">
        <f t="array" ref="W1715">_xlfn.IFS(
  A1715="BELL", "WHITE",
  A1715="GAMP", "ORANGE",
  A1715="GAMM", "GREEN",
  A1715="BWF", "YELLOW",
  OR(A1715="TNBE", A1715="TNBL", A1715="TNBD", A1715="TNWC", A1715="TNBW", A1715="THBS"), "PINK",
  A1715="CRWD", "BLUE",
  A1715="PASS", "WHITE"
)</f>
        <v>#N/A</v>
      </c>
    </row>
    <row r="1716" spans="1:23" x14ac:dyDescent="0.25">
      <c r="A1716" s="7"/>
      <c r="B1716"/>
      <c r="I1716" s="3"/>
      <c r="J1716" s="17"/>
      <c r="K1716" s="17"/>
      <c r="L1716" s="18"/>
      <c r="M1716" s="18"/>
      <c r="P1716" s="3"/>
      <c r="Q1716" s="4"/>
      <c r="R1716" s="19"/>
      <c r="S1716" s="20"/>
      <c r="U1716" s="3" t="str">
        <f t="shared" si="56"/>
        <v/>
      </c>
      <c r="V1716" s="4" t="str">
        <f t="shared" si="57"/>
        <v/>
      </c>
      <c r="W1716" s="21" t="e" cm="1">
        <f t="array" ref="W1716">_xlfn.IFS(
  A1716="BELL", "WHITE",
  A1716="GAMP", "ORANGE",
  A1716="GAMM", "GREEN",
  A1716="BWF", "YELLOW",
  OR(A1716="TNBE", A1716="TNBL", A1716="TNBD", A1716="TNWC", A1716="TNBW", A1716="THBS"), "PINK",
  A1716="CRWD", "BLUE",
  A1716="PASS", "WHITE"
)</f>
        <v>#N/A</v>
      </c>
    </row>
    <row r="1717" spans="1:23" x14ac:dyDescent="0.25">
      <c r="A1717" s="7"/>
      <c r="B1717"/>
      <c r="I1717" s="3"/>
      <c r="J1717" s="17"/>
      <c r="K1717" s="17"/>
      <c r="L1717" s="18"/>
      <c r="M1717" s="3"/>
      <c r="P1717" s="3"/>
      <c r="Q1717" s="4"/>
      <c r="R1717" s="19"/>
      <c r="S1717" s="20"/>
      <c r="U1717" s="3" t="str">
        <f t="shared" si="56"/>
        <v/>
      </c>
      <c r="V1717" s="4" t="str">
        <f t="shared" si="57"/>
        <v/>
      </c>
      <c r="W1717" s="21" t="e" cm="1">
        <f t="array" ref="W1717">_xlfn.IFS(
  A1717="BELL", "WHITE",
  A1717="GAMP", "ORANGE",
  A1717="GAMM", "GREEN",
  A1717="BWF", "YELLOW",
  OR(A1717="TNBE", A1717="TNBL", A1717="TNBD", A1717="TNWC", A1717="TNBW", A1717="THBS"), "PINK",
  A1717="CRWD", "BLUE",
  A1717="PASS", "WHITE"
)</f>
        <v>#N/A</v>
      </c>
    </row>
    <row r="1718" spans="1:23" x14ac:dyDescent="0.25">
      <c r="A1718" s="7"/>
      <c r="B1718"/>
      <c r="I1718" s="3"/>
      <c r="J1718" s="17"/>
      <c r="K1718" s="17"/>
      <c r="L1718" s="18"/>
      <c r="M1718" s="3"/>
      <c r="P1718" s="3"/>
      <c r="Q1718" s="4"/>
      <c r="R1718" s="19"/>
      <c r="S1718" s="20"/>
      <c r="U1718" s="3" t="str">
        <f t="shared" si="56"/>
        <v/>
      </c>
      <c r="V1718" s="4" t="str">
        <f t="shared" si="57"/>
        <v/>
      </c>
      <c r="W1718" s="21" t="e" cm="1">
        <f t="array" ref="W1718">_xlfn.IFS(
  A1718="BELL", "WHITE",
  A1718="GAMP", "ORANGE",
  A1718="GAMM", "GREEN",
  A1718="BWF", "YELLOW",
  OR(A1718="TNBE", A1718="TNBL", A1718="TNBD", A1718="TNWC", A1718="TNBW", A1718="THBS"), "PINK",
  A1718="CRWD", "BLUE",
  A1718="PASS", "WHITE"
)</f>
        <v>#N/A</v>
      </c>
    </row>
    <row r="1719" spans="1:23" x14ac:dyDescent="0.25">
      <c r="A1719" s="7"/>
      <c r="B1719"/>
      <c r="I1719" s="3"/>
      <c r="J1719" s="17"/>
      <c r="K1719" s="17"/>
      <c r="L1719" s="18"/>
      <c r="M1719" s="3"/>
      <c r="P1719" s="3"/>
      <c r="Q1719" s="4"/>
      <c r="R1719" s="19"/>
      <c r="S1719" s="20"/>
      <c r="U1719" s="3" t="str">
        <f t="shared" si="56"/>
        <v/>
      </c>
      <c r="V1719" s="4" t="str">
        <f t="shared" si="57"/>
        <v/>
      </c>
      <c r="W1719" s="21" t="e" cm="1">
        <f t="array" ref="W1719">_xlfn.IFS(
  A1719="BELL", "WHITE",
  A1719="GAMP", "ORANGE",
  A1719="GAMM", "GREEN",
  A1719="BWF", "YELLOW",
  OR(A1719="TNBE", A1719="TNBL", A1719="TNBD", A1719="TNWC", A1719="TNBW", A1719="THBS"), "PINK",
  A1719="CRWD", "BLUE",
  A1719="PASS", "WHITE"
)</f>
        <v>#N/A</v>
      </c>
    </row>
    <row r="1720" spans="1:23" x14ac:dyDescent="0.25">
      <c r="A1720" s="7"/>
      <c r="B1720"/>
      <c r="I1720" s="3"/>
      <c r="J1720" s="17"/>
      <c r="K1720" s="17"/>
      <c r="L1720" s="18"/>
      <c r="M1720" s="3"/>
      <c r="P1720" s="3"/>
      <c r="Q1720" s="4"/>
      <c r="R1720" s="19"/>
      <c r="S1720" s="20"/>
      <c r="U1720" s="3" t="str">
        <f t="shared" si="56"/>
        <v/>
      </c>
      <c r="V1720" s="4" t="str">
        <f t="shared" si="57"/>
        <v/>
      </c>
      <c r="W1720" s="21" t="e" cm="1">
        <f t="array" ref="W1720">_xlfn.IFS(
  A1720="BELL", "WHITE",
  A1720="GAMP", "ORANGE",
  A1720="GAMM", "GREEN",
  A1720="BWF", "YELLOW",
  OR(A1720="TNBE", A1720="TNBL", A1720="TNBD", A1720="TNWC", A1720="TNBW", A1720="THBS"), "PINK",
  A1720="CRWD", "BLUE",
  A1720="PASS", "WHITE"
)</f>
        <v>#N/A</v>
      </c>
    </row>
    <row r="1721" spans="1:23" x14ac:dyDescent="0.25">
      <c r="A1721" s="7"/>
      <c r="B1721"/>
      <c r="I1721" s="3"/>
      <c r="J1721" s="17"/>
      <c r="K1721" s="17"/>
      <c r="L1721" s="18"/>
      <c r="M1721" s="18"/>
      <c r="P1721" s="3"/>
      <c r="Q1721" s="4"/>
      <c r="R1721" s="19"/>
      <c r="S1721" s="20"/>
      <c r="U1721" s="3" t="str">
        <f t="shared" si="56"/>
        <v/>
      </c>
      <c r="V1721" s="4" t="str">
        <f t="shared" si="57"/>
        <v/>
      </c>
      <c r="W1721" s="21" t="e" cm="1">
        <f t="array" ref="W1721">_xlfn.IFS(
  A1721="BELL", "WHITE",
  A1721="GAMP", "ORANGE",
  A1721="GAMM", "GREEN",
  A1721="BWF", "YELLOW",
  OR(A1721="TNBE", A1721="TNBL", A1721="TNBD", A1721="TNWC", A1721="TNBW", A1721="THBS"), "PINK",
  A1721="CRWD", "BLUE",
  A1721="PASS", "WHITE"
)</f>
        <v>#N/A</v>
      </c>
    </row>
    <row r="1722" spans="1:23" x14ac:dyDescent="0.25">
      <c r="A1722" s="7"/>
      <c r="B1722"/>
      <c r="I1722" s="3"/>
      <c r="J1722" s="17"/>
      <c r="K1722" s="17"/>
      <c r="L1722" s="18"/>
      <c r="M1722" s="18"/>
      <c r="P1722" s="3"/>
      <c r="Q1722" s="4"/>
      <c r="R1722" s="19"/>
      <c r="S1722" s="20"/>
      <c r="U1722" s="3" t="str">
        <f t="shared" si="56"/>
        <v/>
      </c>
      <c r="V1722" s="4" t="str">
        <f t="shared" si="57"/>
        <v/>
      </c>
      <c r="W1722" s="21" t="e" cm="1">
        <f t="array" ref="W1722">_xlfn.IFS(
  A1722="BELL", "WHITE",
  A1722="GAMP", "ORANGE",
  A1722="GAMM", "GREEN",
  A1722="BWF", "YELLOW",
  OR(A1722="TNBE", A1722="TNBL", A1722="TNBD", A1722="TNWC", A1722="TNBW", A1722="THBS"), "PINK",
  A1722="CRWD", "BLUE",
  A1722="PASS", "WHITE"
)</f>
        <v>#N/A</v>
      </c>
    </row>
    <row r="1723" spans="1:23" x14ac:dyDescent="0.25">
      <c r="A1723" s="7"/>
      <c r="B1723"/>
      <c r="I1723" s="3"/>
      <c r="J1723" s="17"/>
      <c r="K1723" s="17"/>
      <c r="L1723" s="18"/>
      <c r="M1723" s="3"/>
      <c r="P1723" s="3"/>
      <c r="Q1723" s="4"/>
      <c r="R1723" s="19"/>
      <c r="S1723" s="20"/>
      <c r="U1723" s="3" t="str">
        <f t="shared" si="56"/>
        <v/>
      </c>
      <c r="V1723" s="4" t="str">
        <f t="shared" si="57"/>
        <v/>
      </c>
      <c r="W1723" s="21" t="e" cm="1">
        <f t="array" ref="W1723">_xlfn.IFS(
  A1723="BELL", "WHITE",
  A1723="GAMP", "ORANGE",
  A1723="GAMM", "GREEN",
  A1723="BWF", "YELLOW",
  OR(A1723="TNBE", A1723="TNBL", A1723="TNBD", A1723="TNWC", A1723="TNBW", A1723="THBS"), "PINK",
  A1723="CRWD", "BLUE",
  A1723="PASS", "WHITE"
)</f>
        <v>#N/A</v>
      </c>
    </row>
    <row r="1724" spans="1:23" x14ac:dyDescent="0.25">
      <c r="A1724" s="7"/>
      <c r="B1724" s="7"/>
      <c r="D1724" s="1"/>
      <c r="E1724" s="1"/>
      <c r="I1724" s="3"/>
      <c r="J1724" s="17"/>
      <c r="K1724" s="17"/>
      <c r="L1724" s="18"/>
      <c r="M1724" s="3"/>
      <c r="P1724" s="3"/>
      <c r="Q1724" s="4"/>
      <c r="S1724" s="20"/>
      <c r="U1724" s="3" t="str">
        <f t="shared" si="56"/>
        <v/>
      </c>
      <c r="V1724" s="4" t="str">
        <f t="shared" si="57"/>
        <v/>
      </c>
      <c r="W1724" s="21" t="e" cm="1">
        <f t="array" ref="W1724">_xlfn.IFS(
  A1724="BELL", "WHITE",
  A1724="GAMP", "ORANGE",
  A1724="GAMM", "GREEN",
  A1724="BWF", "YELLOW",
  OR(A1724="TNBE", A1724="TNBL", A1724="TNBD", A1724="TNWC", A1724="TNBW", A1724="THBS"), "PINK",
  A1724="CRWD", "BLUE",
  A1724="PASS", "WHITE"
)</f>
        <v>#N/A</v>
      </c>
    </row>
    <row r="1725" spans="1:23" x14ac:dyDescent="0.25">
      <c r="A1725" s="7"/>
      <c r="B1725"/>
      <c r="I1725" s="3"/>
      <c r="J1725" s="17"/>
      <c r="K1725" s="17"/>
      <c r="L1725" s="18"/>
      <c r="M1725" s="3"/>
      <c r="P1725" s="3"/>
      <c r="Q1725" s="4"/>
      <c r="R1725" s="19"/>
      <c r="S1725" s="20"/>
      <c r="U1725" s="3" t="str">
        <f t="shared" si="56"/>
        <v/>
      </c>
      <c r="V1725" s="4" t="str">
        <f t="shared" si="57"/>
        <v/>
      </c>
      <c r="W1725" s="21" t="e" cm="1">
        <f t="array" ref="W1725">_xlfn.IFS(
  A1725="BELL", "WHITE",
  A1725="GAMP", "ORANGE",
  A1725="GAMM", "GREEN",
  A1725="BWF", "YELLOW",
  OR(A1725="TNBE", A1725="TNBL", A1725="TNBD", A1725="TNWC", A1725="TNBW", A1725="THBS"), "PINK",
  A1725="CRWD", "BLUE",
  A1725="PASS", "WHITE"
)</f>
        <v>#N/A</v>
      </c>
    </row>
    <row r="1726" spans="1:23" x14ac:dyDescent="0.25">
      <c r="A1726" s="7"/>
      <c r="B1726"/>
      <c r="I1726" s="3"/>
      <c r="J1726" s="17"/>
      <c r="K1726" s="17"/>
      <c r="L1726" s="18"/>
      <c r="M1726" s="3"/>
      <c r="P1726" s="3"/>
      <c r="Q1726" s="4"/>
      <c r="R1726" s="19"/>
      <c r="S1726" s="20"/>
      <c r="U1726" s="3" t="str">
        <f t="shared" si="56"/>
        <v/>
      </c>
      <c r="V1726" s="4" t="str">
        <f t="shared" si="57"/>
        <v/>
      </c>
      <c r="W1726" s="21" t="e" cm="1">
        <f t="array" ref="W1726">_xlfn.IFS(
  A1726="BELL", "WHITE",
  A1726="GAMP", "ORANGE",
  A1726="GAMM", "GREEN",
  A1726="BWF", "YELLOW",
  OR(A1726="TNBE", A1726="TNBL", A1726="TNBD", A1726="TNWC", A1726="TNBW", A1726="THBS"), "PINK",
  A1726="CRWD", "BLUE",
  A1726="PASS", "WHITE"
)</f>
        <v>#N/A</v>
      </c>
    </row>
    <row r="1727" spans="1:23" x14ac:dyDescent="0.25">
      <c r="A1727" s="7"/>
      <c r="B1727"/>
      <c r="I1727" s="3"/>
      <c r="J1727" s="17"/>
      <c r="K1727" s="17"/>
      <c r="L1727" s="18"/>
      <c r="M1727" s="3"/>
      <c r="P1727" s="3"/>
      <c r="Q1727" s="4"/>
      <c r="R1727" s="19"/>
      <c r="S1727" s="20"/>
      <c r="U1727" s="3" t="str">
        <f t="shared" si="56"/>
        <v/>
      </c>
      <c r="V1727" s="4" t="str">
        <f t="shared" si="57"/>
        <v/>
      </c>
      <c r="W1727" s="21" t="e" cm="1">
        <f t="array" ref="W1727">_xlfn.IFS(
  A1727="BELL", "WHITE",
  A1727="GAMP", "ORANGE",
  A1727="GAMM", "GREEN",
  A1727="BWF", "YELLOW",
  OR(A1727="TNBE", A1727="TNBL", A1727="TNBD", A1727="TNWC", A1727="TNBW", A1727="THBS"), "PINK",
  A1727="CRWD", "BLUE",
  A1727="PASS", "WHITE"
)</f>
        <v>#N/A</v>
      </c>
    </row>
    <row r="1728" spans="1:23" x14ac:dyDescent="0.25">
      <c r="A1728" s="7"/>
      <c r="B1728"/>
      <c r="I1728" s="3"/>
      <c r="J1728" s="17"/>
      <c r="K1728" s="17"/>
      <c r="L1728" s="18"/>
      <c r="M1728" s="3"/>
      <c r="P1728" s="3"/>
      <c r="Q1728" s="4"/>
      <c r="R1728" s="19"/>
      <c r="S1728" s="20"/>
      <c r="U1728" s="3" t="str">
        <f t="shared" si="56"/>
        <v/>
      </c>
      <c r="V1728" s="4" t="str">
        <f t="shared" si="57"/>
        <v/>
      </c>
      <c r="W1728" s="21" t="e" cm="1">
        <f t="array" ref="W1728">_xlfn.IFS(
  A1728="BELL", "WHITE",
  A1728="GAMP", "ORANGE",
  A1728="GAMM", "GREEN",
  A1728="BWF", "YELLOW",
  OR(A1728="TNBE", A1728="TNBL", A1728="TNBD", A1728="TNWC", A1728="TNBW", A1728="THBS"), "PINK",
  A1728="CRWD", "BLUE",
  A1728="PASS", "WHITE"
)</f>
        <v>#N/A</v>
      </c>
    </row>
    <row r="1729" spans="1:23" x14ac:dyDescent="0.25">
      <c r="A1729" s="7"/>
      <c r="B1729"/>
      <c r="I1729" s="3"/>
      <c r="J1729" s="17"/>
      <c r="K1729" s="17"/>
      <c r="L1729" s="18"/>
      <c r="M1729" s="3"/>
      <c r="P1729" s="3"/>
      <c r="Q1729" s="4"/>
      <c r="R1729" s="19"/>
      <c r="S1729" s="20"/>
      <c r="U1729" s="3" t="str">
        <f t="shared" si="56"/>
        <v/>
      </c>
      <c r="V1729" s="4" t="str">
        <f t="shared" si="57"/>
        <v/>
      </c>
      <c r="W1729" s="21" t="e" cm="1">
        <f t="array" ref="W1729">_xlfn.IFS(
  A1729="BELL", "WHITE",
  A1729="GAMP", "ORANGE",
  A1729="GAMM", "GREEN",
  A1729="BWF", "YELLOW",
  OR(A1729="TNBE", A1729="TNBL", A1729="TNBD", A1729="TNWC", A1729="TNBW", A1729="THBS"), "PINK",
  A1729="CRWD", "BLUE",
  A1729="PASS", "WHITE"
)</f>
        <v>#N/A</v>
      </c>
    </row>
    <row r="1730" spans="1:23" x14ac:dyDescent="0.25">
      <c r="A1730" s="7"/>
      <c r="B1730"/>
      <c r="I1730" s="3"/>
      <c r="J1730" s="17"/>
      <c r="K1730" s="17"/>
      <c r="L1730" s="18"/>
      <c r="M1730" s="3"/>
      <c r="P1730" s="3"/>
      <c r="Q1730" s="4"/>
      <c r="R1730" s="19"/>
      <c r="S1730" s="20"/>
      <c r="U1730" s="3" t="str">
        <f t="shared" si="56"/>
        <v/>
      </c>
      <c r="V1730" s="4" t="str">
        <f t="shared" si="57"/>
        <v/>
      </c>
      <c r="W1730" s="21" t="e" cm="1">
        <f t="array" ref="W1730">_xlfn.IFS(
  A1730="BELL", "WHITE",
  A1730="GAMP", "ORANGE",
  A1730="GAMM", "GREEN",
  A1730="BWF", "YELLOW",
  OR(A1730="TNBE", A1730="TNBL", A1730="TNBD", A1730="TNWC", A1730="TNBW", A1730="THBS"), "PINK",
  A1730="CRWD", "BLUE",
  A1730="PASS", "WHITE"
)</f>
        <v>#N/A</v>
      </c>
    </row>
    <row r="1731" spans="1:23" x14ac:dyDescent="0.25">
      <c r="A1731" s="7"/>
      <c r="B1731"/>
      <c r="I1731" s="3"/>
      <c r="J1731" s="17"/>
      <c r="K1731" s="17"/>
      <c r="L1731" s="18"/>
      <c r="M1731" s="3"/>
      <c r="P1731" s="3"/>
      <c r="Q1731" s="4"/>
      <c r="R1731" s="19"/>
      <c r="S1731" s="20"/>
      <c r="U1731" s="3" t="str">
        <f t="shared" si="56"/>
        <v/>
      </c>
      <c r="V1731" s="4" t="str">
        <f t="shared" si="57"/>
        <v/>
      </c>
      <c r="W1731" s="21" t="e" cm="1">
        <f t="array" ref="W1731">_xlfn.IFS(
  A1731="BELL", "WHITE",
  A1731="GAMP", "ORANGE",
  A1731="GAMM", "GREEN",
  A1731="BWF", "YELLOW",
  OR(A1731="TNBE", A1731="TNBL", A1731="TNBD", A1731="TNWC", A1731="TNBW", A1731="THBS"), "PINK",
  A1731="CRWD", "BLUE",
  A1731="PASS", "WHITE"
)</f>
        <v>#N/A</v>
      </c>
    </row>
    <row r="1732" spans="1:23" x14ac:dyDescent="0.25">
      <c r="A1732" s="7"/>
      <c r="B1732"/>
      <c r="I1732" s="3"/>
      <c r="J1732" s="17"/>
      <c r="K1732" s="17"/>
      <c r="L1732" s="18"/>
      <c r="M1732" s="18"/>
      <c r="P1732" s="3"/>
      <c r="Q1732" s="4"/>
      <c r="R1732" s="19"/>
      <c r="S1732" s="20"/>
      <c r="U1732" s="3" t="str">
        <f t="shared" ref="U1732:U1795" si="58">IF(T1732="","",IF(T1732&gt;I1732,H1732,T1732/G1732))</f>
        <v/>
      </c>
      <c r="V1732" s="4" t="str">
        <f t="shared" ref="V1732:V1795" si="59">IF(T1732&gt;I1732,T1732-I1732,"")</f>
        <v/>
      </c>
      <c r="W1732" s="21" t="e" cm="1">
        <f t="array" ref="W1732">_xlfn.IFS(
  A1732="BELL", "WHITE",
  A1732="GAMP", "ORANGE",
  A1732="GAMM", "GREEN",
  A1732="BWF", "YELLOW",
  OR(A1732="TNBE", A1732="TNBL", A1732="TNBD", A1732="TNWC", A1732="TNBW", A1732="THBS"), "PINK",
  A1732="CRWD", "BLUE",
  A1732="PASS", "WHITE"
)</f>
        <v>#N/A</v>
      </c>
    </row>
    <row r="1733" spans="1:23" x14ac:dyDescent="0.25">
      <c r="A1733" s="7"/>
      <c r="B1733"/>
      <c r="I1733" s="3"/>
      <c r="J1733" s="17"/>
      <c r="K1733" s="17"/>
      <c r="L1733" s="18"/>
      <c r="M1733" s="3"/>
      <c r="P1733" s="3"/>
      <c r="Q1733" s="4"/>
      <c r="R1733" s="19"/>
      <c r="S1733" s="20"/>
      <c r="U1733" s="3" t="str">
        <f t="shared" si="58"/>
        <v/>
      </c>
      <c r="V1733" s="4" t="str">
        <f t="shared" si="59"/>
        <v/>
      </c>
      <c r="W1733" s="21" t="e" cm="1">
        <f t="array" ref="W1733">_xlfn.IFS(
  A1733="BELL", "WHITE",
  A1733="GAMP", "ORANGE",
  A1733="GAMM", "GREEN",
  A1733="BWF", "YELLOW",
  OR(A1733="TNBE", A1733="TNBL", A1733="TNBD", A1733="TNWC", A1733="TNBW", A1733="THBS"), "PINK",
  A1733="CRWD", "BLUE",
  A1733="PASS", "WHITE"
)</f>
        <v>#N/A</v>
      </c>
    </row>
    <row r="1734" spans="1:23" x14ac:dyDescent="0.25">
      <c r="A1734" s="7"/>
      <c r="B1734"/>
      <c r="I1734" s="3"/>
      <c r="J1734" s="17"/>
      <c r="K1734" s="17"/>
      <c r="L1734" s="18"/>
      <c r="M1734" s="18"/>
      <c r="P1734" s="3"/>
      <c r="Q1734" s="4"/>
      <c r="R1734" s="19"/>
      <c r="S1734" s="20"/>
      <c r="U1734" s="3" t="str">
        <f t="shared" si="58"/>
        <v/>
      </c>
      <c r="V1734" s="4" t="str">
        <f t="shared" si="59"/>
        <v/>
      </c>
      <c r="W1734" s="21" t="e" cm="1">
        <f t="array" ref="W1734">_xlfn.IFS(
  A1734="BELL", "WHITE",
  A1734="GAMP", "ORANGE",
  A1734="GAMM", "GREEN",
  A1734="BWF", "YELLOW",
  OR(A1734="TNBE", A1734="TNBL", A1734="TNBD", A1734="TNWC", A1734="TNBW", A1734="THBS"), "PINK",
  A1734="CRWD", "BLUE",
  A1734="PASS", "WHITE"
)</f>
        <v>#N/A</v>
      </c>
    </row>
    <row r="1735" spans="1:23" x14ac:dyDescent="0.25">
      <c r="A1735" s="7"/>
      <c r="B1735"/>
      <c r="I1735" s="3"/>
      <c r="J1735" s="17"/>
      <c r="K1735" s="17"/>
      <c r="L1735" s="18"/>
      <c r="M1735" s="3"/>
      <c r="P1735" s="3"/>
      <c r="Q1735" s="4"/>
      <c r="R1735" s="19"/>
      <c r="S1735" s="20"/>
      <c r="U1735" s="3" t="str">
        <f t="shared" si="58"/>
        <v/>
      </c>
      <c r="V1735" s="4" t="str">
        <f t="shared" si="59"/>
        <v/>
      </c>
      <c r="W1735" s="21" t="e" cm="1">
        <f t="array" ref="W1735">_xlfn.IFS(
  A1735="BELL", "WHITE",
  A1735="GAMP", "ORANGE",
  A1735="GAMM", "GREEN",
  A1735="BWF", "YELLOW",
  OR(A1735="TNBE", A1735="TNBL", A1735="TNBD", A1735="TNWC", A1735="TNBW", A1735="THBS"), "PINK",
  A1735="CRWD", "BLUE",
  A1735="PASS", "WHITE"
)</f>
        <v>#N/A</v>
      </c>
    </row>
    <row r="1736" spans="1:23" x14ac:dyDescent="0.25">
      <c r="A1736" s="7"/>
      <c r="B1736"/>
      <c r="I1736" s="3"/>
      <c r="J1736" s="17"/>
      <c r="K1736" s="17"/>
      <c r="L1736" s="18"/>
      <c r="M1736" s="3"/>
      <c r="P1736" s="3"/>
      <c r="Q1736" s="4"/>
      <c r="R1736" s="19"/>
      <c r="S1736" s="20"/>
      <c r="U1736" s="3" t="str">
        <f t="shared" si="58"/>
        <v/>
      </c>
      <c r="V1736" s="4" t="str">
        <f t="shared" si="59"/>
        <v/>
      </c>
      <c r="W1736" s="21" t="e" cm="1">
        <f t="array" ref="W1736">_xlfn.IFS(
  A1736="BELL", "WHITE",
  A1736="GAMP", "ORANGE",
  A1736="GAMM", "GREEN",
  A1736="BWF", "YELLOW",
  OR(A1736="TNBE", A1736="TNBL", A1736="TNBD", A1736="TNWC", A1736="TNBW", A1736="THBS"), "PINK",
  A1736="CRWD", "BLUE",
  A1736="PASS", "WHITE"
)</f>
        <v>#N/A</v>
      </c>
    </row>
    <row r="1737" spans="1:23" x14ac:dyDescent="0.25">
      <c r="A1737" s="7"/>
      <c r="B1737"/>
      <c r="I1737" s="3"/>
      <c r="J1737" s="17"/>
      <c r="K1737" s="17"/>
      <c r="L1737" s="18"/>
      <c r="M1737" s="18"/>
      <c r="P1737" s="3"/>
      <c r="Q1737" s="4"/>
      <c r="R1737" s="19"/>
      <c r="S1737" s="20"/>
      <c r="U1737" s="3" t="str">
        <f t="shared" si="58"/>
        <v/>
      </c>
      <c r="V1737" s="4" t="str">
        <f t="shared" si="59"/>
        <v/>
      </c>
      <c r="W1737" s="21" t="e" cm="1">
        <f t="array" ref="W1737">_xlfn.IFS(
  A1737="BELL", "WHITE",
  A1737="GAMP", "ORANGE",
  A1737="GAMM", "GREEN",
  A1737="BWF", "YELLOW",
  OR(A1737="TNBE", A1737="TNBL", A1737="TNBD", A1737="TNWC", A1737="TNBW", A1737="THBS"), "PINK",
  A1737="CRWD", "BLUE",
  A1737="PASS", "WHITE"
)</f>
        <v>#N/A</v>
      </c>
    </row>
    <row r="1738" spans="1:23" x14ac:dyDescent="0.25">
      <c r="A1738" s="7"/>
      <c r="B1738"/>
      <c r="I1738" s="3"/>
      <c r="J1738" s="17"/>
      <c r="K1738" s="17"/>
      <c r="L1738" s="18"/>
      <c r="M1738" s="18"/>
      <c r="P1738" s="3"/>
      <c r="Q1738" s="4"/>
      <c r="R1738" s="19"/>
      <c r="S1738" s="20"/>
      <c r="U1738" s="3" t="str">
        <f t="shared" si="58"/>
        <v/>
      </c>
      <c r="V1738" s="4" t="str">
        <f t="shared" si="59"/>
        <v/>
      </c>
      <c r="W1738" s="21" t="e" cm="1">
        <f t="array" ref="W1738">_xlfn.IFS(
  A1738="BELL", "WHITE",
  A1738="GAMP", "ORANGE",
  A1738="GAMM", "GREEN",
  A1738="BWF", "YELLOW",
  OR(A1738="TNBE", A1738="TNBL", A1738="TNBD", A1738="TNWC", A1738="TNBW", A1738="THBS"), "PINK",
  A1738="CRWD", "BLUE",
  A1738="PASS", "WHITE"
)</f>
        <v>#N/A</v>
      </c>
    </row>
    <row r="1739" spans="1:23" x14ac:dyDescent="0.25">
      <c r="A1739" s="7"/>
      <c r="B1739"/>
      <c r="I1739" s="3"/>
      <c r="J1739" s="17"/>
      <c r="K1739" s="17"/>
      <c r="L1739" s="18"/>
      <c r="M1739" s="3"/>
      <c r="P1739" s="3"/>
      <c r="Q1739" s="4"/>
      <c r="R1739" s="19"/>
      <c r="S1739" s="20"/>
      <c r="U1739" s="3" t="str">
        <f t="shared" si="58"/>
        <v/>
      </c>
      <c r="V1739" s="4" t="str">
        <f t="shared" si="59"/>
        <v/>
      </c>
      <c r="W1739" s="21" t="e" cm="1">
        <f t="array" ref="W1739">_xlfn.IFS(
  A1739="BELL", "WHITE",
  A1739="GAMP", "ORANGE",
  A1739="GAMM", "GREEN",
  A1739="BWF", "YELLOW",
  OR(A1739="TNBE", A1739="TNBL", A1739="TNBD", A1739="TNWC", A1739="TNBW", A1739="THBS"), "PINK",
  A1739="CRWD", "BLUE",
  A1739="PASS", "WHITE"
)</f>
        <v>#N/A</v>
      </c>
    </row>
    <row r="1740" spans="1:23" x14ac:dyDescent="0.25">
      <c r="A1740" s="7"/>
      <c r="B1740"/>
      <c r="I1740" s="3"/>
      <c r="J1740" s="17"/>
      <c r="K1740" s="17"/>
      <c r="L1740" s="18"/>
      <c r="M1740" s="18"/>
      <c r="P1740" s="3"/>
      <c r="Q1740" s="4"/>
      <c r="R1740" s="19"/>
      <c r="S1740" s="20"/>
      <c r="U1740" s="3" t="str">
        <f t="shared" si="58"/>
        <v/>
      </c>
      <c r="V1740" s="4" t="str">
        <f t="shared" si="59"/>
        <v/>
      </c>
      <c r="W1740" s="21" t="e" cm="1">
        <f t="array" ref="W1740">_xlfn.IFS(
  A1740="BELL", "WHITE",
  A1740="GAMP", "ORANGE",
  A1740="GAMM", "GREEN",
  A1740="BWF", "YELLOW",
  OR(A1740="TNBE", A1740="TNBL", A1740="TNBD", A1740="TNWC", A1740="TNBW", A1740="THBS"), "PINK",
  A1740="CRWD", "BLUE",
  A1740="PASS", "WHITE"
)</f>
        <v>#N/A</v>
      </c>
    </row>
    <row r="1741" spans="1:23" x14ac:dyDescent="0.25">
      <c r="A1741" s="7"/>
      <c r="B1741"/>
      <c r="I1741" s="3"/>
      <c r="J1741" s="17"/>
      <c r="K1741" s="17"/>
      <c r="L1741" s="18"/>
      <c r="M1741" s="18"/>
      <c r="P1741" s="3"/>
      <c r="Q1741" s="4"/>
      <c r="R1741" s="19"/>
      <c r="S1741" s="20"/>
      <c r="U1741" s="3" t="str">
        <f t="shared" si="58"/>
        <v/>
      </c>
      <c r="V1741" s="4" t="str">
        <f t="shared" si="59"/>
        <v/>
      </c>
      <c r="W1741" s="21" t="e" cm="1">
        <f t="array" ref="W1741">_xlfn.IFS(
  A1741="BELL", "WHITE",
  A1741="GAMP", "ORANGE",
  A1741="GAMM", "GREEN",
  A1741="BWF", "YELLOW",
  OR(A1741="TNBE", A1741="TNBL", A1741="TNBD", A1741="TNWC", A1741="TNBW", A1741="THBS"), "PINK",
  A1741="CRWD", "BLUE",
  A1741="PASS", "WHITE"
)</f>
        <v>#N/A</v>
      </c>
    </row>
    <row r="1742" spans="1:23" x14ac:dyDescent="0.25">
      <c r="A1742" s="7"/>
      <c r="B1742"/>
      <c r="I1742" s="3"/>
      <c r="J1742" s="17"/>
      <c r="K1742" s="17"/>
      <c r="L1742" s="18"/>
      <c r="M1742" s="3"/>
      <c r="P1742" s="3"/>
      <c r="Q1742" s="4"/>
      <c r="R1742" s="19"/>
      <c r="S1742" s="20"/>
      <c r="U1742" s="3" t="str">
        <f t="shared" si="58"/>
        <v/>
      </c>
      <c r="V1742" s="4" t="str">
        <f t="shared" si="59"/>
        <v/>
      </c>
      <c r="W1742" s="21" t="e" cm="1">
        <f t="array" ref="W1742">_xlfn.IFS(
  A1742="BELL", "WHITE",
  A1742="GAMP", "ORANGE",
  A1742="GAMM", "GREEN",
  A1742="BWF", "YELLOW",
  OR(A1742="TNBE", A1742="TNBL", A1742="TNBD", A1742="TNWC", A1742="TNBW", A1742="THBS"), "PINK",
  A1742="CRWD", "BLUE",
  A1742="PASS", "WHITE"
)</f>
        <v>#N/A</v>
      </c>
    </row>
    <row r="1743" spans="1:23" x14ac:dyDescent="0.25">
      <c r="A1743" s="7"/>
      <c r="B1743" s="7"/>
      <c r="I1743" s="3"/>
      <c r="J1743" s="17"/>
      <c r="K1743" s="17"/>
      <c r="L1743" s="18"/>
      <c r="M1743" s="3"/>
      <c r="P1743" s="3"/>
      <c r="Q1743" s="4"/>
      <c r="S1743" s="20"/>
      <c r="U1743" s="3" t="str">
        <f t="shared" si="58"/>
        <v/>
      </c>
      <c r="V1743" s="4" t="str">
        <f t="shared" si="59"/>
        <v/>
      </c>
      <c r="W1743" s="21" t="e" cm="1">
        <f t="array" ref="W1743">_xlfn.IFS(
  A1743="BELL", "WHITE",
  A1743="GAMP", "ORANGE",
  A1743="GAMM", "GREEN",
  A1743="BWF", "YELLOW",
  OR(A1743="TNBE", A1743="TNBL", A1743="TNBD", A1743="TNWC", A1743="TNBW", A1743="THBS"), "PINK",
  A1743="CRWD", "BLUE",
  A1743="PASS", "WHITE"
)</f>
        <v>#N/A</v>
      </c>
    </row>
    <row r="1744" spans="1:23" x14ac:dyDescent="0.25">
      <c r="A1744" s="7"/>
      <c r="B1744"/>
      <c r="I1744" s="3"/>
      <c r="J1744" s="17"/>
      <c r="K1744" s="17"/>
      <c r="L1744" s="18"/>
      <c r="M1744" s="3"/>
      <c r="P1744" s="3"/>
      <c r="Q1744" s="4"/>
      <c r="R1744" s="19"/>
      <c r="S1744" s="20"/>
      <c r="U1744" s="3" t="str">
        <f t="shared" si="58"/>
        <v/>
      </c>
      <c r="V1744" s="4" t="str">
        <f t="shared" si="59"/>
        <v/>
      </c>
      <c r="W1744" s="21" t="e" cm="1">
        <f t="array" ref="W1744">_xlfn.IFS(
  A1744="BELL", "WHITE",
  A1744="GAMP", "ORANGE",
  A1744="GAMM", "GREEN",
  A1744="BWF", "YELLOW",
  OR(A1744="TNBE", A1744="TNBL", A1744="TNBD", A1744="TNWC", A1744="TNBW", A1744="THBS"), "PINK",
  A1744="CRWD", "BLUE",
  A1744="PASS", "WHITE"
)</f>
        <v>#N/A</v>
      </c>
    </row>
    <row r="1745" spans="1:23" x14ac:dyDescent="0.25">
      <c r="A1745" s="7"/>
      <c r="B1745"/>
      <c r="I1745" s="3"/>
      <c r="J1745" s="17"/>
      <c r="K1745" s="17"/>
      <c r="L1745" s="18"/>
      <c r="M1745" s="3"/>
      <c r="P1745" s="3"/>
      <c r="Q1745" s="4"/>
      <c r="R1745" s="19"/>
      <c r="S1745" s="20"/>
      <c r="U1745" s="3" t="str">
        <f t="shared" si="58"/>
        <v/>
      </c>
      <c r="V1745" s="4" t="str">
        <f t="shared" si="59"/>
        <v/>
      </c>
      <c r="W1745" s="21" t="e" cm="1">
        <f t="array" ref="W1745">_xlfn.IFS(
  A1745="BELL", "WHITE",
  A1745="GAMP", "ORANGE",
  A1745="GAMM", "GREEN",
  A1745="BWF", "YELLOW",
  OR(A1745="TNBE", A1745="TNBL", A1745="TNBD", A1745="TNWC", A1745="TNBW", A1745="THBS"), "PINK",
  A1745="CRWD", "BLUE",
  A1745="PASS", "WHITE"
)</f>
        <v>#N/A</v>
      </c>
    </row>
    <row r="1746" spans="1:23" x14ac:dyDescent="0.25">
      <c r="A1746" s="7"/>
      <c r="B1746"/>
      <c r="I1746" s="3"/>
      <c r="J1746" s="17"/>
      <c r="K1746" s="17"/>
      <c r="L1746" s="18"/>
      <c r="M1746" s="3"/>
      <c r="P1746" s="3"/>
      <c r="Q1746" s="4"/>
      <c r="R1746" s="19"/>
      <c r="S1746" s="20"/>
      <c r="U1746" s="3" t="str">
        <f t="shared" si="58"/>
        <v/>
      </c>
      <c r="V1746" s="4" t="str">
        <f t="shared" si="59"/>
        <v/>
      </c>
      <c r="W1746" s="21" t="e" cm="1">
        <f t="array" ref="W1746">_xlfn.IFS(
  A1746="BELL", "WHITE",
  A1746="GAMP", "ORANGE",
  A1746="GAMM", "GREEN",
  A1746="BWF", "YELLOW",
  OR(A1746="TNBE", A1746="TNBL", A1746="TNBD", A1746="TNWC", A1746="TNBW", A1746="THBS"), "PINK",
  A1746="CRWD", "BLUE",
  A1746="PASS", "WHITE"
)</f>
        <v>#N/A</v>
      </c>
    </row>
    <row r="1747" spans="1:23" x14ac:dyDescent="0.25">
      <c r="A1747" s="7"/>
      <c r="B1747"/>
      <c r="I1747" s="3"/>
      <c r="J1747" s="17"/>
      <c r="K1747" s="17"/>
      <c r="L1747" s="18"/>
      <c r="M1747" s="3"/>
      <c r="P1747" s="3"/>
      <c r="Q1747" s="4"/>
      <c r="R1747" s="19"/>
      <c r="S1747" s="20"/>
      <c r="U1747" s="3" t="str">
        <f t="shared" si="58"/>
        <v/>
      </c>
      <c r="V1747" s="4" t="str">
        <f t="shared" si="59"/>
        <v/>
      </c>
      <c r="W1747" s="21" t="e" cm="1">
        <f t="array" ref="W1747">_xlfn.IFS(
  A1747="BELL", "WHITE",
  A1747="GAMP", "ORANGE",
  A1747="GAMM", "GREEN",
  A1747="BWF", "YELLOW",
  OR(A1747="TNBE", A1747="TNBL", A1747="TNBD", A1747="TNWC", A1747="TNBW", A1747="THBS"), "PINK",
  A1747="CRWD", "BLUE",
  A1747="PASS", "WHITE"
)</f>
        <v>#N/A</v>
      </c>
    </row>
    <row r="1748" spans="1:23" x14ac:dyDescent="0.25">
      <c r="A1748" s="7"/>
      <c r="I1748" s="3"/>
      <c r="J1748" s="17"/>
      <c r="K1748" s="17"/>
      <c r="L1748" s="18"/>
      <c r="M1748" s="18"/>
      <c r="P1748" s="3"/>
      <c r="Q1748" s="4"/>
      <c r="R1748" s="19"/>
      <c r="S1748" s="20"/>
      <c r="U1748" s="3" t="str">
        <f t="shared" si="58"/>
        <v/>
      </c>
      <c r="V1748" s="4" t="str">
        <f t="shared" si="59"/>
        <v/>
      </c>
      <c r="W1748" s="21" t="e" cm="1">
        <f t="array" ref="W1748">_xlfn.IFS(
  A1748="BELL", "WHITE",
  A1748="GAMP", "ORANGE",
  A1748="GAMM", "GREEN",
  A1748="BWF", "YELLOW",
  OR(A1748="TNBE", A1748="TNBL", A1748="TNBD", A1748="TNWC", A1748="TNBW", A1748="THBS"), "PINK",
  A1748="CRWD", "BLUE",
  A1748="PASS", "WHITE"
)</f>
        <v>#N/A</v>
      </c>
    </row>
    <row r="1749" spans="1:23" x14ac:dyDescent="0.25">
      <c r="A1749" s="7"/>
      <c r="I1749" s="3"/>
      <c r="J1749" s="17"/>
      <c r="K1749" s="17"/>
      <c r="L1749" s="18"/>
      <c r="M1749" s="18"/>
      <c r="P1749" s="3"/>
      <c r="Q1749" s="4"/>
      <c r="R1749" s="19"/>
      <c r="S1749" s="20"/>
      <c r="U1749" s="3" t="str">
        <f t="shared" si="58"/>
        <v/>
      </c>
      <c r="V1749" s="4" t="str">
        <f t="shared" si="59"/>
        <v/>
      </c>
      <c r="W1749" s="21" t="e" cm="1">
        <f t="array" ref="W1749">_xlfn.IFS(
  A1749="BELL", "WHITE",
  A1749="GAMP", "ORANGE",
  A1749="GAMM", "GREEN",
  A1749="BWF", "YELLOW",
  OR(A1749="TNBE", A1749="TNBL", A1749="TNBD", A1749="TNWC", A1749="TNBW", A1749="THBS"), "PINK",
  A1749="CRWD", "BLUE",
  A1749="PASS", "WHITE"
)</f>
        <v>#N/A</v>
      </c>
    </row>
    <row r="1750" spans="1:23" x14ac:dyDescent="0.25">
      <c r="A1750" s="7"/>
      <c r="I1750" s="3"/>
      <c r="J1750" s="17"/>
      <c r="K1750" s="17"/>
      <c r="L1750" s="18"/>
      <c r="M1750" s="18"/>
      <c r="P1750" s="3"/>
      <c r="Q1750" s="4"/>
      <c r="R1750" s="19"/>
      <c r="S1750" s="20"/>
      <c r="U1750" s="3" t="str">
        <f t="shared" si="58"/>
        <v/>
      </c>
      <c r="V1750" s="4" t="str">
        <f t="shared" si="59"/>
        <v/>
      </c>
      <c r="W1750" s="21" t="e" cm="1">
        <f t="array" ref="W1750">_xlfn.IFS(
  A1750="BELL", "WHITE",
  A1750="GAMP", "ORANGE",
  A1750="GAMM", "GREEN",
  A1750="BWF", "YELLOW",
  OR(A1750="TNBE", A1750="TNBL", A1750="TNBD", A1750="TNWC", A1750="TNBW", A1750="THBS"), "PINK",
  A1750="CRWD", "BLUE",
  A1750="PASS", "WHITE"
)</f>
        <v>#N/A</v>
      </c>
    </row>
    <row r="1751" spans="1:23" x14ac:dyDescent="0.25">
      <c r="A1751" s="7"/>
      <c r="I1751" s="3"/>
      <c r="J1751" s="17"/>
      <c r="K1751" s="17"/>
      <c r="L1751" s="18"/>
      <c r="M1751" s="18"/>
      <c r="P1751" s="3"/>
      <c r="Q1751" s="4"/>
      <c r="R1751" s="19"/>
      <c r="S1751" s="20"/>
      <c r="U1751" s="3" t="str">
        <f t="shared" si="58"/>
        <v/>
      </c>
      <c r="V1751" s="4" t="str">
        <f t="shared" si="59"/>
        <v/>
      </c>
      <c r="W1751" s="21" t="e" cm="1">
        <f t="array" ref="W1751">_xlfn.IFS(
  A1751="BELL", "WHITE",
  A1751="GAMP", "ORANGE",
  A1751="GAMM", "GREEN",
  A1751="BWF", "YELLOW",
  OR(A1751="TNBE", A1751="TNBL", A1751="TNBD", A1751="TNWC", A1751="TNBW", A1751="THBS"), "PINK",
  A1751="CRWD", "BLUE",
  A1751="PASS", "WHITE"
)</f>
        <v>#N/A</v>
      </c>
    </row>
    <row r="1752" spans="1:23" x14ac:dyDescent="0.25">
      <c r="A1752" s="7"/>
      <c r="I1752" s="3"/>
      <c r="J1752" s="17"/>
      <c r="K1752" s="17"/>
      <c r="L1752" s="18"/>
      <c r="M1752" s="18"/>
      <c r="P1752" s="3"/>
      <c r="Q1752" s="4"/>
      <c r="R1752" s="19"/>
      <c r="S1752" s="20"/>
      <c r="U1752" s="3" t="str">
        <f t="shared" si="58"/>
        <v/>
      </c>
      <c r="V1752" s="4" t="str">
        <f t="shared" si="59"/>
        <v/>
      </c>
      <c r="W1752" s="21" t="e" cm="1">
        <f t="array" ref="W1752">_xlfn.IFS(
  A1752="BELL", "WHITE",
  A1752="GAMP", "ORANGE",
  A1752="GAMM", "GREEN",
  A1752="BWF", "YELLOW",
  OR(A1752="TNBE", A1752="TNBL", A1752="TNBD", A1752="TNWC", A1752="TNBW", A1752="THBS"), "PINK",
  A1752="CRWD", "BLUE",
  A1752="PASS", "WHITE"
)</f>
        <v>#N/A</v>
      </c>
    </row>
    <row r="1753" spans="1:23" x14ac:dyDescent="0.25">
      <c r="A1753" s="7"/>
      <c r="I1753" s="3"/>
      <c r="J1753" s="17"/>
      <c r="K1753" s="17"/>
      <c r="L1753" s="18"/>
      <c r="M1753" s="18"/>
      <c r="P1753" s="3"/>
      <c r="Q1753" s="4"/>
      <c r="R1753" s="19"/>
      <c r="S1753" s="20"/>
      <c r="U1753" s="3" t="str">
        <f t="shared" si="58"/>
        <v/>
      </c>
      <c r="V1753" s="4" t="str">
        <f t="shared" si="59"/>
        <v/>
      </c>
      <c r="W1753" s="21" t="e" cm="1">
        <f t="array" ref="W1753">_xlfn.IFS(
  A1753="BELL", "WHITE",
  A1753="GAMP", "ORANGE",
  A1753="GAMM", "GREEN",
  A1753="BWF", "YELLOW",
  OR(A1753="TNBE", A1753="TNBL", A1753="TNBD", A1753="TNWC", A1753="TNBW", A1753="THBS"), "PINK",
  A1753="CRWD", "BLUE",
  A1753="PASS", "WHITE"
)</f>
        <v>#N/A</v>
      </c>
    </row>
    <row r="1754" spans="1:23" x14ac:dyDescent="0.25">
      <c r="A1754" s="7"/>
      <c r="I1754" s="3"/>
      <c r="J1754" s="17"/>
      <c r="K1754" s="17"/>
      <c r="L1754" s="18"/>
      <c r="M1754" s="18"/>
      <c r="P1754" s="3"/>
      <c r="Q1754" s="4"/>
      <c r="R1754" s="19"/>
      <c r="S1754" s="20"/>
      <c r="U1754" s="3" t="str">
        <f t="shared" si="58"/>
        <v/>
      </c>
      <c r="V1754" s="4" t="str">
        <f t="shared" si="59"/>
        <v/>
      </c>
      <c r="W1754" s="21" t="e" cm="1">
        <f t="array" ref="W1754">_xlfn.IFS(
  A1754="BELL", "WHITE",
  A1754="GAMP", "ORANGE",
  A1754="GAMM", "GREEN",
  A1754="BWF", "YELLOW",
  OR(A1754="TNBE", A1754="TNBL", A1754="TNBD", A1754="TNWC", A1754="TNBW", A1754="THBS"), "PINK",
  A1754="CRWD", "BLUE",
  A1754="PASS", "WHITE"
)</f>
        <v>#N/A</v>
      </c>
    </row>
    <row r="1755" spans="1:23" x14ac:dyDescent="0.25">
      <c r="A1755" s="7"/>
      <c r="I1755" s="3"/>
      <c r="J1755" s="17"/>
      <c r="K1755" s="17"/>
      <c r="L1755" s="18"/>
      <c r="M1755" s="18"/>
      <c r="P1755" s="3"/>
      <c r="Q1755" s="4"/>
      <c r="R1755" s="19"/>
      <c r="S1755" s="20"/>
      <c r="U1755" s="3" t="str">
        <f t="shared" si="58"/>
        <v/>
      </c>
      <c r="V1755" s="4" t="str">
        <f t="shared" si="59"/>
        <v/>
      </c>
      <c r="W1755" s="21" t="e" cm="1">
        <f t="array" ref="W1755">_xlfn.IFS(
  A1755="BELL", "WHITE",
  A1755="GAMP", "ORANGE",
  A1755="GAMM", "GREEN",
  A1755="BWF", "YELLOW",
  OR(A1755="TNBE", A1755="TNBL", A1755="TNBD", A1755="TNWC", A1755="TNBW", A1755="THBS"), "PINK",
  A1755="CRWD", "BLUE",
  A1755="PASS", "WHITE"
)</f>
        <v>#N/A</v>
      </c>
    </row>
    <row r="1756" spans="1:23" x14ac:dyDescent="0.25">
      <c r="A1756" s="7"/>
      <c r="I1756" s="3"/>
      <c r="J1756" s="17"/>
      <c r="K1756" s="17"/>
      <c r="L1756" s="18"/>
      <c r="M1756" s="18"/>
      <c r="P1756" s="3"/>
      <c r="Q1756" s="4"/>
      <c r="R1756" s="19"/>
      <c r="S1756" s="20"/>
      <c r="U1756" s="3" t="str">
        <f t="shared" si="58"/>
        <v/>
      </c>
      <c r="V1756" s="4" t="str">
        <f t="shared" si="59"/>
        <v/>
      </c>
      <c r="W1756" s="21" t="e" cm="1">
        <f t="array" ref="W1756">_xlfn.IFS(
  A1756="BELL", "WHITE",
  A1756="GAMP", "ORANGE",
  A1756="GAMM", "GREEN",
  A1756="BWF", "YELLOW",
  OR(A1756="TNBE", A1756="TNBL", A1756="TNBD", A1756="TNWC", A1756="TNBW", A1756="THBS"), "PINK",
  A1756="CRWD", "BLUE",
  A1756="PASS", "WHITE"
)</f>
        <v>#N/A</v>
      </c>
    </row>
    <row r="1757" spans="1:23" x14ac:dyDescent="0.25">
      <c r="A1757" s="7"/>
      <c r="I1757" s="3"/>
      <c r="J1757" s="17"/>
      <c r="K1757" s="17"/>
      <c r="L1757" s="18"/>
      <c r="M1757" s="18"/>
      <c r="P1757" s="3"/>
      <c r="Q1757" s="4"/>
      <c r="R1757" s="19"/>
      <c r="S1757" s="20"/>
      <c r="U1757" s="3" t="str">
        <f t="shared" si="58"/>
        <v/>
      </c>
      <c r="V1757" s="4" t="str">
        <f t="shared" si="59"/>
        <v/>
      </c>
      <c r="W1757" s="21" t="e" cm="1">
        <f t="array" ref="W1757">_xlfn.IFS(
  A1757="BELL", "WHITE",
  A1757="GAMP", "ORANGE",
  A1757="GAMM", "GREEN",
  A1757="BWF", "YELLOW",
  OR(A1757="TNBE", A1757="TNBL", A1757="TNBD", A1757="TNWC", A1757="TNBW", A1757="THBS"), "PINK",
  A1757="CRWD", "BLUE",
  A1757="PASS", "WHITE"
)</f>
        <v>#N/A</v>
      </c>
    </row>
    <row r="1758" spans="1:23" x14ac:dyDescent="0.25">
      <c r="A1758" s="7"/>
      <c r="I1758" s="3"/>
      <c r="J1758" s="17"/>
      <c r="K1758" s="17"/>
      <c r="L1758" s="18"/>
      <c r="M1758" s="18"/>
      <c r="P1758" s="3"/>
      <c r="Q1758" s="4"/>
      <c r="R1758" s="19"/>
      <c r="S1758" s="20"/>
      <c r="U1758" s="3" t="str">
        <f t="shared" si="58"/>
        <v/>
      </c>
      <c r="V1758" s="4" t="str">
        <f t="shared" si="59"/>
        <v/>
      </c>
      <c r="W1758" s="21" t="e" cm="1">
        <f t="array" ref="W1758">_xlfn.IFS(
  A1758="BELL", "WHITE",
  A1758="GAMP", "ORANGE",
  A1758="GAMM", "GREEN",
  A1758="BWF", "YELLOW",
  OR(A1758="TNBE", A1758="TNBL", A1758="TNBD", A1758="TNWC", A1758="TNBW", A1758="THBS"), "PINK",
  A1758="CRWD", "BLUE",
  A1758="PASS", "WHITE"
)</f>
        <v>#N/A</v>
      </c>
    </row>
    <row r="1759" spans="1:23" x14ac:dyDescent="0.25">
      <c r="A1759" s="7"/>
      <c r="I1759" s="3"/>
      <c r="J1759" s="17"/>
      <c r="K1759" s="17"/>
      <c r="L1759" s="18"/>
      <c r="M1759" s="18"/>
      <c r="P1759" s="3"/>
      <c r="Q1759" s="4"/>
      <c r="R1759" s="19"/>
      <c r="S1759" s="20"/>
      <c r="U1759" s="3" t="str">
        <f t="shared" si="58"/>
        <v/>
      </c>
      <c r="V1759" s="4" t="str">
        <f t="shared" si="59"/>
        <v/>
      </c>
      <c r="W1759" s="21" t="e" cm="1">
        <f t="array" ref="W1759">_xlfn.IFS(
  A1759="BELL", "WHITE",
  A1759="GAMP", "ORANGE",
  A1759="GAMM", "GREEN",
  A1759="BWF", "YELLOW",
  OR(A1759="TNBE", A1759="TNBL", A1759="TNBD", A1759="TNWC", A1759="TNBW", A1759="THBS"), "PINK",
  A1759="CRWD", "BLUE",
  A1759="PASS", "WHITE"
)</f>
        <v>#N/A</v>
      </c>
    </row>
    <row r="1760" spans="1:23" x14ac:dyDescent="0.25">
      <c r="A1760" s="7"/>
      <c r="I1760" s="3"/>
      <c r="J1760" s="17"/>
      <c r="K1760" s="17"/>
      <c r="L1760" s="18"/>
      <c r="M1760" s="18"/>
      <c r="P1760" s="3"/>
      <c r="Q1760" s="4"/>
      <c r="R1760" s="19"/>
      <c r="S1760" s="20"/>
      <c r="U1760" s="3" t="str">
        <f t="shared" si="58"/>
        <v/>
      </c>
      <c r="V1760" s="4" t="str">
        <f t="shared" si="59"/>
        <v/>
      </c>
      <c r="W1760" s="21" t="e" cm="1">
        <f t="array" ref="W1760">_xlfn.IFS(
  A1760="BELL", "WHITE",
  A1760="GAMP", "ORANGE",
  A1760="GAMM", "GREEN",
  A1760="BWF", "YELLOW",
  OR(A1760="TNBE", A1760="TNBL", A1760="TNBD", A1760="TNWC", A1760="TNBW", A1760="THBS"), "PINK",
  A1760="CRWD", "BLUE",
  A1760="PASS", "WHITE"
)</f>
        <v>#N/A</v>
      </c>
    </row>
    <row r="1761" spans="1:23" x14ac:dyDescent="0.25">
      <c r="A1761" s="7"/>
      <c r="I1761" s="3"/>
      <c r="J1761" s="17"/>
      <c r="K1761" s="17"/>
      <c r="L1761" s="18"/>
      <c r="M1761" s="18"/>
      <c r="P1761" s="3"/>
      <c r="Q1761" s="4"/>
      <c r="R1761" s="19"/>
      <c r="S1761" s="20"/>
      <c r="U1761" s="3" t="str">
        <f t="shared" si="58"/>
        <v/>
      </c>
      <c r="V1761" s="4" t="str">
        <f t="shared" si="59"/>
        <v/>
      </c>
      <c r="W1761" s="21" t="e" cm="1">
        <f t="array" ref="W1761">_xlfn.IFS(
  A1761="BELL", "WHITE",
  A1761="GAMP", "ORANGE",
  A1761="GAMM", "GREEN",
  A1761="BWF", "YELLOW",
  OR(A1761="TNBE", A1761="TNBL", A1761="TNBD", A1761="TNWC", A1761="TNBW", A1761="THBS"), "PINK",
  A1761="CRWD", "BLUE",
  A1761="PASS", "WHITE"
)</f>
        <v>#N/A</v>
      </c>
    </row>
    <row r="1762" spans="1:23" x14ac:dyDescent="0.25">
      <c r="A1762" s="7"/>
      <c r="I1762" s="3"/>
      <c r="J1762" s="17"/>
      <c r="K1762" s="17"/>
      <c r="L1762" s="18"/>
      <c r="M1762" s="18"/>
      <c r="P1762" s="3"/>
      <c r="Q1762" s="4"/>
      <c r="R1762" s="19"/>
      <c r="S1762" s="20"/>
      <c r="U1762" s="3" t="str">
        <f t="shared" si="58"/>
        <v/>
      </c>
      <c r="V1762" s="4" t="str">
        <f t="shared" si="59"/>
        <v/>
      </c>
      <c r="W1762" s="21" t="e" cm="1">
        <f t="array" ref="W1762">_xlfn.IFS(
  A1762="BELL", "WHITE",
  A1762="GAMP", "ORANGE",
  A1762="GAMM", "GREEN",
  A1762="BWF", "YELLOW",
  OR(A1762="TNBE", A1762="TNBL", A1762="TNBD", A1762="TNWC", A1762="TNBW", A1762="THBS"), "PINK",
  A1762="CRWD", "BLUE",
  A1762="PASS", "WHITE"
)</f>
        <v>#N/A</v>
      </c>
    </row>
    <row r="1763" spans="1:23" x14ac:dyDescent="0.25">
      <c r="A1763" s="7"/>
      <c r="I1763" s="3"/>
      <c r="J1763" s="17"/>
      <c r="K1763" s="17"/>
      <c r="L1763" s="18"/>
      <c r="M1763" s="18"/>
      <c r="P1763" s="3"/>
      <c r="Q1763" s="4"/>
      <c r="R1763" s="19"/>
      <c r="S1763" s="20"/>
      <c r="U1763" s="3" t="str">
        <f t="shared" si="58"/>
        <v/>
      </c>
      <c r="V1763" s="4" t="str">
        <f t="shared" si="59"/>
        <v/>
      </c>
      <c r="W1763" s="21" t="e" cm="1">
        <f t="array" ref="W1763">_xlfn.IFS(
  A1763="BELL", "WHITE",
  A1763="GAMP", "ORANGE",
  A1763="GAMM", "GREEN",
  A1763="BWF", "YELLOW",
  OR(A1763="TNBE", A1763="TNBL", A1763="TNBD", A1763="TNWC", A1763="TNBW", A1763="THBS"), "PINK",
  A1763="CRWD", "BLUE",
  A1763="PASS", "WHITE"
)</f>
        <v>#N/A</v>
      </c>
    </row>
    <row r="1764" spans="1:23" x14ac:dyDescent="0.25">
      <c r="A1764" s="7"/>
      <c r="I1764" s="3"/>
      <c r="J1764" s="17"/>
      <c r="K1764" s="17"/>
      <c r="L1764" s="18"/>
      <c r="M1764" s="18"/>
      <c r="P1764" s="3"/>
      <c r="Q1764" s="4"/>
      <c r="R1764" s="19"/>
      <c r="S1764" s="20"/>
      <c r="U1764" s="3" t="str">
        <f t="shared" si="58"/>
        <v/>
      </c>
      <c r="V1764" s="4" t="str">
        <f t="shared" si="59"/>
        <v/>
      </c>
      <c r="W1764" s="21" t="e" cm="1">
        <f t="array" ref="W1764">_xlfn.IFS(
  A1764="BELL", "WHITE",
  A1764="GAMP", "ORANGE",
  A1764="GAMM", "GREEN",
  A1764="BWF", "YELLOW",
  OR(A1764="TNBE", A1764="TNBL", A1764="TNBD", A1764="TNWC", A1764="TNBW", A1764="THBS"), "PINK",
  A1764="CRWD", "BLUE",
  A1764="PASS", "WHITE"
)</f>
        <v>#N/A</v>
      </c>
    </row>
    <row r="1765" spans="1:23" x14ac:dyDescent="0.25">
      <c r="A1765" s="7"/>
      <c r="I1765" s="3"/>
      <c r="J1765" s="17"/>
      <c r="K1765" s="17"/>
      <c r="L1765" s="18"/>
      <c r="M1765" s="18"/>
      <c r="P1765" s="3"/>
      <c r="Q1765" s="4"/>
      <c r="R1765" s="19"/>
      <c r="S1765" s="20"/>
      <c r="U1765" s="3" t="str">
        <f t="shared" si="58"/>
        <v/>
      </c>
      <c r="V1765" s="4" t="str">
        <f t="shared" si="59"/>
        <v/>
      </c>
      <c r="W1765" s="21" t="e" cm="1">
        <f t="array" ref="W1765">_xlfn.IFS(
  A1765="BELL", "WHITE",
  A1765="GAMP", "ORANGE",
  A1765="GAMM", "GREEN",
  A1765="BWF", "YELLOW",
  OR(A1765="TNBE", A1765="TNBL", A1765="TNBD", A1765="TNWC", A1765="TNBW", A1765="THBS"), "PINK",
  A1765="CRWD", "BLUE",
  A1765="PASS", "WHITE"
)</f>
        <v>#N/A</v>
      </c>
    </row>
    <row r="1766" spans="1:23" x14ac:dyDescent="0.25">
      <c r="A1766" s="7"/>
      <c r="I1766" s="3"/>
      <c r="J1766" s="17"/>
      <c r="K1766" s="17"/>
      <c r="L1766" s="18"/>
      <c r="M1766" s="18"/>
      <c r="P1766" s="3"/>
      <c r="Q1766" s="4"/>
      <c r="R1766" s="19"/>
      <c r="S1766" s="20"/>
      <c r="U1766" s="3" t="str">
        <f t="shared" si="58"/>
        <v/>
      </c>
      <c r="V1766" s="4" t="str">
        <f t="shared" si="59"/>
        <v/>
      </c>
      <c r="W1766" s="21" t="e" cm="1">
        <f t="array" ref="W1766">_xlfn.IFS(
  A1766="BELL", "WHITE",
  A1766="GAMP", "ORANGE",
  A1766="GAMM", "GREEN",
  A1766="BWF", "YELLOW",
  OR(A1766="TNBE", A1766="TNBL", A1766="TNBD", A1766="TNWC", A1766="TNBW", A1766="THBS"), "PINK",
  A1766="CRWD", "BLUE",
  A1766="PASS", "WHITE"
)</f>
        <v>#N/A</v>
      </c>
    </row>
    <row r="1767" spans="1:23" x14ac:dyDescent="0.25">
      <c r="A1767" s="7"/>
      <c r="I1767" s="3"/>
      <c r="J1767" s="17"/>
      <c r="K1767" s="17"/>
      <c r="L1767" s="18"/>
      <c r="M1767" s="18"/>
      <c r="P1767" s="3"/>
      <c r="Q1767" s="4"/>
      <c r="R1767" s="19"/>
      <c r="S1767" s="20"/>
      <c r="U1767" s="3" t="str">
        <f t="shared" si="58"/>
        <v/>
      </c>
      <c r="V1767" s="4" t="str">
        <f t="shared" si="59"/>
        <v/>
      </c>
      <c r="W1767" s="21" t="e" cm="1">
        <f t="array" ref="W1767">_xlfn.IFS(
  A1767="BELL", "WHITE",
  A1767="GAMP", "ORANGE",
  A1767="GAMM", "GREEN",
  A1767="BWF", "YELLOW",
  OR(A1767="TNBE", A1767="TNBL", A1767="TNBD", A1767="TNWC", A1767="TNBW", A1767="THBS"), "PINK",
  A1767="CRWD", "BLUE",
  A1767="PASS", "WHITE"
)</f>
        <v>#N/A</v>
      </c>
    </row>
    <row r="1768" spans="1:23" x14ac:dyDescent="0.25">
      <c r="A1768" s="7"/>
      <c r="I1768" s="3"/>
      <c r="J1768" s="17"/>
      <c r="K1768" s="17"/>
      <c r="L1768" s="18"/>
      <c r="M1768" s="18"/>
      <c r="P1768" s="3"/>
      <c r="Q1768" s="4"/>
      <c r="R1768" s="19"/>
      <c r="S1768" s="20"/>
      <c r="U1768" s="3" t="str">
        <f t="shared" si="58"/>
        <v/>
      </c>
      <c r="V1768" s="4" t="str">
        <f t="shared" si="59"/>
        <v/>
      </c>
      <c r="W1768" s="21" t="e" cm="1">
        <f t="array" ref="W1768">_xlfn.IFS(
  A1768="BELL", "WHITE",
  A1768="GAMP", "ORANGE",
  A1768="GAMM", "GREEN",
  A1768="BWF", "YELLOW",
  OR(A1768="TNBE", A1768="TNBL", A1768="TNBD", A1768="TNWC", A1768="TNBW", A1768="THBS"), "PINK",
  A1768="CRWD", "BLUE",
  A1768="PASS", "WHITE"
)</f>
        <v>#N/A</v>
      </c>
    </row>
    <row r="1769" spans="1:23" x14ac:dyDescent="0.25">
      <c r="A1769" s="7"/>
      <c r="I1769" s="3"/>
      <c r="J1769" s="17"/>
      <c r="K1769" s="17"/>
      <c r="L1769" s="18"/>
      <c r="M1769" s="18"/>
      <c r="P1769" s="3"/>
      <c r="Q1769" s="4"/>
      <c r="R1769" s="19"/>
      <c r="S1769" s="20"/>
      <c r="U1769" s="3" t="str">
        <f t="shared" si="58"/>
        <v/>
      </c>
      <c r="V1769" s="4" t="str">
        <f t="shared" si="59"/>
        <v/>
      </c>
      <c r="W1769" s="21" t="e" cm="1">
        <f t="array" ref="W1769">_xlfn.IFS(
  A1769="BELL", "WHITE",
  A1769="GAMP", "ORANGE",
  A1769="GAMM", "GREEN",
  A1769="BWF", "YELLOW",
  OR(A1769="TNBE", A1769="TNBL", A1769="TNBD", A1769="TNWC", A1769="TNBW", A1769="THBS"), "PINK",
  A1769="CRWD", "BLUE",
  A1769="PASS", "WHITE"
)</f>
        <v>#N/A</v>
      </c>
    </row>
    <row r="1770" spans="1:23" x14ac:dyDescent="0.25">
      <c r="A1770" s="7"/>
      <c r="I1770" s="3"/>
      <c r="J1770" s="17"/>
      <c r="K1770" s="17"/>
      <c r="L1770" s="18"/>
      <c r="M1770" s="18"/>
      <c r="P1770" s="3"/>
      <c r="Q1770" s="4"/>
      <c r="R1770" s="19"/>
      <c r="S1770" s="20"/>
      <c r="U1770" s="3" t="str">
        <f t="shared" si="58"/>
        <v/>
      </c>
      <c r="V1770" s="4" t="str">
        <f t="shared" si="59"/>
        <v/>
      </c>
      <c r="W1770" s="21" t="e" cm="1">
        <f t="array" ref="W1770">_xlfn.IFS(
  A1770="BELL", "WHITE",
  A1770="GAMP", "ORANGE",
  A1770="GAMM", "GREEN",
  A1770="BWF", "YELLOW",
  OR(A1770="TNBE", A1770="TNBL", A1770="TNBD", A1770="TNWC", A1770="TNBW", A1770="THBS"), "PINK",
  A1770="CRWD", "BLUE",
  A1770="PASS", "WHITE"
)</f>
        <v>#N/A</v>
      </c>
    </row>
    <row r="1771" spans="1:23" x14ac:dyDescent="0.25">
      <c r="A1771" s="7"/>
      <c r="I1771" s="3"/>
      <c r="J1771" s="17"/>
      <c r="K1771" s="17"/>
      <c r="L1771" s="18"/>
      <c r="M1771" s="18"/>
      <c r="P1771" s="3"/>
      <c r="Q1771" s="4"/>
      <c r="R1771" s="19"/>
      <c r="S1771" s="20"/>
      <c r="U1771" s="3" t="str">
        <f t="shared" si="58"/>
        <v/>
      </c>
      <c r="V1771" s="4" t="str">
        <f t="shared" si="59"/>
        <v/>
      </c>
      <c r="W1771" s="21" t="e" cm="1">
        <f t="array" ref="W1771">_xlfn.IFS(
  A1771="BELL", "WHITE",
  A1771="GAMP", "ORANGE",
  A1771="GAMM", "GREEN",
  A1771="BWF", "YELLOW",
  OR(A1771="TNBE", A1771="TNBL", A1771="TNBD", A1771="TNWC", A1771="TNBW", A1771="THBS"), "PINK",
  A1771="CRWD", "BLUE",
  A1771="PASS", "WHITE"
)</f>
        <v>#N/A</v>
      </c>
    </row>
    <row r="1772" spans="1:23" x14ac:dyDescent="0.25">
      <c r="A1772" s="7"/>
      <c r="I1772" s="3"/>
      <c r="J1772" s="17"/>
      <c r="K1772" s="17"/>
      <c r="L1772" s="18"/>
      <c r="M1772" s="18"/>
      <c r="P1772" s="3"/>
      <c r="Q1772" s="4"/>
      <c r="R1772" s="19"/>
      <c r="S1772" s="20"/>
      <c r="U1772" s="3" t="str">
        <f t="shared" si="58"/>
        <v/>
      </c>
      <c r="V1772" s="4" t="str">
        <f t="shared" si="59"/>
        <v/>
      </c>
      <c r="W1772" s="21" t="e" cm="1">
        <f t="array" ref="W1772">_xlfn.IFS(
  A1772="BELL", "WHITE",
  A1772="GAMP", "ORANGE",
  A1772="GAMM", "GREEN",
  A1772="BWF", "YELLOW",
  OR(A1772="TNBE", A1772="TNBL", A1772="TNBD", A1772="TNWC", A1772="TNBW", A1772="THBS"), "PINK",
  A1772="CRWD", "BLUE",
  A1772="PASS", "WHITE"
)</f>
        <v>#N/A</v>
      </c>
    </row>
    <row r="1773" spans="1:23" x14ac:dyDescent="0.25">
      <c r="A1773" s="7"/>
      <c r="I1773" s="3"/>
      <c r="J1773" s="17"/>
      <c r="K1773" s="17"/>
      <c r="L1773" s="18"/>
      <c r="M1773" s="18"/>
      <c r="P1773" s="3"/>
      <c r="Q1773" s="4"/>
      <c r="R1773" s="19"/>
      <c r="S1773" s="20"/>
      <c r="U1773" s="3" t="str">
        <f t="shared" si="58"/>
        <v/>
      </c>
      <c r="V1773" s="4" t="str">
        <f t="shared" si="59"/>
        <v/>
      </c>
      <c r="W1773" s="21" t="e" cm="1">
        <f t="array" ref="W1773">_xlfn.IFS(
  A1773="BELL", "WHITE",
  A1773="GAMP", "ORANGE",
  A1773="GAMM", "GREEN",
  A1773="BWF", "YELLOW",
  OR(A1773="TNBE", A1773="TNBL", A1773="TNBD", A1773="TNWC", A1773="TNBW", A1773="THBS"), "PINK",
  A1773="CRWD", "BLUE",
  A1773="PASS", "WHITE"
)</f>
        <v>#N/A</v>
      </c>
    </row>
    <row r="1774" spans="1:23" x14ac:dyDescent="0.25">
      <c r="A1774" s="7"/>
      <c r="I1774" s="3"/>
      <c r="J1774" s="17"/>
      <c r="K1774" s="17"/>
      <c r="L1774" s="18"/>
      <c r="M1774" s="18"/>
      <c r="P1774" s="3"/>
      <c r="Q1774" s="4"/>
      <c r="R1774" s="19"/>
      <c r="S1774" s="20"/>
      <c r="U1774" s="3" t="str">
        <f t="shared" si="58"/>
        <v/>
      </c>
      <c r="V1774" s="4" t="str">
        <f t="shared" si="59"/>
        <v/>
      </c>
      <c r="W1774" s="21" t="e" cm="1">
        <f t="array" ref="W1774">_xlfn.IFS(
  A1774="BELL", "WHITE",
  A1774="GAMP", "ORANGE",
  A1774="GAMM", "GREEN",
  A1774="BWF", "YELLOW",
  OR(A1774="TNBE", A1774="TNBL", A1774="TNBD", A1774="TNWC", A1774="TNBW", A1774="THBS"), "PINK",
  A1774="CRWD", "BLUE",
  A1774="PASS", "WHITE"
)</f>
        <v>#N/A</v>
      </c>
    </row>
    <row r="1775" spans="1:23" x14ac:dyDescent="0.25">
      <c r="A1775" s="7"/>
      <c r="I1775" s="3"/>
      <c r="J1775" s="17"/>
      <c r="K1775" s="17"/>
      <c r="L1775" s="18"/>
      <c r="M1775" s="18"/>
      <c r="P1775" s="3"/>
      <c r="Q1775" s="4"/>
      <c r="R1775" s="19"/>
      <c r="S1775" s="20"/>
      <c r="U1775" s="3" t="str">
        <f t="shared" si="58"/>
        <v/>
      </c>
      <c r="V1775" s="4" t="str">
        <f t="shared" si="59"/>
        <v/>
      </c>
      <c r="W1775" s="21" t="e" cm="1">
        <f t="array" ref="W1775">_xlfn.IFS(
  A1775="BELL", "WHITE",
  A1775="GAMP", "ORANGE",
  A1775="GAMM", "GREEN",
  A1775="BWF", "YELLOW",
  OR(A1775="TNBE", A1775="TNBL", A1775="TNBD", A1775="TNWC", A1775="TNBW", A1775="THBS"), "PINK",
  A1775="CRWD", "BLUE",
  A1775="PASS", "WHITE"
)</f>
        <v>#N/A</v>
      </c>
    </row>
    <row r="1776" spans="1:23" x14ac:dyDescent="0.25">
      <c r="A1776" s="7"/>
      <c r="I1776" s="3"/>
      <c r="J1776" s="17"/>
      <c r="K1776" s="17"/>
      <c r="L1776" s="18"/>
      <c r="M1776" s="18"/>
      <c r="P1776" s="3"/>
      <c r="Q1776" s="4"/>
      <c r="R1776" s="19"/>
      <c r="S1776" s="20"/>
      <c r="U1776" s="3" t="str">
        <f t="shared" si="58"/>
        <v/>
      </c>
      <c r="V1776" s="4" t="str">
        <f t="shared" si="59"/>
        <v/>
      </c>
      <c r="W1776" s="21" t="e" cm="1">
        <f t="array" ref="W1776">_xlfn.IFS(
  A1776="BELL", "WHITE",
  A1776="GAMP", "ORANGE",
  A1776="GAMM", "GREEN",
  A1776="BWF", "YELLOW",
  OR(A1776="TNBE", A1776="TNBL", A1776="TNBD", A1776="TNWC", A1776="TNBW", A1776="THBS"), "PINK",
  A1776="CRWD", "BLUE",
  A1776="PASS", "WHITE"
)</f>
        <v>#N/A</v>
      </c>
    </row>
    <row r="1777" spans="1:23" x14ac:dyDescent="0.25">
      <c r="A1777" s="7"/>
      <c r="I1777" s="3"/>
      <c r="J1777" s="17"/>
      <c r="K1777" s="17"/>
      <c r="L1777" s="18"/>
      <c r="M1777" s="18"/>
      <c r="P1777" s="3"/>
      <c r="Q1777" s="4"/>
      <c r="R1777" s="19"/>
      <c r="S1777" s="20"/>
      <c r="U1777" s="3" t="str">
        <f t="shared" si="58"/>
        <v/>
      </c>
      <c r="V1777" s="4" t="str">
        <f t="shared" si="59"/>
        <v/>
      </c>
      <c r="W1777" s="21" t="e" cm="1">
        <f t="array" ref="W1777">_xlfn.IFS(
  A1777="BELL", "WHITE",
  A1777="GAMP", "ORANGE",
  A1777="GAMM", "GREEN",
  A1777="BWF", "YELLOW",
  OR(A1777="TNBE", A1777="TNBL", A1777="TNBD", A1777="TNWC", A1777="TNBW", A1777="THBS"), "PINK",
  A1777="CRWD", "BLUE",
  A1777="PASS", "WHITE"
)</f>
        <v>#N/A</v>
      </c>
    </row>
    <row r="1778" spans="1:23" x14ac:dyDescent="0.25">
      <c r="A1778" s="7"/>
      <c r="I1778" s="3"/>
      <c r="J1778" s="17"/>
      <c r="K1778" s="17"/>
      <c r="L1778" s="18"/>
      <c r="M1778" s="18"/>
      <c r="P1778" s="3"/>
      <c r="Q1778" s="4"/>
      <c r="R1778" s="19"/>
      <c r="S1778" s="20"/>
      <c r="U1778" s="3" t="str">
        <f t="shared" si="58"/>
        <v/>
      </c>
      <c r="V1778" s="4" t="str">
        <f t="shared" si="59"/>
        <v/>
      </c>
      <c r="W1778" s="21" t="e" cm="1">
        <f t="array" ref="W1778">_xlfn.IFS(
  A1778="BELL", "WHITE",
  A1778="GAMP", "ORANGE",
  A1778="GAMM", "GREEN",
  A1778="BWF", "YELLOW",
  OR(A1778="TNBE", A1778="TNBL", A1778="TNBD", A1778="TNWC", A1778="TNBW", A1778="THBS"), "PINK",
  A1778="CRWD", "BLUE",
  A1778="PASS", "WHITE"
)</f>
        <v>#N/A</v>
      </c>
    </row>
    <row r="1779" spans="1:23" x14ac:dyDescent="0.25">
      <c r="A1779" s="7"/>
      <c r="I1779" s="3"/>
      <c r="J1779" s="17"/>
      <c r="K1779" s="17"/>
      <c r="L1779" s="18"/>
      <c r="M1779" s="18"/>
      <c r="P1779" s="3"/>
      <c r="Q1779" s="4"/>
      <c r="R1779" s="19"/>
      <c r="S1779" s="20"/>
      <c r="U1779" s="3" t="str">
        <f t="shared" si="58"/>
        <v/>
      </c>
      <c r="V1779" s="4" t="str">
        <f t="shared" si="59"/>
        <v/>
      </c>
      <c r="W1779" s="21" t="e" cm="1">
        <f t="array" ref="W1779">_xlfn.IFS(
  A1779="BELL", "WHITE",
  A1779="GAMP", "ORANGE",
  A1779="GAMM", "GREEN",
  A1779="BWF", "YELLOW",
  OR(A1779="TNBE", A1779="TNBL", A1779="TNBD", A1779="TNWC", A1779="TNBW", A1779="THBS"), "PINK",
  A1779="CRWD", "BLUE",
  A1779="PASS", "WHITE"
)</f>
        <v>#N/A</v>
      </c>
    </row>
    <row r="1780" spans="1:23" x14ac:dyDescent="0.25">
      <c r="A1780" s="7"/>
      <c r="I1780" s="3"/>
      <c r="J1780" s="17"/>
      <c r="K1780" s="17"/>
      <c r="L1780" s="18"/>
      <c r="M1780" s="18"/>
      <c r="P1780" s="3"/>
      <c r="Q1780" s="4"/>
      <c r="R1780" s="19"/>
      <c r="S1780" s="20"/>
      <c r="U1780" s="3" t="str">
        <f t="shared" si="58"/>
        <v/>
      </c>
      <c r="V1780" s="4" t="str">
        <f t="shared" si="59"/>
        <v/>
      </c>
      <c r="W1780" s="21" t="e" cm="1">
        <f t="array" ref="W1780">_xlfn.IFS(
  A1780="BELL", "WHITE",
  A1780="GAMP", "ORANGE",
  A1780="GAMM", "GREEN",
  A1780="BWF", "YELLOW",
  OR(A1780="TNBE", A1780="TNBL", A1780="TNBD", A1780="TNWC", A1780="TNBW", A1780="THBS"), "PINK",
  A1780="CRWD", "BLUE",
  A1780="PASS", "WHITE"
)</f>
        <v>#N/A</v>
      </c>
    </row>
    <row r="1781" spans="1:23" x14ac:dyDescent="0.25">
      <c r="A1781" s="7"/>
      <c r="I1781" s="3"/>
      <c r="J1781" s="17"/>
      <c r="K1781" s="17"/>
      <c r="L1781" s="18"/>
      <c r="M1781" s="18"/>
      <c r="P1781" s="3"/>
      <c r="Q1781" s="4"/>
      <c r="R1781" s="19"/>
      <c r="S1781" s="20"/>
      <c r="U1781" s="3" t="str">
        <f t="shared" si="58"/>
        <v/>
      </c>
      <c r="V1781" s="4" t="str">
        <f t="shared" si="59"/>
        <v/>
      </c>
      <c r="W1781" s="21" t="e" cm="1">
        <f t="array" ref="W1781">_xlfn.IFS(
  A1781="BELL", "WHITE",
  A1781="GAMP", "ORANGE",
  A1781="GAMM", "GREEN",
  A1781="BWF", "YELLOW",
  OR(A1781="TNBE", A1781="TNBL", A1781="TNBD", A1781="TNWC", A1781="TNBW", A1781="THBS"), "PINK",
  A1781="CRWD", "BLUE",
  A1781="PASS", "WHITE"
)</f>
        <v>#N/A</v>
      </c>
    </row>
    <row r="1782" spans="1:23" x14ac:dyDescent="0.25">
      <c r="A1782" s="7"/>
      <c r="I1782" s="3"/>
      <c r="J1782" s="17"/>
      <c r="K1782" s="17"/>
      <c r="L1782" s="18"/>
      <c r="M1782" s="18"/>
      <c r="P1782" s="3"/>
      <c r="Q1782" s="4"/>
      <c r="R1782" s="19"/>
      <c r="S1782" s="20"/>
      <c r="U1782" s="3" t="str">
        <f t="shared" si="58"/>
        <v/>
      </c>
      <c r="V1782" s="4" t="str">
        <f t="shared" si="59"/>
        <v/>
      </c>
      <c r="W1782" s="21" t="e" cm="1">
        <f t="array" ref="W1782">_xlfn.IFS(
  A1782="BELL", "WHITE",
  A1782="GAMP", "ORANGE",
  A1782="GAMM", "GREEN",
  A1782="BWF", "YELLOW",
  OR(A1782="TNBE", A1782="TNBL", A1782="TNBD", A1782="TNWC", A1782="TNBW", A1782="THBS"), "PINK",
  A1782="CRWD", "BLUE",
  A1782="PASS", "WHITE"
)</f>
        <v>#N/A</v>
      </c>
    </row>
    <row r="1783" spans="1:23" x14ac:dyDescent="0.25">
      <c r="A1783" s="7"/>
      <c r="I1783" s="3"/>
      <c r="J1783" s="17"/>
      <c r="K1783" s="17"/>
      <c r="L1783" s="18"/>
      <c r="M1783" s="18"/>
      <c r="P1783" s="3"/>
      <c r="Q1783" s="4"/>
      <c r="R1783" s="19"/>
      <c r="S1783" s="20"/>
      <c r="U1783" s="3" t="str">
        <f t="shared" si="58"/>
        <v/>
      </c>
      <c r="V1783" s="4" t="str">
        <f t="shared" si="59"/>
        <v/>
      </c>
      <c r="W1783" s="21" t="e" cm="1">
        <f t="array" ref="W1783">_xlfn.IFS(
  A1783="BELL", "WHITE",
  A1783="GAMP", "ORANGE",
  A1783="GAMM", "GREEN",
  A1783="BWF", "YELLOW",
  OR(A1783="TNBE", A1783="TNBL", A1783="TNBD", A1783="TNWC", A1783="TNBW", A1783="THBS"), "PINK",
  A1783="CRWD", "BLUE",
  A1783="PASS", "WHITE"
)</f>
        <v>#N/A</v>
      </c>
    </row>
    <row r="1784" spans="1:23" x14ac:dyDescent="0.25">
      <c r="A1784" s="7"/>
      <c r="I1784" s="3"/>
      <c r="J1784" s="17"/>
      <c r="K1784" s="17"/>
      <c r="L1784" s="18"/>
      <c r="M1784" s="18"/>
      <c r="P1784" s="3"/>
      <c r="Q1784" s="4"/>
      <c r="R1784" s="19"/>
      <c r="S1784" s="20"/>
      <c r="U1784" s="3" t="str">
        <f t="shared" si="58"/>
        <v/>
      </c>
      <c r="V1784" s="4" t="str">
        <f t="shared" si="59"/>
        <v/>
      </c>
      <c r="W1784" s="21" t="e" cm="1">
        <f t="array" ref="W1784">_xlfn.IFS(
  A1784="BELL", "WHITE",
  A1784="GAMP", "ORANGE",
  A1784="GAMM", "GREEN",
  A1784="BWF", "YELLOW",
  OR(A1784="TNBE", A1784="TNBL", A1784="TNBD", A1784="TNWC", A1784="TNBW", A1784="THBS"), "PINK",
  A1784="CRWD", "BLUE",
  A1784="PASS", "WHITE"
)</f>
        <v>#N/A</v>
      </c>
    </row>
    <row r="1785" spans="1:23" x14ac:dyDescent="0.25">
      <c r="A1785" s="7"/>
      <c r="I1785" s="3"/>
      <c r="J1785" s="17"/>
      <c r="K1785" s="17"/>
      <c r="L1785" s="18"/>
      <c r="M1785" s="18"/>
      <c r="P1785" s="3"/>
      <c r="Q1785" s="4"/>
      <c r="R1785" s="19"/>
      <c r="S1785" s="20"/>
      <c r="U1785" s="3" t="str">
        <f t="shared" si="58"/>
        <v/>
      </c>
      <c r="V1785" s="4" t="str">
        <f t="shared" si="59"/>
        <v/>
      </c>
      <c r="W1785" s="21" t="e" cm="1">
        <f t="array" ref="W1785">_xlfn.IFS(
  A1785="BELL", "WHITE",
  A1785="GAMP", "ORANGE",
  A1785="GAMM", "GREEN",
  A1785="BWF", "YELLOW",
  OR(A1785="TNBE", A1785="TNBL", A1785="TNBD", A1785="TNWC", A1785="TNBW", A1785="THBS"), "PINK",
  A1785="CRWD", "BLUE",
  A1785="PASS", "WHITE"
)</f>
        <v>#N/A</v>
      </c>
    </row>
    <row r="1786" spans="1:23" x14ac:dyDescent="0.25">
      <c r="A1786" s="7"/>
      <c r="I1786" s="3"/>
      <c r="J1786" s="17"/>
      <c r="K1786" s="17"/>
      <c r="L1786" s="18"/>
      <c r="M1786" s="18"/>
      <c r="P1786" s="3"/>
      <c r="Q1786" s="4"/>
      <c r="R1786" s="19"/>
      <c r="S1786" s="20"/>
      <c r="U1786" s="3" t="str">
        <f t="shared" si="58"/>
        <v/>
      </c>
      <c r="V1786" s="4" t="str">
        <f t="shared" si="59"/>
        <v/>
      </c>
      <c r="W1786" s="21" t="e" cm="1">
        <f t="array" ref="W1786">_xlfn.IFS(
  A1786="BELL", "WHITE",
  A1786="GAMP", "ORANGE",
  A1786="GAMM", "GREEN",
  A1786="BWF", "YELLOW",
  OR(A1786="TNBE", A1786="TNBL", A1786="TNBD", A1786="TNWC", A1786="TNBW", A1786="THBS"), "PINK",
  A1786="CRWD", "BLUE",
  A1786="PASS", "WHITE"
)</f>
        <v>#N/A</v>
      </c>
    </row>
    <row r="1787" spans="1:23" x14ac:dyDescent="0.25">
      <c r="A1787" s="7"/>
      <c r="I1787" s="3"/>
      <c r="J1787" s="17"/>
      <c r="K1787" s="17"/>
      <c r="L1787" s="18"/>
      <c r="M1787" s="18"/>
      <c r="P1787" s="3"/>
      <c r="Q1787" s="4"/>
      <c r="R1787" s="19"/>
      <c r="S1787" s="20"/>
      <c r="U1787" s="3" t="str">
        <f t="shared" si="58"/>
        <v/>
      </c>
      <c r="V1787" s="4" t="str">
        <f t="shared" si="59"/>
        <v/>
      </c>
      <c r="W1787" s="21" t="e" cm="1">
        <f t="array" ref="W1787">_xlfn.IFS(
  A1787="BELL", "WHITE",
  A1787="GAMP", "ORANGE",
  A1787="GAMM", "GREEN",
  A1787="BWF", "YELLOW",
  OR(A1787="TNBE", A1787="TNBL", A1787="TNBD", A1787="TNWC", A1787="TNBW", A1787="THBS"), "PINK",
  A1787="CRWD", "BLUE",
  A1787="PASS", "WHITE"
)</f>
        <v>#N/A</v>
      </c>
    </row>
    <row r="1788" spans="1:23" x14ac:dyDescent="0.25">
      <c r="A1788" s="7"/>
      <c r="I1788" s="3"/>
      <c r="J1788" s="17"/>
      <c r="K1788" s="17"/>
      <c r="L1788" s="18"/>
      <c r="M1788" s="18"/>
      <c r="P1788" s="3"/>
      <c r="Q1788" s="4"/>
      <c r="R1788" s="19"/>
      <c r="S1788" s="20"/>
      <c r="U1788" s="3" t="str">
        <f t="shared" si="58"/>
        <v/>
      </c>
      <c r="V1788" s="4" t="str">
        <f t="shared" si="59"/>
        <v/>
      </c>
      <c r="W1788" s="21" t="e" cm="1">
        <f t="array" ref="W1788">_xlfn.IFS(
  A1788="BELL", "WHITE",
  A1788="GAMP", "ORANGE",
  A1788="GAMM", "GREEN",
  A1788="BWF", "YELLOW",
  OR(A1788="TNBE", A1788="TNBL", A1788="TNBD", A1788="TNWC", A1788="TNBW", A1788="THBS"), "PINK",
  A1788="CRWD", "BLUE",
  A1788="PASS", "WHITE"
)</f>
        <v>#N/A</v>
      </c>
    </row>
    <row r="1789" spans="1:23" x14ac:dyDescent="0.25">
      <c r="A1789" s="7"/>
      <c r="I1789" s="3"/>
      <c r="J1789" s="17"/>
      <c r="K1789" s="17"/>
      <c r="L1789" s="18"/>
      <c r="M1789" s="18"/>
      <c r="P1789" s="3"/>
      <c r="Q1789" s="4"/>
      <c r="R1789" s="19"/>
      <c r="S1789" s="20"/>
      <c r="U1789" s="3" t="str">
        <f t="shared" si="58"/>
        <v/>
      </c>
      <c r="V1789" s="4" t="str">
        <f t="shared" si="59"/>
        <v/>
      </c>
      <c r="W1789" s="21" t="e" cm="1">
        <f t="array" ref="W1789">_xlfn.IFS(
  A1789="BELL", "WHITE",
  A1789="GAMP", "ORANGE",
  A1789="GAMM", "GREEN",
  A1789="BWF", "YELLOW",
  OR(A1789="TNBE", A1789="TNBL", A1789="TNBD", A1789="TNWC", A1789="TNBW", A1789="THBS"), "PINK",
  A1789="CRWD", "BLUE",
  A1789="PASS", "WHITE"
)</f>
        <v>#N/A</v>
      </c>
    </row>
    <row r="1790" spans="1:23" x14ac:dyDescent="0.25">
      <c r="A1790" s="7"/>
      <c r="I1790" s="3"/>
      <c r="J1790" s="17"/>
      <c r="K1790" s="17"/>
      <c r="L1790" s="18"/>
      <c r="M1790" s="18"/>
      <c r="P1790" s="3"/>
      <c r="Q1790" s="4"/>
      <c r="R1790" s="19"/>
      <c r="S1790" s="20"/>
      <c r="U1790" s="3" t="str">
        <f t="shared" si="58"/>
        <v/>
      </c>
      <c r="V1790" s="4" t="str">
        <f t="shared" si="59"/>
        <v/>
      </c>
      <c r="W1790" s="21" t="e" cm="1">
        <f t="array" ref="W1790">_xlfn.IFS(
  A1790="BELL", "WHITE",
  A1790="GAMP", "ORANGE",
  A1790="GAMM", "GREEN",
  A1790="BWF", "YELLOW",
  OR(A1790="TNBE", A1790="TNBL", A1790="TNBD", A1790="TNWC", A1790="TNBW", A1790="THBS"), "PINK",
  A1790="CRWD", "BLUE",
  A1790="PASS", "WHITE"
)</f>
        <v>#N/A</v>
      </c>
    </row>
    <row r="1791" spans="1:23" x14ac:dyDescent="0.25">
      <c r="A1791" s="7"/>
      <c r="I1791" s="3"/>
      <c r="J1791" s="17"/>
      <c r="K1791" s="17"/>
      <c r="L1791" s="18"/>
      <c r="M1791" s="18"/>
      <c r="P1791" s="3"/>
      <c r="Q1791" s="4"/>
      <c r="R1791" s="19"/>
      <c r="S1791" s="20"/>
      <c r="U1791" s="3" t="str">
        <f t="shared" si="58"/>
        <v/>
      </c>
      <c r="V1791" s="4" t="str">
        <f t="shared" si="59"/>
        <v/>
      </c>
      <c r="W1791" s="21" t="e" cm="1">
        <f t="array" ref="W1791">_xlfn.IFS(
  A1791="BELL", "WHITE",
  A1791="GAMP", "ORANGE",
  A1791="GAMM", "GREEN",
  A1791="BWF", "YELLOW",
  OR(A1791="TNBE", A1791="TNBL", A1791="TNBD", A1791="TNWC", A1791="TNBW", A1791="THBS"), "PINK",
  A1791="CRWD", "BLUE",
  A1791="PASS", "WHITE"
)</f>
        <v>#N/A</v>
      </c>
    </row>
    <row r="1792" spans="1:23" x14ac:dyDescent="0.25">
      <c r="A1792" s="7"/>
      <c r="I1792" s="3"/>
      <c r="J1792" s="17"/>
      <c r="K1792" s="17"/>
      <c r="L1792" s="18"/>
      <c r="M1792" s="18"/>
      <c r="P1792" s="3"/>
      <c r="Q1792" s="4"/>
      <c r="R1792" s="19"/>
      <c r="S1792" s="20"/>
      <c r="U1792" s="3" t="str">
        <f t="shared" si="58"/>
        <v/>
      </c>
      <c r="V1792" s="4" t="str">
        <f t="shared" si="59"/>
        <v/>
      </c>
      <c r="W1792" s="21" t="e" cm="1">
        <f t="array" ref="W1792">_xlfn.IFS(
  A1792="BELL", "WHITE",
  A1792="GAMP", "ORANGE",
  A1792="GAMM", "GREEN",
  A1792="BWF", "YELLOW",
  OR(A1792="TNBE", A1792="TNBL", A1792="TNBD", A1792="TNWC", A1792="TNBW", A1792="THBS"), "PINK",
  A1792="CRWD", "BLUE",
  A1792="PASS", "WHITE"
)</f>
        <v>#N/A</v>
      </c>
    </row>
    <row r="1793" spans="1:23" x14ac:dyDescent="0.25">
      <c r="A1793" s="7"/>
      <c r="I1793" s="3"/>
      <c r="J1793" s="17"/>
      <c r="K1793" s="17"/>
      <c r="L1793" s="18"/>
      <c r="M1793" s="18"/>
      <c r="P1793" s="3"/>
      <c r="Q1793" s="4"/>
      <c r="R1793" s="19"/>
      <c r="S1793" s="20"/>
      <c r="U1793" s="3" t="str">
        <f t="shared" si="58"/>
        <v/>
      </c>
      <c r="V1793" s="4" t="str">
        <f t="shared" si="59"/>
        <v/>
      </c>
      <c r="W1793" s="21" t="e" cm="1">
        <f t="array" ref="W1793">_xlfn.IFS(
  A1793="BELL", "WHITE",
  A1793="GAMP", "ORANGE",
  A1793="GAMM", "GREEN",
  A1793="BWF", "YELLOW",
  OR(A1793="TNBE", A1793="TNBL", A1793="TNBD", A1793="TNWC", A1793="TNBW", A1793="THBS"), "PINK",
  A1793="CRWD", "BLUE",
  A1793="PASS", "WHITE"
)</f>
        <v>#N/A</v>
      </c>
    </row>
    <row r="1794" spans="1:23" x14ac:dyDescent="0.25">
      <c r="A1794" s="7"/>
      <c r="I1794" s="3"/>
      <c r="J1794" s="17"/>
      <c r="K1794" s="17"/>
      <c r="L1794" s="18"/>
      <c r="M1794" s="18"/>
      <c r="P1794" s="3"/>
      <c r="Q1794" s="4"/>
      <c r="R1794" s="19"/>
      <c r="S1794" s="20"/>
      <c r="U1794" s="3" t="str">
        <f t="shared" si="58"/>
        <v/>
      </c>
      <c r="V1794" s="4" t="str">
        <f t="shared" si="59"/>
        <v/>
      </c>
      <c r="W1794" s="21" t="e" cm="1">
        <f t="array" ref="W1794">_xlfn.IFS(
  A1794="BELL", "WHITE",
  A1794="GAMP", "ORANGE",
  A1794="GAMM", "GREEN",
  A1794="BWF", "YELLOW",
  OR(A1794="TNBE", A1794="TNBL", A1794="TNBD", A1794="TNWC", A1794="TNBW", A1794="THBS"), "PINK",
  A1794="CRWD", "BLUE",
  A1794="PASS", "WHITE"
)</f>
        <v>#N/A</v>
      </c>
    </row>
    <row r="1795" spans="1:23" x14ac:dyDescent="0.25">
      <c r="A1795" s="7"/>
      <c r="I1795" s="3"/>
      <c r="J1795" s="17"/>
      <c r="K1795" s="17"/>
      <c r="L1795" s="18"/>
      <c r="M1795" s="18"/>
      <c r="P1795" s="3"/>
      <c r="Q1795" s="4"/>
      <c r="R1795" s="19"/>
      <c r="S1795" s="20"/>
      <c r="U1795" s="3" t="str">
        <f t="shared" si="58"/>
        <v/>
      </c>
      <c r="V1795" s="4" t="str">
        <f t="shared" si="59"/>
        <v/>
      </c>
      <c r="W1795" s="21" t="e" cm="1">
        <f t="array" ref="W1795">_xlfn.IFS(
  A1795="BELL", "WHITE",
  A1795="GAMP", "ORANGE",
  A1795="GAMM", "GREEN",
  A1795="BWF", "YELLOW",
  OR(A1795="TNBE", A1795="TNBL", A1795="TNBD", A1795="TNWC", A1795="TNBW", A1795="THBS"), "PINK",
  A1795="CRWD", "BLUE",
  A1795="PASS", "WHITE"
)</f>
        <v>#N/A</v>
      </c>
    </row>
    <row r="1796" spans="1:23" x14ac:dyDescent="0.25">
      <c r="A1796" s="7"/>
      <c r="I1796" s="3"/>
      <c r="J1796" s="17"/>
      <c r="K1796" s="17"/>
      <c r="L1796" s="18"/>
      <c r="M1796" s="18"/>
      <c r="P1796" s="3"/>
      <c r="Q1796" s="4"/>
      <c r="R1796" s="19"/>
      <c r="S1796" s="20"/>
      <c r="U1796" s="3" t="str">
        <f t="shared" ref="U1796:U1855" si="60">IF(T1796="","",IF(T1796&gt;I1796,H1796,T1796/G1796))</f>
        <v/>
      </c>
      <c r="V1796" s="4" t="str">
        <f t="shared" ref="V1796:V1855" si="61">IF(T1796&gt;I1796,T1796-I1796,"")</f>
        <v/>
      </c>
      <c r="W1796" s="21" t="e" cm="1">
        <f t="array" ref="W1796">_xlfn.IFS(
  A1796="BELL", "WHITE",
  A1796="GAMP", "ORANGE",
  A1796="GAMM", "GREEN",
  A1796="BWF", "YELLOW",
  OR(A1796="TNBE", A1796="TNBL", A1796="TNBD", A1796="TNWC", A1796="TNBW", A1796="THBS"), "PINK",
  A1796="CRWD", "BLUE",
  A1796="PASS", "WHITE"
)</f>
        <v>#N/A</v>
      </c>
    </row>
    <row r="1797" spans="1:23" x14ac:dyDescent="0.25">
      <c r="A1797" s="7"/>
      <c r="I1797" s="3"/>
      <c r="J1797" s="17"/>
      <c r="K1797" s="17"/>
      <c r="L1797" s="18"/>
      <c r="M1797" s="18"/>
      <c r="P1797" s="3"/>
      <c r="Q1797" s="4"/>
      <c r="R1797" s="19"/>
      <c r="S1797" s="20"/>
      <c r="U1797" s="3" t="str">
        <f t="shared" si="60"/>
        <v/>
      </c>
      <c r="V1797" s="4" t="str">
        <f t="shared" si="61"/>
        <v/>
      </c>
      <c r="W1797" s="21" t="e" cm="1">
        <f t="array" ref="W1797">_xlfn.IFS(
  A1797="BELL", "WHITE",
  A1797="GAMP", "ORANGE",
  A1797="GAMM", "GREEN",
  A1797="BWF", "YELLOW",
  OR(A1797="TNBE", A1797="TNBL", A1797="TNBD", A1797="TNWC", A1797="TNBW", A1797="THBS"), "PINK",
  A1797="CRWD", "BLUE",
  A1797="PASS", "WHITE"
)</f>
        <v>#N/A</v>
      </c>
    </row>
    <row r="1798" spans="1:23" x14ac:dyDescent="0.25">
      <c r="A1798" s="7"/>
      <c r="I1798" s="3"/>
      <c r="J1798" s="17"/>
      <c r="K1798" s="17"/>
      <c r="L1798" s="18"/>
      <c r="M1798" s="18"/>
      <c r="P1798" s="3"/>
      <c r="Q1798" s="4"/>
      <c r="R1798" s="19"/>
      <c r="S1798" s="20"/>
      <c r="U1798" s="3" t="str">
        <f t="shared" si="60"/>
        <v/>
      </c>
      <c r="V1798" s="4" t="str">
        <f t="shared" si="61"/>
        <v/>
      </c>
      <c r="W1798" s="21" t="e" cm="1">
        <f t="array" ref="W1798">_xlfn.IFS(
  A1798="BELL", "WHITE",
  A1798="GAMP", "ORANGE",
  A1798="GAMM", "GREEN",
  A1798="BWF", "YELLOW",
  OR(A1798="TNBE", A1798="TNBL", A1798="TNBD", A1798="TNWC", A1798="TNBW", A1798="THBS"), "PINK",
  A1798="CRWD", "BLUE",
  A1798="PASS", "WHITE"
)</f>
        <v>#N/A</v>
      </c>
    </row>
    <row r="1799" spans="1:23" x14ac:dyDescent="0.25">
      <c r="A1799" s="7"/>
      <c r="I1799" s="3"/>
      <c r="J1799" s="17"/>
      <c r="K1799" s="17"/>
      <c r="L1799" s="18"/>
      <c r="M1799" s="18"/>
      <c r="P1799" s="3"/>
      <c r="Q1799" s="4"/>
      <c r="R1799" s="19"/>
      <c r="S1799" s="20"/>
      <c r="U1799" s="3" t="str">
        <f t="shared" si="60"/>
        <v/>
      </c>
      <c r="V1799" s="4" t="str">
        <f t="shared" si="61"/>
        <v/>
      </c>
      <c r="W1799" s="21" t="e" cm="1">
        <f t="array" ref="W1799">_xlfn.IFS(
  A1799="BELL", "WHITE",
  A1799="GAMP", "ORANGE",
  A1799="GAMM", "GREEN",
  A1799="BWF", "YELLOW",
  OR(A1799="TNBE", A1799="TNBL", A1799="TNBD", A1799="TNWC", A1799="TNBW", A1799="THBS"), "PINK",
  A1799="CRWD", "BLUE",
  A1799="PASS", "WHITE"
)</f>
        <v>#N/A</v>
      </c>
    </row>
    <row r="1800" spans="1:23" x14ac:dyDescent="0.25">
      <c r="A1800" s="7"/>
      <c r="I1800" s="3"/>
      <c r="J1800" s="17"/>
      <c r="K1800" s="17"/>
      <c r="L1800" s="18"/>
      <c r="M1800" s="18"/>
      <c r="P1800" s="3"/>
      <c r="Q1800" s="4"/>
      <c r="R1800" s="19"/>
      <c r="S1800" s="20"/>
      <c r="U1800" s="3" t="str">
        <f t="shared" si="60"/>
        <v/>
      </c>
      <c r="V1800" s="4" t="str">
        <f t="shared" si="61"/>
        <v/>
      </c>
      <c r="W1800" s="21" t="e" cm="1">
        <f t="array" ref="W1800">_xlfn.IFS(
  A1800="BELL", "WHITE",
  A1800="GAMP", "ORANGE",
  A1800="GAMM", "GREEN",
  A1800="BWF", "YELLOW",
  OR(A1800="TNBE", A1800="TNBL", A1800="TNBD", A1800="TNWC", A1800="TNBW", A1800="THBS"), "PINK",
  A1800="CRWD", "BLUE",
  A1800="PASS", "WHITE"
)</f>
        <v>#N/A</v>
      </c>
    </row>
    <row r="1801" spans="1:23" x14ac:dyDescent="0.25">
      <c r="A1801" s="7"/>
      <c r="I1801" s="3"/>
      <c r="J1801" s="17"/>
      <c r="K1801" s="17"/>
      <c r="L1801" s="18"/>
      <c r="M1801" s="18"/>
      <c r="P1801" s="3"/>
      <c r="Q1801" s="4"/>
      <c r="R1801" s="19"/>
      <c r="S1801" s="20"/>
      <c r="U1801" s="3" t="str">
        <f t="shared" si="60"/>
        <v/>
      </c>
      <c r="V1801" s="4" t="str">
        <f t="shared" si="61"/>
        <v/>
      </c>
      <c r="W1801" s="21" t="e" cm="1">
        <f t="array" ref="W1801">_xlfn.IFS(
  A1801="BELL", "WHITE",
  A1801="GAMP", "ORANGE",
  A1801="GAMM", "GREEN",
  A1801="BWF", "YELLOW",
  OR(A1801="TNBE", A1801="TNBL", A1801="TNBD", A1801="TNWC", A1801="TNBW", A1801="THBS"), "PINK",
  A1801="CRWD", "BLUE",
  A1801="PASS", "WHITE"
)</f>
        <v>#N/A</v>
      </c>
    </row>
    <row r="1802" spans="1:23" x14ac:dyDescent="0.25">
      <c r="A1802" s="7"/>
      <c r="I1802" s="3"/>
      <c r="J1802" s="17"/>
      <c r="K1802" s="17"/>
      <c r="L1802" s="18"/>
      <c r="M1802" s="18"/>
      <c r="P1802" s="3"/>
      <c r="Q1802" s="4"/>
      <c r="R1802" s="19"/>
      <c r="S1802" s="20"/>
      <c r="U1802" s="3" t="str">
        <f t="shared" si="60"/>
        <v/>
      </c>
      <c r="V1802" s="4" t="str">
        <f t="shared" si="61"/>
        <v/>
      </c>
      <c r="W1802" s="21" t="e" cm="1">
        <f t="array" ref="W1802">_xlfn.IFS(
  A1802="BELL", "WHITE",
  A1802="GAMP", "ORANGE",
  A1802="GAMM", "GREEN",
  A1802="BWF", "YELLOW",
  OR(A1802="TNBE", A1802="TNBL", A1802="TNBD", A1802="TNWC", A1802="TNBW", A1802="THBS"), "PINK",
  A1802="CRWD", "BLUE",
  A1802="PASS", "WHITE"
)</f>
        <v>#N/A</v>
      </c>
    </row>
    <row r="1803" spans="1:23" x14ac:dyDescent="0.25">
      <c r="A1803" s="7"/>
      <c r="I1803" s="3"/>
      <c r="J1803" s="17"/>
      <c r="K1803" s="17"/>
      <c r="L1803" s="18"/>
      <c r="M1803" s="18"/>
      <c r="P1803" s="3"/>
      <c r="Q1803" s="4"/>
      <c r="R1803" s="19"/>
      <c r="S1803" s="20"/>
      <c r="U1803" s="3" t="str">
        <f t="shared" si="60"/>
        <v/>
      </c>
      <c r="V1803" s="4" t="str">
        <f t="shared" si="61"/>
        <v/>
      </c>
      <c r="W1803" s="21" t="e" cm="1">
        <f t="array" ref="W1803">_xlfn.IFS(
  A1803="BELL", "WHITE",
  A1803="GAMP", "ORANGE",
  A1803="GAMM", "GREEN",
  A1803="BWF", "YELLOW",
  OR(A1803="TNBE", A1803="TNBL", A1803="TNBD", A1803="TNWC", A1803="TNBW", A1803="THBS"), "PINK",
  A1803="CRWD", "BLUE",
  A1803="PASS", "WHITE"
)</f>
        <v>#N/A</v>
      </c>
    </row>
    <row r="1804" spans="1:23" x14ac:dyDescent="0.25">
      <c r="A1804" s="7"/>
      <c r="I1804" s="3"/>
      <c r="J1804" s="17"/>
      <c r="K1804" s="17"/>
      <c r="L1804" s="18"/>
      <c r="M1804" s="18"/>
      <c r="P1804" s="3"/>
      <c r="Q1804" s="4"/>
      <c r="R1804" s="19"/>
      <c r="S1804" s="20"/>
      <c r="U1804" s="3" t="str">
        <f t="shared" si="60"/>
        <v/>
      </c>
      <c r="V1804" s="4" t="str">
        <f t="shared" si="61"/>
        <v/>
      </c>
      <c r="W1804" s="21" t="e" cm="1">
        <f t="array" ref="W1804">_xlfn.IFS(
  A1804="BELL", "WHITE",
  A1804="GAMP", "ORANGE",
  A1804="GAMM", "GREEN",
  A1804="BWF", "YELLOW",
  OR(A1804="TNBE", A1804="TNBL", A1804="TNBD", A1804="TNWC", A1804="TNBW", A1804="THBS"), "PINK",
  A1804="CRWD", "BLUE",
  A1804="PASS", "WHITE"
)</f>
        <v>#N/A</v>
      </c>
    </row>
    <row r="1805" spans="1:23" x14ac:dyDescent="0.25">
      <c r="A1805" s="7"/>
      <c r="I1805" s="3"/>
      <c r="J1805" s="17"/>
      <c r="K1805" s="17"/>
      <c r="L1805" s="18"/>
      <c r="M1805" s="18"/>
      <c r="P1805" s="3"/>
      <c r="Q1805" s="4"/>
      <c r="R1805" s="19"/>
      <c r="S1805" s="20"/>
      <c r="U1805" s="3" t="str">
        <f t="shared" si="60"/>
        <v/>
      </c>
      <c r="V1805" s="4" t="str">
        <f t="shared" si="61"/>
        <v/>
      </c>
      <c r="W1805" s="21" t="e" cm="1">
        <f t="array" ref="W1805">_xlfn.IFS(
  A1805="BELL", "WHITE",
  A1805="GAMP", "ORANGE",
  A1805="GAMM", "GREEN",
  A1805="BWF", "YELLOW",
  OR(A1805="TNBE", A1805="TNBL", A1805="TNBD", A1805="TNWC", A1805="TNBW", A1805="THBS"), "PINK",
  A1805="CRWD", "BLUE",
  A1805="PASS", "WHITE"
)</f>
        <v>#N/A</v>
      </c>
    </row>
    <row r="1806" spans="1:23" x14ac:dyDescent="0.25">
      <c r="A1806" s="7"/>
      <c r="I1806" s="3"/>
      <c r="J1806" s="17"/>
      <c r="K1806" s="17"/>
      <c r="L1806" s="18"/>
      <c r="M1806" s="18"/>
      <c r="P1806" s="3"/>
      <c r="Q1806" s="4"/>
      <c r="R1806" s="19"/>
      <c r="S1806" s="20"/>
      <c r="U1806" s="3" t="str">
        <f t="shared" si="60"/>
        <v/>
      </c>
      <c r="V1806" s="4" t="str">
        <f t="shared" si="61"/>
        <v/>
      </c>
      <c r="W1806" s="21" t="e" cm="1">
        <f t="array" ref="W1806">_xlfn.IFS(
  A1806="BELL", "WHITE",
  A1806="GAMP", "ORANGE",
  A1806="GAMM", "GREEN",
  A1806="BWF", "YELLOW",
  OR(A1806="TNBE", A1806="TNBL", A1806="TNBD", A1806="TNWC", A1806="TNBW", A1806="THBS"), "PINK",
  A1806="CRWD", "BLUE",
  A1806="PASS", "WHITE"
)</f>
        <v>#N/A</v>
      </c>
    </row>
    <row r="1807" spans="1:23" x14ac:dyDescent="0.25">
      <c r="A1807" s="7"/>
      <c r="I1807" s="3"/>
      <c r="J1807" s="17"/>
      <c r="K1807" s="17"/>
      <c r="L1807" s="18"/>
      <c r="M1807" s="18"/>
      <c r="P1807" s="3"/>
      <c r="Q1807" s="4"/>
      <c r="R1807" s="19"/>
      <c r="S1807" s="20"/>
      <c r="U1807" s="3" t="str">
        <f t="shared" si="60"/>
        <v/>
      </c>
      <c r="V1807" s="4" t="str">
        <f t="shared" si="61"/>
        <v/>
      </c>
      <c r="W1807" s="21" t="e" cm="1">
        <f t="array" ref="W1807">_xlfn.IFS(
  A1807="BELL", "WHITE",
  A1807="GAMP", "ORANGE",
  A1807="GAMM", "GREEN",
  A1807="BWF", "YELLOW",
  OR(A1807="TNBE", A1807="TNBL", A1807="TNBD", A1807="TNWC", A1807="TNBW", A1807="THBS"), "PINK",
  A1807="CRWD", "BLUE",
  A1807="PASS", "WHITE"
)</f>
        <v>#N/A</v>
      </c>
    </row>
    <row r="1808" spans="1:23" x14ac:dyDescent="0.25">
      <c r="A1808" s="7"/>
      <c r="I1808" s="3"/>
      <c r="J1808" s="17"/>
      <c r="K1808" s="17"/>
      <c r="L1808" s="18"/>
      <c r="M1808" s="18"/>
      <c r="P1808" s="3"/>
      <c r="Q1808" s="4"/>
      <c r="R1808" s="19"/>
      <c r="S1808" s="20"/>
      <c r="U1808" s="3" t="str">
        <f t="shared" si="60"/>
        <v/>
      </c>
      <c r="V1808" s="4" t="str">
        <f t="shared" si="61"/>
        <v/>
      </c>
      <c r="W1808" s="21" t="e" cm="1">
        <f t="array" ref="W1808">_xlfn.IFS(
  A1808="BELL", "WHITE",
  A1808="GAMP", "ORANGE",
  A1808="GAMM", "GREEN",
  A1808="BWF", "YELLOW",
  OR(A1808="TNBE", A1808="TNBL", A1808="TNBD", A1808="TNWC", A1808="TNBW", A1808="THBS"), "PINK",
  A1808="CRWD", "BLUE",
  A1808="PASS", "WHITE"
)</f>
        <v>#N/A</v>
      </c>
    </row>
    <row r="1809" spans="1:23" x14ac:dyDescent="0.25">
      <c r="A1809" s="7"/>
      <c r="I1809" s="3"/>
      <c r="J1809" s="17"/>
      <c r="K1809" s="17"/>
      <c r="L1809" s="18"/>
      <c r="M1809" s="18"/>
      <c r="P1809" s="3"/>
      <c r="Q1809" s="4"/>
      <c r="R1809" s="19"/>
      <c r="S1809" s="20"/>
      <c r="U1809" s="3" t="str">
        <f t="shared" si="60"/>
        <v/>
      </c>
      <c r="V1809" s="4" t="str">
        <f t="shared" si="61"/>
        <v/>
      </c>
      <c r="W1809" s="21" t="e" cm="1">
        <f t="array" ref="W1809">_xlfn.IFS(
  A1809="BELL", "WHITE",
  A1809="GAMP", "ORANGE",
  A1809="GAMM", "GREEN",
  A1809="BWF", "YELLOW",
  OR(A1809="TNBE", A1809="TNBL", A1809="TNBD", A1809="TNWC", A1809="TNBW", A1809="THBS"), "PINK",
  A1809="CRWD", "BLUE",
  A1809="PASS", "WHITE"
)</f>
        <v>#N/A</v>
      </c>
    </row>
    <row r="1810" spans="1:23" x14ac:dyDescent="0.25">
      <c r="A1810" s="7"/>
      <c r="I1810" s="3"/>
      <c r="J1810" s="17"/>
      <c r="K1810" s="17"/>
      <c r="L1810" s="18"/>
      <c r="M1810" s="18"/>
      <c r="P1810" s="3"/>
      <c r="Q1810" s="4"/>
      <c r="R1810" s="19"/>
      <c r="S1810" s="20"/>
      <c r="U1810" s="3" t="str">
        <f t="shared" si="60"/>
        <v/>
      </c>
      <c r="V1810" s="4" t="str">
        <f t="shared" si="61"/>
        <v/>
      </c>
      <c r="W1810" s="21" t="e" cm="1">
        <f t="array" ref="W1810">_xlfn.IFS(
  A1810="BELL", "WHITE",
  A1810="GAMP", "ORANGE",
  A1810="GAMM", "GREEN",
  A1810="BWF", "YELLOW",
  OR(A1810="TNBE", A1810="TNBL", A1810="TNBD", A1810="TNWC", A1810="TNBW", A1810="THBS"), "PINK",
  A1810="CRWD", "BLUE",
  A1810="PASS", "WHITE"
)</f>
        <v>#N/A</v>
      </c>
    </row>
    <row r="1811" spans="1:23" x14ac:dyDescent="0.25">
      <c r="A1811" s="7"/>
      <c r="I1811" s="3"/>
      <c r="J1811" s="17"/>
      <c r="K1811" s="17"/>
      <c r="L1811" s="18"/>
      <c r="M1811" s="18"/>
      <c r="P1811" s="3"/>
      <c r="Q1811" s="4"/>
      <c r="R1811" s="19"/>
      <c r="S1811" s="20"/>
      <c r="U1811" s="3" t="str">
        <f t="shared" si="60"/>
        <v/>
      </c>
      <c r="V1811" s="4" t="str">
        <f t="shared" si="61"/>
        <v/>
      </c>
      <c r="W1811" s="21" t="e" cm="1">
        <f t="array" ref="W1811">_xlfn.IFS(
  A1811="BELL", "WHITE",
  A1811="GAMP", "ORANGE",
  A1811="GAMM", "GREEN",
  A1811="BWF", "YELLOW",
  OR(A1811="TNBE", A1811="TNBL", A1811="TNBD", A1811="TNWC", A1811="TNBW", A1811="THBS"), "PINK",
  A1811="CRWD", "BLUE",
  A1811="PASS", "WHITE"
)</f>
        <v>#N/A</v>
      </c>
    </row>
    <row r="1812" spans="1:23" x14ac:dyDescent="0.25">
      <c r="A1812" s="7"/>
      <c r="I1812" s="3"/>
      <c r="J1812" s="17"/>
      <c r="K1812" s="17"/>
      <c r="L1812" s="18"/>
      <c r="M1812" s="18"/>
      <c r="P1812" s="3"/>
      <c r="Q1812" s="4"/>
      <c r="R1812" s="19"/>
      <c r="S1812" s="20"/>
      <c r="U1812" s="3" t="str">
        <f t="shared" si="60"/>
        <v/>
      </c>
      <c r="V1812" s="4" t="str">
        <f t="shared" si="61"/>
        <v/>
      </c>
      <c r="W1812" s="21" t="e" cm="1">
        <f t="array" ref="W1812">_xlfn.IFS(
  A1812="BELL", "WHITE",
  A1812="GAMP", "ORANGE",
  A1812="GAMM", "GREEN",
  A1812="BWF", "YELLOW",
  OR(A1812="TNBE", A1812="TNBL", A1812="TNBD", A1812="TNWC", A1812="TNBW", A1812="THBS"), "PINK",
  A1812="CRWD", "BLUE",
  A1812="PASS", "WHITE"
)</f>
        <v>#N/A</v>
      </c>
    </row>
    <row r="1813" spans="1:23" x14ac:dyDescent="0.25">
      <c r="A1813" s="7"/>
      <c r="I1813" s="3"/>
      <c r="J1813" s="17"/>
      <c r="K1813" s="17"/>
      <c r="L1813" s="18"/>
      <c r="M1813" s="18"/>
      <c r="P1813" s="3"/>
      <c r="Q1813" s="4"/>
      <c r="R1813" s="19"/>
      <c r="S1813" s="20"/>
      <c r="U1813" s="3" t="str">
        <f t="shared" si="60"/>
        <v/>
      </c>
      <c r="V1813" s="4" t="str">
        <f t="shared" si="61"/>
        <v/>
      </c>
      <c r="W1813" s="21" t="e" cm="1">
        <f t="array" ref="W1813">_xlfn.IFS(
  A1813="BELL", "WHITE",
  A1813="GAMP", "ORANGE",
  A1813="GAMM", "GREEN",
  A1813="BWF", "YELLOW",
  OR(A1813="TNBE", A1813="TNBL", A1813="TNBD", A1813="TNWC", A1813="TNBW", A1813="THBS"), "PINK",
  A1813="CRWD", "BLUE",
  A1813="PASS", "WHITE"
)</f>
        <v>#N/A</v>
      </c>
    </row>
    <row r="1814" spans="1:23" x14ac:dyDescent="0.25">
      <c r="A1814" s="7"/>
      <c r="I1814" s="3"/>
      <c r="J1814" s="17"/>
      <c r="K1814" s="17"/>
      <c r="L1814" s="18"/>
      <c r="M1814" s="18"/>
      <c r="P1814" s="3"/>
      <c r="Q1814" s="4"/>
      <c r="R1814" s="19"/>
      <c r="S1814" s="20"/>
      <c r="U1814" s="3" t="str">
        <f t="shared" si="60"/>
        <v/>
      </c>
      <c r="V1814" s="4" t="str">
        <f t="shared" si="61"/>
        <v/>
      </c>
      <c r="W1814" s="21" t="e" cm="1">
        <f t="array" ref="W1814">_xlfn.IFS(
  A1814="BELL", "WHITE",
  A1814="GAMP", "ORANGE",
  A1814="GAMM", "GREEN",
  A1814="BWF", "YELLOW",
  OR(A1814="TNBE", A1814="TNBL", A1814="TNBD", A1814="TNWC", A1814="TNBW", A1814="THBS"), "PINK",
  A1814="CRWD", "BLUE",
  A1814="PASS", "WHITE"
)</f>
        <v>#N/A</v>
      </c>
    </row>
    <row r="1815" spans="1:23" x14ac:dyDescent="0.25">
      <c r="A1815" s="7"/>
      <c r="I1815" s="3"/>
      <c r="J1815" s="17"/>
      <c r="K1815" s="17"/>
      <c r="L1815" s="18"/>
      <c r="M1815" s="18"/>
      <c r="P1815" s="3"/>
      <c r="Q1815" s="4"/>
      <c r="R1815" s="19"/>
      <c r="S1815" s="20"/>
      <c r="U1815" s="3" t="str">
        <f t="shared" si="60"/>
        <v/>
      </c>
      <c r="V1815" s="4" t="str">
        <f t="shared" si="61"/>
        <v/>
      </c>
      <c r="W1815" s="21" t="e" cm="1">
        <f t="array" ref="W1815">_xlfn.IFS(
  A1815="BELL", "WHITE",
  A1815="GAMP", "ORANGE",
  A1815="GAMM", "GREEN",
  A1815="BWF", "YELLOW",
  OR(A1815="TNBE", A1815="TNBL", A1815="TNBD", A1815="TNWC", A1815="TNBW", A1815="THBS"), "PINK",
  A1815="CRWD", "BLUE",
  A1815="PASS", "WHITE"
)</f>
        <v>#N/A</v>
      </c>
    </row>
    <row r="1816" spans="1:23" x14ac:dyDescent="0.25">
      <c r="A1816" s="7"/>
      <c r="I1816" s="3"/>
      <c r="J1816" s="17"/>
      <c r="K1816" s="17"/>
      <c r="L1816" s="18"/>
      <c r="M1816" s="18"/>
      <c r="P1816" s="3"/>
      <c r="Q1816" s="4"/>
      <c r="R1816" s="19"/>
      <c r="S1816" s="20"/>
      <c r="U1816" s="3" t="str">
        <f t="shared" si="60"/>
        <v/>
      </c>
      <c r="V1816" s="4" t="str">
        <f t="shared" si="61"/>
        <v/>
      </c>
      <c r="W1816" s="21" t="e" cm="1">
        <f t="array" ref="W1816">_xlfn.IFS(
  A1816="BELL", "WHITE",
  A1816="GAMP", "ORANGE",
  A1816="GAMM", "GREEN",
  A1816="BWF", "YELLOW",
  OR(A1816="TNBE", A1816="TNBL", A1816="TNBD", A1816="TNWC", A1816="TNBW", A1816="THBS"), "PINK",
  A1816="CRWD", "BLUE",
  A1816="PASS", "WHITE"
)</f>
        <v>#N/A</v>
      </c>
    </row>
    <row r="1817" spans="1:23" x14ac:dyDescent="0.25">
      <c r="A1817" s="7"/>
      <c r="I1817" s="3"/>
      <c r="J1817" s="17"/>
      <c r="K1817" s="17"/>
      <c r="L1817" s="18"/>
      <c r="M1817" s="18"/>
      <c r="P1817" s="3"/>
      <c r="Q1817" s="4"/>
      <c r="R1817" s="19"/>
      <c r="S1817" s="20"/>
      <c r="U1817" s="3" t="str">
        <f t="shared" si="60"/>
        <v/>
      </c>
      <c r="V1817" s="4" t="str">
        <f t="shared" si="61"/>
        <v/>
      </c>
      <c r="W1817" s="21" t="e" cm="1">
        <f t="array" ref="W1817">_xlfn.IFS(
  A1817="BELL", "WHITE",
  A1817="GAMP", "ORANGE",
  A1817="GAMM", "GREEN",
  A1817="BWF", "YELLOW",
  OR(A1817="TNBE", A1817="TNBL", A1817="TNBD", A1817="TNWC", A1817="TNBW", A1817="THBS"), "PINK",
  A1817="CRWD", "BLUE",
  A1817="PASS", "WHITE"
)</f>
        <v>#N/A</v>
      </c>
    </row>
    <row r="1818" spans="1:23" x14ac:dyDescent="0.25">
      <c r="A1818" s="7"/>
      <c r="I1818" s="3"/>
      <c r="J1818" s="17"/>
      <c r="K1818" s="17"/>
      <c r="L1818" s="18"/>
      <c r="M1818" s="18"/>
      <c r="P1818" s="3"/>
      <c r="Q1818" s="4"/>
      <c r="R1818" s="19"/>
      <c r="S1818" s="20"/>
      <c r="U1818" s="3" t="str">
        <f t="shared" si="60"/>
        <v/>
      </c>
      <c r="V1818" s="4" t="str">
        <f t="shared" si="61"/>
        <v/>
      </c>
      <c r="W1818" s="21" t="e" cm="1">
        <f t="array" ref="W1818">_xlfn.IFS(
  A1818="BELL", "WHITE",
  A1818="GAMP", "ORANGE",
  A1818="GAMM", "GREEN",
  A1818="BWF", "YELLOW",
  OR(A1818="TNBE", A1818="TNBL", A1818="TNBD", A1818="TNWC", A1818="TNBW", A1818="THBS"), "PINK",
  A1818="CRWD", "BLUE",
  A1818="PASS", "WHITE"
)</f>
        <v>#N/A</v>
      </c>
    </row>
    <row r="1819" spans="1:23" x14ac:dyDescent="0.25">
      <c r="A1819" s="7"/>
      <c r="I1819" s="3"/>
      <c r="J1819" s="17"/>
      <c r="K1819" s="17"/>
      <c r="L1819" s="18"/>
      <c r="M1819" s="18"/>
      <c r="P1819" s="3"/>
      <c r="Q1819" s="4"/>
      <c r="R1819" s="19"/>
      <c r="S1819" s="20"/>
      <c r="U1819" s="3" t="str">
        <f t="shared" si="60"/>
        <v/>
      </c>
      <c r="V1819" s="4" t="str">
        <f t="shared" si="61"/>
        <v/>
      </c>
      <c r="W1819" s="21" t="e" cm="1">
        <f t="array" ref="W1819">_xlfn.IFS(
  A1819="BELL", "WHITE",
  A1819="GAMP", "ORANGE",
  A1819="GAMM", "GREEN",
  A1819="BWF", "YELLOW",
  OR(A1819="TNBE", A1819="TNBL", A1819="TNBD", A1819="TNWC", A1819="TNBW", A1819="THBS"), "PINK",
  A1819="CRWD", "BLUE",
  A1819="PASS", "WHITE"
)</f>
        <v>#N/A</v>
      </c>
    </row>
    <row r="1820" spans="1:23" x14ac:dyDescent="0.25">
      <c r="A1820" s="7"/>
      <c r="I1820" s="3"/>
      <c r="J1820" s="17"/>
      <c r="K1820" s="17"/>
      <c r="L1820" s="18"/>
      <c r="M1820" s="18"/>
      <c r="P1820" s="3"/>
      <c r="Q1820" s="4"/>
      <c r="R1820" s="19"/>
      <c r="S1820" s="20"/>
      <c r="U1820" s="3" t="str">
        <f t="shared" si="60"/>
        <v/>
      </c>
      <c r="V1820" s="4" t="str">
        <f t="shared" si="61"/>
        <v/>
      </c>
      <c r="W1820" s="21" t="e" cm="1">
        <f t="array" ref="W1820">_xlfn.IFS(
  A1820="BELL", "WHITE",
  A1820="GAMP", "ORANGE",
  A1820="GAMM", "GREEN",
  A1820="BWF", "YELLOW",
  OR(A1820="TNBE", A1820="TNBL", A1820="TNBD", A1820="TNWC", A1820="TNBW", A1820="THBS"), "PINK",
  A1820="CRWD", "BLUE",
  A1820="PASS", "WHITE"
)</f>
        <v>#N/A</v>
      </c>
    </row>
    <row r="1821" spans="1:23" x14ac:dyDescent="0.25">
      <c r="A1821" s="7"/>
      <c r="I1821" s="3"/>
      <c r="J1821" s="17"/>
      <c r="K1821" s="17"/>
      <c r="L1821" s="18"/>
      <c r="M1821" s="18"/>
      <c r="P1821" s="3"/>
      <c r="Q1821" s="4"/>
      <c r="R1821" s="19"/>
      <c r="S1821" s="20"/>
      <c r="U1821" s="3" t="str">
        <f t="shared" si="60"/>
        <v/>
      </c>
      <c r="V1821" s="4" t="str">
        <f t="shared" si="61"/>
        <v/>
      </c>
      <c r="W1821" s="21" t="e" cm="1">
        <f t="array" ref="W1821">_xlfn.IFS(
  A1821="BELL", "WHITE",
  A1821="GAMP", "ORANGE",
  A1821="GAMM", "GREEN",
  A1821="BWF", "YELLOW",
  OR(A1821="TNBE", A1821="TNBL", A1821="TNBD", A1821="TNWC", A1821="TNBW", A1821="THBS"), "PINK",
  A1821="CRWD", "BLUE",
  A1821="PASS", "WHITE"
)</f>
        <v>#N/A</v>
      </c>
    </row>
    <row r="1822" spans="1:23" x14ac:dyDescent="0.25">
      <c r="A1822" s="7"/>
      <c r="I1822" s="3"/>
      <c r="J1822" s="17"/>
      <c r="K1822" s="17"/>
      <c r="L1822" s="18"/>
      <c r="M1822" s="18"/>
      <c r="P1822" s="3"/>
      <c r="Q1822" s="4"/>
      <c r="R1822" s="19"/>
      <c r="S1822" s="20"/>
      <c r="U1822" s="3" t="str">
        <f t="shared" si="60"/>
        <v/>
      </c>
      <c r="V1822" s="4" t="str">
        <f t="shared" si="61"/>
        <v/>
      </c>
      <c r="W1822" s="21" t="e" cm="1">
        <f t="array" ref="W1822">_xlfn.IFS(
  A1822="BELL", "WHITE",
  A1822="GAMP", "ORANGE",
  A1822="GAMM", "GREEN",
  A1822="BWF", "YELLOW",
  OR(A1822="TNBE", A1822="TNBL", A1822="TNBD", A1822="TNWC", A1822="TNBW", A1822="THBS"), "PINK",
  A1822="CRWD", "BLUE",
  A1822="PASS", "WHITE"
)</f>
        <v>#N/A</v>
      </c>
    </row>
    <row r="1823" spans="1:23" x14ac:dyDescent="0.25">
      <c r="A1823" s="7"/>
      <c r="I1823" s="3"/>
      <c r="J1823" s="17"/>
      <c r="K1823" s="17"/>
      <c r="L1823" s="18"/>
      <c r="M1823" s="18"/>
      <c r="P1823" s="3"/>
      <c r="Q1823" s="4"/>
      <c r="R1823" s="19"/>
      <c r="S1823" s="20"/>
      <c r="U1823" s="3" t="str">
        <f t="shared" si="60"/>
        <v/>
      </c>
      <c r="V1823" s="4" t="str">
        <f t="shared" si="61"/>
        <v/>
      </c>
      <c r="W1823" s="21" t="e" cm="1">
        <f t="array" ref="W1823">_xlfn.IFS(
  A1823="BELL", "WHITE",
  A1823="GAMP", "ORANGE",
  A1823="GAMM", "GREEN",
  A1823="BWF", "YELLOW",
  OR(A1823="TNBE", A1823="TNBL", A1823="TNBD", A1823="TNWC", A1823="TNBW", A1823="THBS"), "PINK",
  A1823="CRWD", "BLUE",
  A1823="PASS", "WHITE"
)</f>
        <v>#N/A</v>
      </c>
    </row>
    <row r="1824" spans="1:23" x14ac:dyDescent="0.25">
      <c r="A1824" s="7"/>
      <c r="I1824" s="3"/>
      <c r="J1824" s="17"/>
      <c r="K1824" s="17"/>
      <c r="L1824" s="18"/>
      <c r="M1824" s="18"/>
      <c r="P1824" s="3"/>
      <c r="Q1824" s="4"/>
      <c r="R1824" s="19"/>
      <c r="S1824" s="20"/>
      <c r="U1824" s="3" t="str">
        <f t="shared" si="60"/>
        <v/>
      </c>
      <c r="V1824" s="4" t="str">
        <f t="shared" si="61"/>
        <v/>
      </c>
      <c r="W1824" s="21" t="e" cm="1">
        <f t="array" ref="W1824">_xlfn.IFS(
  A1824="BELL", "WHITE",
  A1824="GAMP", "ORANGE",
  A1824="GAMM", "GREEN",
  A1824="BWF", "YELLOW",
  OR(A1824="TNBE", A1824="TNBL", A1824="TNBD", A1824="TNWC", A1824="TNBW", A1824="THBS"), "PINK",
  A1824="CRWD", "BLUE",
  A1824="PASS", "WHITE"
)</f>
        <v>#N/A</v>
      </c>
    </row>
    <row r="1825" spans="1:23" x14ac:dyDescent="0.25">
      <c r="A1825" s="7"/>
      <c r="I1825" s="3"/>
      <c r="J1825" s="17"/>
      <c r="K1825" s="17"/>
      <c r="L1825" s="18"/>
      <c r="M1825" s="18"/>
      <c r="P1825" s="3"/>
      <c r="Q1825" s="4"/>
      <c r="R1825" s="19"/>
      <c r="S1825" s="20"/>
      <c r="U1825" s="3" t="str">
        <f t="shared" si="60"/>
        <v/>
      </c>
      <c r="V1825" s="4" t="str">
        <f t="shared" si="61"/>
        <v/>
      </c>
      <c r="W1825" s="21" t="e" cm="1">
        <f t="array" ref="W1825">_xlfn.IFS(
  A1825="BELL", "WHITE",
  A1825="GAMP", "ORANGE",
  A1825="GAMM", "GREEN",
  A1825="BWF", "YELLOW",
  OR(A1825="TNBE", A1825="TNBL", A1825="TNBD", A1825="TNWC", A1825="TNBW", A1825="THBS"), "PINK",
  A1825="CRWD", "BLUE",
  A1825="PASS", "WHITE"
)</f>
        <v>#N/A</v>
      </c>
    </row>
    <row r="1826" spans="1:23" x14ac:dyDescent="0.25">
      <c r="A1826" s="7"/>
      <c r="I1826" s="3"/>
      <c r="J1826" s="17"/>
      <c r="K1826" s="17"/>
      <c r="L1826" s="18"/>
      <c r="M1826" s="18"/>
      <c r="P1826" s="3"/>
      <c r="Q1826" s="4"/>
      <c r="R1826" s="19"/>
      <c r="S1826" s="20"/>
      <c r="U1826" s="3" t="str">
        <f t="shared" si="60"/>
        <v/>
      </c>
      <c r="V1826" s="4" t="str">
        <f t="shared" si="61"/>
        <v/>
      </c>
      <c r="W1826" s="21" t="e" cm="1">
        <f t="array" ref="W1826">_xlfn.IFS(
  A1826="BELL", "WHITE",
  A1826="GAMP", "ORANGE",
  A1826="GAMM", "GREEN",
  A1826="BWF", "YELLOW",
  OR(A1826="TNBE", A1826="TNBL", A1826="TNBD", A1826="TNWC", A1826="TNBW", A1826="THBS"), "PINK",
  A1826="CRWD", "BLUE",
  A1826="PASS", "WHITE"
)</f>
        <v>#N/A</v>
      </c>
    </row>
    <row r="1827" spans="1:23" x14ac:dyDescent="0.25">
      <c r="A1827" s="7"/>
      <c r="I1827" s="3"/>
      <c r="J1827" s="17"/>
      <c r="K1827" s="17"/>
      <c r="L1827" s="18"/>
      <c r="M1827" s="18"/>
      <c r="P1827" s="3"/>
      <c r="Q1827" s="4"/>
      <c r="R1827" s="19"/>
      <c r="S1827" s="20"/>
      <c r="U1827" s="3" t="str">
        <f t="shared" si="60"/>
        <v/>
      </c>
      <c r="V1827" s="4" t="str">
        <f t="shared" si="61"/>
        <v/>
      </c>
      <c r="W1827" s="21" t="e" cm="1">
        <f t="array" ref="W1827">_xlfn.IFS(
  A1827="BELL", "WHITE",
  A1827="GAMP", "ORANGE",
  A1827="GAMM", "GREEN",
  A1827="BWF", "YELLOW",
  OR(A1827="TNBE", A1827="TNBL", A1827="TNBD", A1827="TNWC", A1827="TNBW", A1827="THBS"), "PINK",
  A1827="CRWD", "BLUE",
  A1827="PASS", "WHITE"
)</f>
        <v>#N/A</v>
      </c>
    </row>
    <row r="1828" spans="1:23" x14ac:dyDescent="0.25">
      <c r="A1828" s="7"/>
      <c r="I1828" s="3"/>
      <c r="J1828" s="17"/>
      <c r="K1828" s="17"/>
      <c r="L1828" s="18"/>
      <c r="M1828" s="18"/>
      <c r="P1828" s="3"/>
      <c r="Q1828" s="4"/>
      <c r="R1828" s="19"/>
      <c r="S1828" s="20"/>
      <c r="U1828" s="3" t="str">
        <f t="shared" si="60"/>
        <v/>
      </c>
      <c r="V1828" s="4" t="str">
        <f t="shared" si="61"/>
        <v/>
      </c>
      <c r="W1828" s="21" t="e" cm="1">
        <f t="array" ref="W1828">_xlfn.IFS(
  A1828="BELL", "WHITE",
  A1828="GAMP", "ORANGE",
  A1828="GAMM", "GREEN",
  A1828="BWF", "YELLOW",
  OR(A1828="TNBE", A1828="TNBL", A1828="TNBD", A1828="TNWC", A1828="TNBW", A1828="THBS"), "PINK",
  A1828="CRWD", "BLUE",
  A1828="PASS", "WHITE"
)</f>
        <v>#N/A</v>
      </c>
    </row>
    <row r="1829" spans="1:23" x14ac:dyDescent="0.25">
      <c r="A1829" s="7"/>
      <c r="I1829" s="3"/>
      <c r="J1829" s="17"/>
      <c r="K1829" s="17"/>
      <c r="L1829" s="18"/>
      <c r="M1829" s="18"/>
      <c r="P1829" s="3"/>
      <c r="Q1829" s="4"/>
      <c r="R1829" s="19"/>
      <c r="S1829" s="20"/>
      <c r="U1829" s="3" t="str">
        <f t="shared" si="60"/>
        <v/>
      </c>
      <c r="V1829" s="4" t="str">
        <f t="shared" si="61"/>
        <v/>
      </c>
      <c r="W1829" s="21" t="e" cm="1">
        <f t="array" ref="W1829">_xlfn.IFS(
  A1829="BELL", "WHITE",
  A1829="GAMP", "ORANGE",
  A1829="GAMM", "GREEN",
  A1829="BWF", "YELLOW",
  OR(A1829="TNBE", A1829="TNBL", A1829="TNBD", A1829="TNWC", A1829="TNBW", A1829="THBS"), "PINK",
  A1829="CRWD", "BLUE",
  A1829="PASS", "WHITE"
)</f>
        <v>#N/A</v>
      </c>
    </row>
    <row r="1830" spans="1:23" x14ac:dyDescent="0.25">
      <c r="A1830" s="7"/>
      <c r="I1830" s="3"/>
      <c r="J1830" s="17"/>
      <c r="K1830" s="17"/>
      <c r="L1830" s="18"/>
      <c r="M1830" s="18"/>
      <c r="P1830" s="3"/>
      <c r="Q1830" s="4"/>
      <c r="R1830" s="19"/>
      <c r="S1830" s="20"/>
      <c r="U1830" s="3" t="str">
        <f t="shared" si="60"/>
        <v/>
      </c>
      <c r="V1830" s="4" t="str">
        <f t="shared" si="61"/>
        <v/>
      </c>
      <c r="W1830" s="21" t="e" cm="1">
        <f t="array" ref="W1830">_xlfn.IFS(
  A1830="BELL", "WHITE",
  A1830="GAMP", "ORANGE",
  A1830="GAMM", "GREEN",
  A1830="BWF", "YELLOW",
  OR(A1830="TNBE", A1830="TNBL", A1830="TNBD", A1830="TNWC", A1830="TNBW", A1830="THBS"), "PINK",
  A1830="CRWD", "BLUE",
  A1830="PASS", "WHITE"
)</f>
        <v>#N/A</v>
      </c>
    </row>
    <row r="1831" spans="1:23" x14ac:dyDescent="0.25">
      <c r="A1831" s="7"/>
      <c r="I1831" s="3"/>
      <c r="J1831" s="17"/>
      <c r="K1831" s="17"/>
      <c r="L1831" s="18"/>
      <c r="M1831" s="18"/>
      <c r="P1831" s="3"/>
      <c r="Q1831" s="4"/>
      <c r="R1831" s="19"/>
      <c r="S1831" s="20"/>
      <c r="U1831" s="3" t="str">
        <f t="shared" si="60"/>
        <v/>
      </c>
      <c r="V1831" s="4" t="str">
        <f t="shared" si="61"/>
        <v/>
      </c>
      <c r="W1831" s="21" t="e" cm="1">
        <f t="array" ref="W1831">_xlfn.IFS(
  A1831="BELL", "WHITE",
  A1831="GAMP", "ORANGE",
  A1831="GAMM", "GREEN",
  A1831="BWF", "YELLOW",
  OR(A1831="TNBE", A1831="TNBL", A1831="TNBD", A1831="TNWC", A1831="TNBW", A1831="THBS"), "PINK",
  A1831="CRWD", "BLUE",
  A1831="PASS", "WHITE"
)</f>
        <v>#N/A</v>
      </c>
    </row>
    <row r="1832" spans="1:23" x14ac:dyDescent="0.25">
      <c r="A1832" s="7"/>
      <c r="I1832" s="3"/>
      <c r="J1832" s="17"/>
      <c r="K1832" s="17"/>
      <c r="L1832" s="18"/>
      <c r="M1832" s="18"/>
      <c r="P1832" s="3"/>
      <c r="Q1832" s="4"/>
      <c r="R1832" s="19"/>
      <c r="S1832" s="20"/>
      <c r="U1832" s="3" t="str">
        <f t="shared" si="60"/>
        <v/>
      </c>
      <c r="V1832" s="4" t="str">
        <f t="shared" si="61"/>
        <v/>
      </c>
      <c r="W1832" s="21" t="e" cm="1">
        <f t="array" ref="W1832">_xlfn.IFS(
  A1832="BELL", "WHITE",
  A1832="GAMP", "ORANGE",
  A1832="GAMM", "GREEN",
  A1832="BWF", "YELLOW",
  OR(A1832="TNBE", A1832="TNBL", A1832="TNBD", A1832="TNWC", A1832="TNBW", A1832="THBS"), "PINK",
  A1832="CRWD", "BLUE",
  A1832="PASS", "WHITE"
)</f>
        <v>#N/A</v>
      </c>
    </row>
    <row r="1833" spans="1:23" x14ac:dyDescent="0.25">
      <c r="A1833" s="7"/>
      <c r="I1833" s="3"/>
      <c r="J1833" s="17"/>
      <c r="K1833" s="17"/>
      <c r="L1833" s="18"/>
      <c r="M1833" s="18"/>
      <c r="P1833" s="3"/>
      <c r="Q1833" s="4"/>
      <c r="R1833" s="19"/>
      <c r="S1833" s="20"/>
      <c r="U1833" s="3" t="str">
        <f t="shared" si="60"/>
        <v/>
      </c>
      <c r="V1833" s="4" t="str">
        <f t="shared" si="61"/>
        <v/>
      </c>
      <c r="W1833" s="21" t="e" cm="1">
        <f t="array" ref="W1833">_xlfn.IFS(
  A1833="BELL", "WHITE",
  A1833="GAMP", "ORANGE",
  A1833="GAMM", "GREEN",
  A1833="BWF", "YELLOW",
  OR(A1833="TNBE", A1833="TNBL", A1833="TNBD", A1833="TNWC", A1833="TNBW", A1833="THBS"), "PINK",
  A1833="CRWD", "BLUE",
  A1833="PASS", "WHITE"
)</f>
        <v>#N/A</v>
      </c>
    </row>
    <row r="1834" spans="1:23" x14ac:dyDescent="0.25">
      <c r="A1834" s="7"/>
      <c r="I1834" s="3"/>
      <c r="J1834" s="17"/>
      <c r="K1834" s="17"/>
      <c r="L1834" s="18"/>
      <c r="M1834" s="18"/>
      <c r="P1834" s="3"/>
      <c r="Q1834" s="4"/>
      <c r="R1834" s="19"/>
      <c r="S1834" s="20"/>
      <c r="U1834" s="3" t="str">
        <f t="shared" si="60"/>
        <v/>
      </c>
      <c r="V1834" s="4" t="str">
        <f t="shared" si="61"/>
        <v/>
      </c>
      <c r="W1834" s="21" t="e" cm="1">
        <f t="array" ref="W1834">_xlfn.IFS(
  A1834="BELL", "WHITE",
  A1834="GAMP", "ORANGE",
  A1834="GAMM", "GREEN",
  A1834="BWF", "YELLOW",
  OR(A1834="TNBE", A1834="TNBL", A1834="TNBD", A1834="TNWC", A1834="TNBW", A1834="THBS"), "PINK",
  A1834="CRWD", "BLUE",
  A1834="PASS", "WHITE"
)</f>
        <v>#N/A</v>
      </c>
    </row>
    <row r="1835" spans="1:23" x14ac:dyDescent="0.25">
      <c r="A1835" s="7"/>
      <c r="I1835" s="3"/>
      <c r="J1835" s="17"/>
      <c r="K1835" s="17"/>
      <c r="L1835" s="18"/>
      <c r="M1835" s="18"/>
      <c r="P1835" s="3"/>
      <c r="Q1835" s="4"/>
      <c r="R1835" s="19"/>
      <c r="S1835" s="20"/>
      <c r="U1835" s="3" t="str">
        <f t="shared" si="60"/>
        <v/>
      </c>
      <c r="V1835" s="4" t="str">
        <f t="shared" si="61"/>
        <v/>
      </c>
      <c r="W1835" s="21" t="e" cm="1">
        <f t="array" ref="W1835">_xlfn.IFS(
  A1835="BELL", "WHITE",
  A1835="GAMP", "ORANGE",
  A1835="GAMM", "GREEN",
  A1835="BWF", "YELLOW",
  OR(A1835="TNBE", A1835="TNBL", A1835="TNBD", A1835="TNWC", A1835="TNBW", A1835="THBS"), "PINK",
  A1835="CRWD", "BLUE",
  A1835="PASS", "WHITE"
)</f>
        <v>#N/A</v>
      </c>
    </row>
    <row r="1836" spans="1:23" x14ac:dyDescent="0.25">
      <c r="A1836" s="7"/>
      <c r="I1836" s="3"/>
      <c r="J1836" s="17"/>
      <c r="K1836" s="17"/>
      <c r="L1836" s="18"/>
      <c r="M1836" s="18"/>
      <c r="P1836" s="3"/>
      <c r="Q1836" s="4"/>
      <c r="R1836" s="19"/>
      <c r="S1836" s="20"/>
      <c r="U1836" s="3" t="str">
        <f t="shared" si="60"/>
        <v/>
      </c>
      <c r="V1836" s="4" t="str">
        <f t="shared" si="61"/>
        <v/>
      </c>
      <c r="W1836" s="21" t="e" cm="1">
        <f t="array" ref="W1836">_xlfn.IFS(
  A1836="BELL", "WHITE",
  A1836="GAMP", "ORANGE",
  A1836="GAMM", "GREEN",
  A1836="BWF", "YELLOW",
  OR(A1836="TNBE", A1836="TNBL", A1836="TNBD", A1836="TNWC", A1836="TNBW", A1836="THBS"), "PINK",
  A1836="CRWD", "BLUE",
  A1836="PASS", "WHITE"
)</f>
        <v>#N/A</v>
      </c>
    </row>
    <row r="1837" spans="1:23" x14ac:dyDescent="0.25">
      <c r="A1837" s="7"/>
      <c r="I1837" s="3"/>
      <c r="J1837" s="17"/>
      <c r="K1837" s="17"/>
      <c r="L1837" s="18"/>
      <c r="M1837" s="18"/>
      <c r="P1837" s="3"/>
      <c r="Q1837" s="4"/>
      <c r="R1837" s="19"/>
      <c r="S1837" s="20"/>
      <c r="U1837" s="3" t="str">
        <f t="shared" si="60"/>
        <v/>
      </c>
      <c r="V1837" s="4" t="str">
        <f t="shared" si="61"/>
        <v/>
      </c>
      <c r="W1837" s="21" t="e" cm="1">
        <f t="array" ref="W1837">_xlfn.IFS(
  A1837="BELL", "WHITE",
  A1837="GAMP", "ORANGE",
  A1837="GAMM", "GREEN",
  A1837="BWF", "YELLOW",
  OR(A1837="TNBE", A1837="TNBL", A1837="TNBD", A1837="TNWC", A1837="TNBW", A1837="THBS"), "PINK",
  A1837="CRWD", "BLUE",
  A1837="PASS", "WHITE"
)</f>
        <v>#N/A</v>
      </c>
    </row>
    <row r="1838" spans="1:23" x14ac:dyDescent="0.25">
      <c r="A1838" s="7"/>
      <c r="I1838" s="3"/>
      <c r="J1838" s="17"/>
      <c r="K1838" s="17"/>
      <c r="L1838" s="18"/>
      <c r="M1838" s="18"/>
      <c r="P1838" s="3"/>
      <c r="Q1838" s="4"/>
      <c r="R1838" s="19"/>
      <c r="S1838" s="20"/>
      <c r="U1838" s="3" t="str">
        <f t="shared" si="60"/>
        <v/>
      </c>
      <c r="V1838" s="4" t="str">
        <f t="shared" si="61"/>
        <v/>
      </c>
      <c r="W1838" s="21" t="e" cm="1">
        <f t="array" ref="W1838">_xlfn.IFS(
  A1838="BELL", "WHITE",
  A1838="GAMP", "ORANGE",
  A1838="GAMM", "GREEN",
  A1838="BWF", "YELLOW",
  OR(A1838="TNBE", A1838="TNBL", A1838="TNBD", A1838="TNWC", A1838="TNBW", A1838="THBS"), "PINK",
  A1838="CRWD", "BLUE",
  A1838="PASS", "WHITE"
)</f>
        <v>#N/A</v>
      </c>
    </row>
    <row r="1839" spans="1:23" x14ac:dyDescent="0.25">
      <c r="A1839" s="7"/>
      <c r="I1839" s="3"/>
      <c r="J1839" s="17"/>
      <c r="K1839" s="17"/>
      <c r="L1839" s="18"/>
      <c r="M1839" s="18"/>
      <c r="P1839" s="3"/>
      <c r="Q1839" s="4"/>
      <c r="R1839" s="19"/>
      <c r="S1839" s="20"/>
      <c r="U1839" s="3" t="str">
        <f t="shared" si="60"/>
        <v/>
      </c>
      <c r="V1839" s="4" t="str">
        <f t="shared" si="61"/>
        <v/>
      </c>
      <c r="W1839" s="21" t="e" cm="1">
        <f t="array" ref="W1839">_xlfn.IFS(
  A1839="BELL", "WHITE",
  A1839="GAMP", "ORANGE",
  A1839="GAMM", "GREEN",
  A1839="BWF", "YELLOW",
  OR(A1839="TNBE", A1839="TNBL", A1839="TNBD", A1839="TNWC", A1839="TNBW", A1839="THBS"), "PINK",
  A1839="CRWD", "BLUE",
  A1839="PASS", "WHITE"
)</f>
        <v>#N/A</v>
      </c>
    </row>
    <row r="1840" spans="1:23" x14ac:dyDescent="0.25">
      <c r="A1840" s="7"/>
      <c r="I1840" s="3"/>
      <c r="J1840" s="17"/>
      <c r="K1840" s="17"/>
      <c r="L1840" s="18"/>
      <c r="M1840" s="18"/>
      <c r="P1840" s="3"/>
      <c r="Q1840" s="4"/>
      <c r="R1840" s="19"/>
      <c r="S1840" s="20"/>
      <c r="U1840" s="3" t="str">
        <f t="shared" si="60"/>
        <v/>
      </c>
      <c r="V1840" s="4" t="str">
        <f t="shared" si="61"/>
        <v/>
      </c>
      <c r="W1840" s="21" t="e" cm="1">
        <f t="array" ref="W1840">_xlfn.IFS(
  A1840="BELL", "WHITE",
  A1840="GAMP", "ORANGE",
  A1840="GAMM", "GREEN",
  A1840="BWF", "YELLOW",
  OR(A1840="TNBE", A1840="TNBL", A1840="TNBD", A1840="TNWC", A1840="TNBW", A1840="THBS"), "PINK",
  A1840="CRWD", "BLUE",
  A1840="PASS", "WHITE"
)</f>
        <v>#N/A</v>
      </c>
    </row>
    <row r="1841" spans="1:23" x14ac:dyDescent="0.25">
      <c r="A1841" s="7"/>
      <c r="I1841" s="3"/>
      <c r="J1841" s="17"/>
      <c r="K1841" s="17"/>
      <c r="L1841" s="18"/>
      <c r="M1841" s="18"/>
      <c r="P1841" s="3"/>
      <c r="Q1841" s="4"/>
      <c r="R1841" s="19"/>
      <c r="S1841" s="20"/>
      <c r="U1841" s="3" t="str">
        <f t="shared" si="60"/>
        <v/>
      </c>
      <c r="V1841" s="4" t="str">
        <f t="shared" si="61"/>
        <v/>
      </c>
      <c r="W1841" s="21" t="e" cm="1">
        <f t="array" ref="W1841">_xlfn.IFS(
  A1841="BELL", "WHITE",
  A1841="GAMP", "ORANGE",
  A1841="GAMM", "GREEN",
  A1841="BWF", "YELLOW",
  OR(A1841="TNBE", A1841="TNBL", A1841="TNBD", A1841="TNWC", A1841="TNBW", A1841="THBS"), "PINK",
  A1841="CRWD", "BLUE",
  A1841="PASS", "WHITE"
)</f>
        <v>#N/A</v>
      </c>
    </row>
    <row r="1842" spans="1:23" x14ac:dyDescent="0.25">
      <c r="A1842" s="7"/>
      <c r="I1842" s="3"/>
      <c r="J1842" s="17"/>
      <c r="K1842" s="17"/>
      <c r="L1842" s="18"/>
      <c r="M1842" s="18"/>
      <c r="P1842" s="3"/>
      <c r="Q1842" s="4"/>
      <c r="R1842" s="19"/>
      <c r="S1842" s="20"/>
      <c r="U1842" s="3" t="str">
        <f t="shared" si="60"/>
        <v/>
      </c>
      <c r="V1842" s="4" t="str">
        <f t="shared" si="61"/>
        <v/>
      </c>
      <c r="W1842" s="21" t="e" cm="1">
        <f t="array" ref="W1842">_xlfn.IFS(
  A1842="BELL", "WHITE",
  A1842="GAMP", "ORANGE",
  A1842="GAMM", "GREEN",
  A1842="BWF", "YELLOW",
  OR(A1842="TNBE", A1842="TNBL", A1842="TNBD", A1842="TNWC", A1842="TNBW", A1842="THBS"), "PINK",
  A1842="CRWD", "BLUE",
  A1842="PASS", "WHITE"
)</f>
        <v>#N/A</v>
      </c>
    </row>
    <row r="1843" spans="1:23" x14ac:dyDescent="0.25">
      <c r="A1843" s="7"/>
      <c r="I1843" s="3"/>
      <c r="J1843" s="17"/>
      <c r="K1843" s="17"/>
      <c r="L1843" s="18"/>
      <c r="M1843" s="18"/>
      <c r="P1843" s="3"/>
      <c r="Q1843" s="4"/>
      <c r="R1843" s="19"/>
      <c r="S1843" s="20"/>
      <c r="U1843" s="3" t="str">
        <f t="shared" si="60"/>
        <v/>
      </c>
      <c r="V1843" s="4" t="str">
        <f t="shared" si="61"/>
        <v/>
      </c>
      <c r="W1843" s="21" t="e" cm="1">
        <f t="array" ref="W1843">_xlfn.IFS(
  A1843="BELL", "WHITE",
  A1843="GAMP", "ORANGE",
  A1843="GAMM", "GREEN",
  A1843="BWF", "YELLOW",
  OR(A1843="TNBE", A1843="TNBL", A1843="TNBD", A1843="TNWC", A1843="TNBW", A1843="THBS"), "PINK",
  A1843="CRWD", "BLUE",
  A1843="PASS", "WHITE"
)</f>
        <v>#N/A</v>
      </c>
    </row>
    <row r="1844" spans="1:23" x14ac:dyDescent="0.25">
      <c r="A1844" s="7"/>
      <c r="I1844" s="3"/>
      <c r="J1844" s="17"/>
      <c r="K1844" s="17"/>
      <c r="L1844" s="18"/>
      <c r="M1844" s="18"/>
      <c r="P1844" s="3"/>
      <c r="Q1844" s="4"/>
      <c r="R1844" s="19"/>
      <c r="S1844" s="20"/>
      <c r="U1844" s="3" t="str">
        <f t="shared" si="60"/>
        <v/>
      </c>
      <c r="V1844" s="4" t="str">
        <f t="shared" si="61"/>
        <v/>
      </c>
      <c r="W1844" s="21" t="e" cm="1">
        <f t="array" ref="W1844">_xlfn.IFS(
  A1844="BELL", "WHITE",
  A1844="GAMP", "ORANGE",
  A1844="GAMM", "GREEN",
  A1844="BWF", "YELLOW",
  OR(A1844="TNBE", A1844="TNBL", A1844="TNBD", A1844="TNWC", A1844="TNBW", A1844="THBS"), "PINK",
  A1844="CRWD", "BLUE",
  A1844="PASS", "WHITE"
)</f>
        <v>#N/A</v>
      </c>
    </row>
    <row r="1845" spans="1:23" x14ac:dyDescent="0.25">
      <c r="A1845" s="7"/>
      <c r="I1845" s="3"/>
      <c r="J1845" s="17"/>
      <c r="K1845" s="17"/>
      <c r="L1845" s="18"/>
      <c r="M1845" s="18"/>
      <c r="P1845" s="3"/>
      <c r="Q1845" s="4"/>
      <c r="R1845" s="19"/>
      <c r="S1845" s="20"/>
      <c r="U1845" s="3" t="str">
        <f t="shared" si="60"/>
        <v/>
      </c>
      <c r="V1845" s="4" t="str">
        <f t="shared" si="61"/>
        <v/>
      </c>
      <c r="W1845" s="21" t="e" cm="1">
        <f t="array" ref="W1845">_xlfn.IFS(
  A1845="BELL", "WHITE",
  A1845="GAMP", "ORANGE",
  A1845="GAMM", "GREEN",
  A1845="BWF", "YELLOW",
  OR(A1845="TNBE", A1845="TNBL", A1845="TNBD", A1845="TNWC", A1845="TNBW", A1845="THBS"), "PINK",
  A1845="CRWD", "BLUE",
  A1845="PASS", "WHITE"
)</f>
        <v>#N/A</v>
      </c>
    </row>
    <row r="1846" spans="1:23" x14ac:dyDescent="0.25">
      <c r="A1846" s="7"/>
      <c r="I1846" s="3"/>
      <c r="J1846" s="17"/>
      <c r="K1846" s="17"/>
      <c r="L1846" s="18"/>
      <c r="M1846" s="18"/>
      <c r="P1846" s="3"/>
      <c r="Q1846" s="4"/>
      <c r="R1846" s="19"/>
      <c r="S1846" s="20"/>
      <c r="U1846" s="3" t="str">
        <f t="shared" si="60"/>
        <v/>
      </c>
      <c r="V1846" s="4" t="str">
        <f t="shared" si="61"/>
        <v/>
      </c>
      <c r="W1846" s="21" t="e" cm="1">
        <f t="array" ref="W1846">_xlfn.IFS(
  A1846="BELL", "WHITE",
  A1846="GAMP", "ORANGE",
  A1846="GAMM", "GREEN",
  A1846="BWF", "YELLOW",
  OR(A1846="TNBE", A1846="TNBL", A1846="TNBD", A1846="TNWC", A1846="TNBW", A1846="THBS"), "PINK",
  A1846="CRWD", "BLUE",
  A1846="PASS", "WHITE"
)</f>
        <v>#N/A</v>
      </c>
    </row>
    <row r="1847" spans="1:23" x14ac:dyDescent="0.25">
      <c r="A1847" s="7"/>
      <c r="I1847" s="3"/>
      <c r="J1847" s="17"/>
      <c r="K1847" s="17"/>
      <c r="L1847" s="18"/>
      <c r="M1847" s="18"/>
      <c r="P1847" s="3"/>
      <c r="Q1847" s="4"/>
      <c r="R1847" s="19"/>
      <c r="S1847" s="20"/>
      <c r="U1847" s="3" t="str">
        <f t="shared" si="60"/>
        <v/>
      </c>
      <c r="V1847" s="4" t="str">
        <f t="shared" si="61"/>
        <v/>
      </c>
      <c r="W1847" s="21" t="e" cm="1">
        <f t="array" ref="W1847">_xlfn.IFS(
  A1847="BELL", "WHITE",
  A1847="GAMP", "ORANGE",
  A1847="GAMM", "GREEN",
  A1847="BWF", "YELLOW",
  OR(A1847="TNBE", A1847="TNBL", A1847="TNBD", A1847="TNWC", A1847="TNBW", A1847="THBS"), "PINK",
  A1847="CRWD", "BLUE",
  A1847="PASS", "WHITE"
)</f>
        <v>#N/A</v>
      </c>
    </row>
    <row r="1848" spans="1:23" x14ac:dyDescent="0.25">
      <c r="A1848" s="7"/>
      <c r="I1848" s="3"/>
      <c r="J1848" s="17"/>
      <c r="K1848" s="17"/>
      <c r="L1848" s="18"/>
      <c r="M1848" s="18"/>
      <c r="P1848" s="3"/>
      <c r="Q1848" s="4"/>
      <c r="R1848" s="19"/>
      <c r="S1848" s="20"/>
      <c r="U1848" s="3" t="str">
        <f t="shared" si="60"/>
        <v/>
      </c>
      <c r="V1848" s="4" t="str">
        <f t="shared" si="61"/>
        <v/>
      </c>
      <c r="W1848" s="21" t="e" cm="1">
        <f t="array" ref="W1848">_xlfn.IFS(
  A1848="BELL", "WHITE",
  A1848="GAMP", "ORANGE",
  A1848="GAMM", "GREEN",
  A1848="BWF", "YELLOW",
  OR(A1848="TNBE", A1848="TNBL", A1848="TNBD", A1848="TNWC", A1848="TNBW", A1848="THBS"), "PINK",
  A1848="CRWD", "BLUE",
  A1848="PASS", "WHITE"
)</f>
        <v>#N/A</v>
      </c>
    </row>
    <row r="1849" spans="1:23" x14ac:dyDescent="0.25">
      <c r="A1849" s="7"/>
      <c r="I1849" s="3"/>
      <c r="J1849" s="17"/>
      <c r="K1849" s="17"/>
      <c r="L1849" s="18"/>
      <c r="M1849" s="18"/>
      <c r="P1849" s="3"/>
      <c r="Q1849" s="4"/>
      <c r="R1849" s="19"/>
      <c r="S1849" s="20"/>
      <c r="U1849" s="3" t="str">
        <f t="shared" si="60"/>
        <v/>
      </c>
      <c r="V1849" s="4" t="str">
        <f t="shared" si="61"/>
        <v/>
      </c>
      <c r="W1849" s="21" t="e" cm="1">
        <f t="array" ref="W1849">_xlfn.IFS(
  A1849="BELL", "WHITE",
  A1849="GAMP", "ORANGE",
  A1849="GAMM", "GREEN",
  A1849="BWF", "YELLOW",
  OR(A1849="TNBE", A1849="TNBL", A1849="TNBD", A1849="TNWC", A1849="TNBW", A1849="THBS"), "PINK",
  A1849="CRWD", "BLUE",
  A1849="PASS", "WHITE"
)</f>
        <v>#N/A</v>
      </c>
    </row>
    <row r="1850" spans="1:23" x14ac:dyDescent="0.25">
      <c r="A1850" s="7"/>
      <c r="I1850" s="3"/>
      <c r="J1850" s="17"/>
      <c r="K1850" s="17"/>
      <c r="L1850" s="18"/>
      <c r="M1850" s="18"/>
      <c r="P1850" s="3"/>
      <c r="Q1850" s="4"/>
      <c r="R1850" s="19"/>
      <c r="S1850" s="20"/>
      <c r="U1850" s="3" t="str">
        <f t="shared" si="60"/>
        <v/>
      </c>
      <c r="V1850" s="4" t="str">
        <f t="shared" si="61"/>
        <v/>
      </c>
      <c r="W1850" s="21" t="e" cm="1">
        <f t="array" ref="W1850">_xlfn.IFS(
  A1850="BELL", "WHITE",
  A1850="GAMP", "ORANGE",
  A1850="GAMM", "GREEN",
  A1850="BWF", "YELLOW",
  OR(A1850="TNBE", A1850="TNBL", A1850="TNBD", A1850="TNWC", A1850="TNBW", A1850="THBS"), "PINK",
  A1850="CRWD", "BLUE",
  A1850="PASS", "WHITE"
)</f>
        <v>#N/A</v>
      </c>
    </row>
    <row r="1851" spans="1:23" x14ac:dyDescent="0.25">
      <c r="A1851" s="7"/>
      <c r="I1851" s="3"/>
      <c r="J1851" s="17"/>
      <c r="K1851" s="17"/>
      <c r="L1851" s="18"/>
      <c r="M1851" s="18"/>
      <c r="P1851" s="3"/>
      <c r="Q1851" s="4"/>
      <c r="R1851" s="19"/>
      <c r="S1851" s="20"/>
      <c r="U1851" s="3" t="str">
        <f t="shared" si="60"/>
        <v/>
      </c>
      <c r="V1851" s="4" t="str">
        <f t="shared" si="61"/>
        <v/>
      </c>
      <c r="W1851" s="21" t="e" cm="1">
        <f t="array" ref="W1851">_xlfn.IFS(
  A1851="BELL", "WHITE",
  A1851="GAMP", "ORANGE",
  A1851="GAMM", "GREEN",
  A1851="BWF", "YELLOW",
  OR(A1851="TNBE", A1851="TNBL", A1851="TNBD", A1851="TNWC", A1851="TNBW", A1851="THBS"), "PINK",
  A1851="CRWD", "BLUE",
  A1851="PASS", "WHITE"
)</f>
        <v>#N/A</v>
      </c>
    </row>
    <row r="1852" spans="1:23" x14ac:dyDescent="0.25">
      <c r="A1852" s="7"/>
      <c r="I1852" s="3"/>
      <c r="J1852" s="17"/>
      <c r="K1852" s="17"/>
      <c r="L1852" s="18"/>
      <c r="M1852" s="18"/>
      <c r="P1852" s="3"/>
      <c r="Q1852" s="4"/>
      <c r="R1852" s="19"/>
      <c r="S1852" s="20"/>
      <c r="U1852" s="3" t="str">
        <f t="shared" si="60"/>
        <v/>
      </c>
      <c r="V1852" s="4" t="str">
        <f t="shared" si="61"/>
        <v/>
      </c>
      <c r="W1852" s="21" t="e" cm="1">
        <f t="array" ref="W1852">_xlfn.IFS(
  A1852="BELL", "WHITE",
  A1852="GAMP", "ORANGE",
  A1852="GAMM", "GREEN",
  A1852="BWF", "YELLOW",
  OR(A1852="TNBE", A1852="TNBL", A1852="TNBD", A1852="TNWC", A1852="TNBW", A1852="THBS"), "PINK",
  A1852="CRWD", "BLUE",
  A1852="PASS", "WHITE"
)</f>
        <v>#N/A</v>
      </c>
    </row>
    <row r="1853" spans="1:23" x14ac:dyDescent="0.25">
      <c r="A1853" s="7"/>
      <c r="I1853" s="3"/>
      <c r="J1853" s="17"/>
      <c r="K1853" s="17"/>
      <c r="L1853" s="18"/>
      <c r="M1853" s="18"/>
      <c r="P1853" s="3"/>
      <c r="Q1853" s="4"/>
      <c r="R1853" s="19"/>
      <c r="S1853" s="20"/>
      <c r="U1853" s="3" t="str">
        <f t="shared" si="60"/>
        <v/>
      </c>
      <c r="V1853" s="4" t="str">
        <f t="shared" si="61"/>
        <v/>
      </c>
      <c r="W1853" s="21" t="e" cm="1">
        <f t="array" ref="W1853">_xlfn.IFS(
  A1853="BELL", "WHITE",
  A1853="GAMP", "ORANGE",
  A1853="GAMM", "GREEN",
  A1853="BWF", "YELLOW",
  OR(A1853="TNBE", A1853="TNBL", A1853="TNBD", A1853="TNWC", A1853="TNBW", A1853="THBS"), "PINK",
  A1853="CRWD", "BLUE",
  A1853="PASS", "WHITE"
)</f>
        <v>#N/A</v>
      </c>
    </row>
    <row r="1854" spans="1:23" x14ac:dyDescent="0.25">
      <c r="A1854" s="7"/>
      <c r="I1854" s="3"/>
      <c r="J1854" s="17"/>
      <c r="K1854" s="17"/>
      <c r="L1854" s="18"/>
      <c r="M1854" s="18"/>
      <c r="P1854" s="3"/>
      <c r="Q1854" s="4"/>
      <c r="R1854" s="19"/>
      <c r="S1854" s="20"/>
      <c r="U1854" s="3" t="str">
        <f t="shared" si="60"/>
        <v/>
      </c>
      <c r="V1854" s="4" t="str">
        <f t="shared" si="61"/>
        <v/>
      </c>
      <c r="W1854" s="21" t="e" cm="1">
        <f t="array" ref="W1854">_xlfn.IFS(
  A1854="BELL", "WHITE",
  A1854="GAMP", "ORANGE",
  A1854="GAMM", "GREEN",
  A1854="BWF", "YELLOW",
  OR(A1854="TNBE", A1854="TNBL", A1854="TNBD", A1854="TNWC", A1854="TNBW", A1854="THBS"), "PINK",
  A1854="CRWD", "BLUE",
  A1854="PASS", "WHITE"
)</f>
        <v>#N/A</v>
      </c>
    </row>
    <row r="1855" spans="1:23" x14ac:dyDescent="0.25">
      <c r="A1855" s="7"/>
      <c r="I1855" s="3"/>
      <c r="J1855" s="17"/>
      <c r="K1855" s="17"/>
      <c r="L1855" s="18"/>
      <c r="M1855" s="18"/>
      <c r="P1855" s="3"/>
      <c r="Q1855" s="4"/>
      <c r="R1855" s="19"/>
      <c r="S1855" s="20"/>
      <c r="U1855" s="3" t="str">
        <f t="shared" si="60"/>
        <v/>
      </c>
      <c r="V1855" s="4" t="str">
        <f t="shared" si="61"/>
        <v/>
      </c>
      <c r="W1855" s="21" t="e" cm="1">
        <f t="array" ref="W1855">_xlfn.IFS(
  A1855="BELL", "WHITE",
  A1855="GAMP", "ORANGE",
  A1855="GAMM", "GREEN",
  A1855="BWF", "YELLOW",
  OR(A1855="TNBE", A1855="TNBL", A1855="TNBD", A1855="TNWC", A1855="TNBW", A1855="THBS"), "PINK",
  A1855="CRWD", "BLUE",
  A1855="PASS", "WHITE"
)</f>
        <v>#N/A</v>
      </c>
    </row>
    <row r="1856" spans="1:23" x14ac:dyDescent="0.25">
      <c r="A1856" s="7"/>
      <c r="I1856" s="3"/>
      <c r="J1856" s="17"/>
      <c r="K1856" s="17"/>
      <c r="L1856" s="18"/>
      <c r="M1856" s="18"/>
      <c r="P1856" s="3"/>
      <c r="Q1856" s="4"/>
      <c r="R1856" s="19"/>
      <c r="S1856" s="20"/>
    </row>
  </sheetData>
  <autoFilter ref="A2:S1855" xr:uid="{00000000-0001-0000-0100-000000000000}"/>
  <conditionalFormatting sqref="B307">
    <cfRule type="duplicateValues" dxfId="80" priority="14"/>
    <cfRule type="duplicateValues" dxfId="79" priority="15"/>
    <cfRule type="duplicateValues" dxfId="78" priority="16"/>
  </conditionalFormatting>
  <conditionalFormatting sqref="B627">
    <cfRule type="duplicateValues" dxfId="77" priority="70"/>
    <cfRule type="duplicateValues" dxfId="76" priority="69"/>
    <cfRule type="duplicateValues" dxfId="75" priority="68"/>
  </conditionalFormatting>
  <conditionalFormatting sqref="B631">
    <cfRule type="duplicateValues" dxfId="74" priority="79"/>
  </conditionalFormatting>
  <conditionalFormatting sqref="B632">
    <cfRule type="duplicateValues" dxfId="73" priority="67"/>
  </conditionalFormatting>
  <conditionalFormatting sqref="B633">
    <cfRule type="duplicateValues" dxfId="72" priority="66"/>
  </conditionalFormatting>
  <conditionalFormatting sqref="B634">
    <cfRule type="duplicateValues" dxfId="71" priority="64"/>
  </conditionalFormatting>
  <conditionalFormatting sqref="B634:B636">
    <cfRule type="duplicateValues" dxfId="70" priority="65"/>
  </conditionalFormatting>
  <conditionalFormatting sqref="B636">
    <cfRule type="duplicateValues" dxfId="69" priority="63"/>
  </conditionalFormatting>
  <conditionalFormatting sqref="B644">
    <cfRule type="duplicateValues" dxfId="68" priority="42"/>
  </conditionalFormatting>
  <conditionalFormatting sqref="B654">
    <cfRule type="duplicateValues" dxfId="67" priority="23"/>
  </conditionalFormatting>
  <conditionalFormatting sqref="B655">
    <cfRule type="duplicateValues" dxfId="66" priority="22"/>
  </conditionalFormatting>
  <conditionalFormatting sqref="B656">
    <cfRule type="duplicateValues" dxfId="65" priority="21"/>
  </conditionalFormatting>
  <conditionalFormatting sqref="B657">
    <cfRule type="duplicateValues" dxfId="64" priority="20"/>
  </conditionalFormatting>
  <conditionalFormatting sqref="B658">
    <cfRule type="duplicateValues" dxfId="63" priority="19"/>
  </conditionalFormatting>
  <conditionalFormatting sqref="B659">
    <cfRule type="duplicateValues" dxfId="62" priority="18"/>
  </conditionalFormatting>
  <conditionalFormatting sqref="B660">
    <cfRule type="duplicateValues" dxfId="61" priority="17"/>
  </conditionalFormatting>
  <conditionalFormatting sqref="B663">
    <cfRule type="duplicateValues" dxfId="60" priority="13"/>
    <cfRule type="duplicateValues" dxfId="59" priority="12"/>
    <cfRule type="duplicateValues" dxfId="58" priority="11"/>
  </conditionalFormatting>
  <conditionalFormatting sqref="B750">
    <cfRule type="duplicateValues" dxfId="57" priority="62"/>
    <cfRule type="duplicateValues" dxfId="56" priority="61"/>
    <cfRule type="duplicateValues" dxfId="55" priority="60"/>
  </conditionalFormatting>
  <conditionalFormatting sqref="B751">
    <cfRule type="duplicateValues" dxfId="54" priority="59"/>
    <cfRule type="duplicateValues" dxfId="53" priority="58"/>
    <cfRule type="duplicateValues" dxfId="52" priority="57"/>
  </conditionalFormatting>
  <conditionalFormatting sqref="B761">
    <cfRule type="duplicateValues" dxfId="51" priority="40"/>
    <cfRule type="duplicateValues" dxfId="50" priority="39"/>
    <cfRule type="duplicateValues" dxfId="49" priority="41"/>
  </conditionalFormatting>
  <conditionalFormatting sqref="B932">
    <cfRule type="duplicateValues" dxfId="48" priority="54"/>
    <cfRule type="duplicateValues" dxfId="47" priority="55"/>
    <cfRule type="duplicateValues" dxfId="46" priority="56"/>
  </conditionalFormatting>
  <conditionalFormatting sqref="B933">
    <cfRule type="duplicateValues" dxfId="45" priority="52"/>
    <cfRule type="duplicateValues" dxfId="44" priority="53"/>
    <cfRule type="duplicateValues" dxfId="43" priority="51"/>
  </conditionalFormatting>
  <conditionalFormatting sqref="B934">
    <cfRule type="duplicateValues" dxfId="42" priority="49"/>
    <cfRule type="duplicateValues" dxfId="41" priority="48"/>
    <cfRule type="duplicateValues" dxfId="40" priority="50"/>
  </conditionalFormatting>
  <conditionalFormatting sqref="B974">
    <cfRule type="duplicateValues" dxfId="39" priority="4"/>
    <cfRule type="duplicateValues" dxfId="38" priority="5"/>
    <cfRule type="duplicateValues" dxfId="37" priority="6"/>
  </conditionalFormatting>
  <conditionalFormatting sqref="B975">
    <cfRule type="duplicateValues" dxfId="36" priority="3"/>
    <cfRule type="duplicateValues" dxfId="35" priority="2"/>
    <cfRule type="duplicateValues" dxfId="34" priority="1"/>
  </conditionalFormatting>
  <conditionalFormatting sqref="B982">
    <cfRule type="duplicateValues" dxfId="33" priority="36"/>
    <cfRule type="duplicateValues" dxfId="32" priority="35"/>
    <cfRule type="duplicateValues" dxfId="31" priority="34"/>
  </conditionalFormatting>
  <conditionalFormatting sqref="B983">
    <cfRule type="duplicateValues" dxfId="30" priority="33"/>
  </conditionalFormatting>
  <conditionalFormatting sqref="B1536">
    <cfRule type="duplicateValues" dxfId="29" priority="8"/>
    <cfRule type="duplicateValues" dxfId="28" priority="9"/>
    <cfRule type="duplicateValues" dxfId="27" priority="10"/>
  </conditionalFormatting>
  <conditionalFormatting sqref="B1570">
    <cfRule type="duplicateValues" dxfId="26" priority="75"/>
    <cfRule type="duplicateValues" dxfId="25" priority="74"/>
    <cfRule type="duplicateValues" dxfId="24" priority="76"/>
  </conditionalFormatting>
  <conditionalFormatting sqref="B1571">
    <cfRule type="duplicateValues" dxfId="23" priority="72"/>
    <cfRule type="duplicateValues" dxfId="22" priority="73"/>
    <cfRule type="duplicateValues" dxfId="21" priority="71"/>
  </conditionalFormatting>
  <conditionalFormatting sqref="B1744:B1747">
    <cfRule type="duplicateValues" dxfId="20" priority="27"/>
    <cfRule type="duplicateValues" dxfId="19" priority="26"/>
    <cfRule type="duplicateValues" dxfId="18" priority="25"/>
  </conditionalFormatting>
  <conditionalFormatting sqref="D243 D11:D13 D19:D20 D24:D25 D27:D29 D31:D33 D37:D39 D63:D64 D66:D67 D71:D72 D78:D82 D84:D87 D89:D91 D93:D152 D161:D162 D164:D167 D169:D175 D181:D184 D190:D191 D197:D219 D225:D233 D237:D241 D235 D245:D250 D223 D221 D195 D193 D188 D186 D179 D177 D159 D157 D76 D74 D69 D61 D59 D57 D55 D53 D51 D49 D47 D45 D43 D41 D35 D22 D17 D15 D9 D7 D5 D3 D154:D155">
    <cfRule type="duplicateValues" dxfId="17" priority="32"/>
  </conditionalFormatting>
  <conditionalFormatting sqref="D643">
    <cfRule type="duplicateValues" dxfId="16" priority="45"/>
  </conditionalFormatting>
  <conditionalFormatting sqref="D760">
    <cfRule type="duplicateValues" dxfId="15" priority="43"/>
  </conditionalFormatting>
  <conditionalFormatting sqref="D969:D973 D976:D983">
    <cfRule type="duplicateValues" dxfId="14" priority="80"/>
  </conditionalFormatting>
  <conditionalFormatting sqref="D1079">
    <cfRule type="expression" dxfId="13" priority="77" stopIfTrue="1">
      <formula>G1045&lt;#REF!</formula>
    </cfRule>
  </conditionalFormatting>
  <conditionalFormatting sqref="D1178:D1186">
    <cfRule type="duplicateValues" dxfId="12" priority="47"/>
  </conditionalFormatting>
  <conditionalFormatting sqref="D1294:D1333 D1337:D1459 D752:D759 D762:D968 D664:D749 D251:D306 D308:D389 D391:D642 D984:D1177 D1468:D1495 D1187:D1287 D1503:D1618">
    <cfRule type="duplicateValues" dxfId="11" priority="81"/>
  </conditionalFormatting>
  <conditionalFormatting sqref="D1461:D1465 D1467:E1467">
    <cfRule type="duplicateValues" dxfId="10" priority="30"/>
  </conditionalFormatting>
  <conditionalFormatting sqref="D1496:D1502">
    <cfRule type="duplicateValues" dxfId="9" priority="46"/>
  </conditionalFormatting>
  <conditionalFormatting sqref="D1707 D1710:D1747">
    <cfRule type="duplicateValues" dxfId="8" priority="29"/>
  </conditionalFormatting>
  <conditionalFormatting sqref="E208">
    <cfRule type="duplicateValues" dxfId="7" priority="31"/>
  </conditionalFormatting>
  <conditionalFormatting sqref="E515">
    <cfRule type="duplicateValues" dxfId="6" priority="78"/>
  </conditionalFormatting>
  <conditionalFormatting sqref="E643">
    <cfRule type="duplicateValues" dxfId="5" priority="44"/>
  </conditionalFormatting>
  <conditionalFormatting sqref="E743">
    <cfRule type="duplicateValues" dxfId="4" priority="38"/>
  </conditionalFormatting>
  <conditionalFormatting sqref="E982">
    <cfRule type="duplicateValues" dxfId="3" priority="37"/>
  </conditionalFormatting>
  <conditionalFormatting sqref="E1309">
    <cfRule type="duplicateValues" dxfId="2" priority="24"/>
  </conditionalFormatting>
  <conditionalFormatting sqref="E1536">
    <cfRule type="duplicateValues" dxfId="1" priority="7"/>
  </conditionalFormatting>
  <conditionalFormatting sqref="E1707 E1743">
    <cfRule type="duplicateValues" dxfId="0" priority="28"/>
  </conditionalFormatting>
  <printOptions horizontalCentered="1" verticalCentered="1"/>
  <pageMargins left="0" right="0" top="0" bottom="0" header="0" footer="0"/>
  <pageSetup paperSize="9" scale="85" orientation="landscape"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4FC10-7742-404A-87AD-BA5E27854BDF}">
  <sheetPr codeName="Sheet5">
    <tabColor rgb="FF00B050"/>
  </sheetPr>
  <dimension ref="A1:G251"/>
  <sheetViews>
    <sheetView tabSelected="1" zoomScale="115" zoomScaleNormal="115" workbookViewId="0">
      <selection activeCell="P15" sqref="P15"/>
    </sheetView>
  </sheetViews>
  <sheetFormatPr defaultRowHeight="15" x14ac:dyDescent="0.25"/>
  <cols>
    <col min="1" max="1" width="10" customWidth="1"/>
    <col min="2" max="2" width="13.85546875" style="2" customWidth="1"/>
    <col min="3" max="3" width="11.42578125" style="2" hidden="1" customWidth="1"/>
    <col min="5" max="5" width="9.140625" style="50" hidden="1" customWidth="1"/>
    <col min="6" max="6" width="13.42578125" style="4" hidden="1" customWidth="1"/>
    <col min="7" max="7" width="16.42578125" style="4" hidden="1" customWidth="1"/>
  </cols>
  <sheetData>
    <row r="1" spans="1:7" x14ac:dyDescent="0.25">
      <c r="A1" s="49" t="s">
        <v>28</v>
      </c>
      <c r="B1" s="49" t="s">
        <v>27</v>
      </c>
      <c r="C1" s="49" t="s">
        <v>31</v>
      </c>
      <c r="E1" s="52" t="s">
        <v>28</v>
      </c>
      <c r="F1" s="51" t="s">
        <v>26</v>
      </c>
      <c r="G1" t="s">
        <v>30</v>
      </c>
    </row>
    <row r="2" spans="1:7" x14ac:dyDescent="0.25">
      <c r="A2" s="48">
        <v>1</v>
      </c>
      <c r="B2" s="2">
        <v>1</v>
      </c>
      <c r="C2" s="2">
        <f>IF(B2="","",1)</f>
        <v>1</v>
      </c>
      <c r="E2" s="50">
        <v>1</v>
      </c>
      <c r="F2" s="1">
        <v>1</v>
      </c>
      <c r="G2">
        <v>5</v>
      </c>
    </row>
    <row r="3" spans="1:7" x14ac:dyDescent="0.25">
      <c r="A3" s="48">
        <v>2</v>
      </c>
      <c r="B3" s="2">
        <v>1</v>
      </c>
      <c r="C3" s="2">
        <f t="shared" ref="C3:C66" si="0">IF(B3="","",1)</f>
        <v>1</v>
      </c>
      <c r="E3" s="50">
        <v>2</v>
      </c>
      <c r="F3" s="1" t="s">
        <v>29</v>
      </c>
      <c r="G3">
        <v>0</v>
      </c>
    </row>
    <row r="4" spans="1:7" x14ac:dyDescent="0.25">
      <c r="A4" s="48">
        <v>3</v>
      </c>
      <c r="B4" s="2">
        <v>1</v>
      </c>
      <c r="C4" s="2">
        <f t="shared" si="0"/>
        <v>1</v>
      </c>
      <c r="E4" s="50">
        <v>3</v>
      </c>
      <c r="F4" s="1" t="s">
        <v>25</v>
      </c>
      <c r="G4">
        <v>5</v>
      </c>
    </row>
    <row r="5" spans="1:7" x14ac:dyDescent="0.25">
      <c r="A5" s="48">
        <v>4</v>
      </c>
      <c r="B5" s="2">
        <v>1</v>
      </c>
      <c r="C5" s="2">
        <f t="shared" si="0"/>
        <v>1</v>
      </c>
      <c r="E5" s="50">
        <v>4</v>
      </c>
      <c r="F5"/>
      <c r="G5"/>
    </row>
    <row r="6" spans="1:7" x14ac:dyDescent="0.25">
      <c r="A6" s="48">
        <v>5</v>
      </c>
      <c r="B6" s="2">
        <v>1</v>
      </c>
      <c r="C6" s="2">
        <f t="shared" si="0"/>
        <v>1</v>
      </c>
      <c r="E6" s="50">
        <v>5</v>
      </c>
      <c r="F6"/>
      <c r="G6"/>
    </row>
    <row r="7" spans="1:7" x14ac:dyDescent="0.25">
      <c r="A7" s="48">
        <v>6</v>
      </c>
      <c r="C7" s="2" t="str">
        <f t="shared" si="0"/>
        <v/>
      </c>
      <c r="E7" s="50">
        <v>6</v>
      </c>
      <c r="F7"/>
      <c r="G7"/>
    </row>
    <row r="8" spans="1:7" x14ac:dyDescent="0.25">
      <c r="A8" s="48">
        <v>7</v>
      </c>
      <c r="C8" s="2" t="str">
        <f t="shared" si="0"/>
        <v/>
      </c>
      <c r="E8" s="50">
        <v>7</v>
      </c>
      <c r="F8"/>
      <c r="G8"/>
    </row>
    <row r="9" spans="1:7" x14ac:dyDescent="0.25">
      <c r="A9" s="48">
        <v>8</v>
      </c>
      <c r="C9" s="2" t="str">
        <f t="shared" si="0"/>
        <v/>
      </c>
      <c r="E9" s="50">
        <v>8</v>
      </c>
      <c r="F9"/>
      <c r="G9"/>
    </row>
    <row r="10" spans="1:7" x14ac:dyDescent="0.25">
      <c r="A10" s="48">
        <v>9</v>
      </c>
      <c r="C10" s="2" t="str">
        <f t="shared" si="0"/>
        <v/>
      </c>
      <c r="E10" s="50">
        <v>9</v>
      </c>
      <c r="F10"/>
      <c r="G10"/>
    </row>
    <row r="11" spans="1:7" x14ac:dyDescent="0.25">
      <c r="A11" s="48">
        <v>10</v>
      </c>
      <c r="C11" s="2" t="str">
        <f t="shared" si="0"/>
        <v/>
      </c>
      <c r="E11" s="50">
        <v>10</v>
      </c>
      <c r="F11"/>
      <c r="G11"/>
    </row>
    <row r="12" spans="1:7" x14ac:dyDescent="0.25">
      <c r="A12" s="48">
        <v>11</v>
      </c>
      <c r="C12" s="2" t="str">
        <f t="shared" si="0"/>
        <v/>
      </c>
      <c r="E12" s="50">
        <v>11</v>
      </c>
      <c r="F12"/>
      <c r="G12"/>
    </row>
    <row r="13" spans="1:7" x14ac:dyDescent="0.25">
      <c r="A13" s="48">
        <v>12</v>
      </c>
      <c r="C13" s="2" t="str">
        <f t="shared" si="0"/>
        <v/>
      </c>
      <c r="E13" s="50">
        <v>12</v>
      </c>
      <c r="F13"/>
      <c r="G13"/>
    </row>
    <row r="14" spans="1:7" x14ac:dyDescent="0.25">
      <c r="A14" s="48">
        <v>13</v>
      </c>
      <c r="C14" s="2" t="str">
        <f t="shared" si="0"/>
        <v/>
      </c>
      <c r="E14" s="50">
        <v>13</v>
      </c>
      <c r="F14"/>
      <c r="G14"/>
    </row>
    <row r="15" spans="1:7" x14ac:dyDescent="0.25">
      <c r="A15" s="48">
        <v>14</v>
      </c>
      <c r="C15" s="2" t="str">
        <f t="shared" si="0"/>
        <v/>
      </c>
      <c r="E15" s="50">
        <v>14</v>
      </c>
      <c r="F15"/>
      <c r="G15"/>
    </row>
    <row r="16" spans="1:7" x14ac:dyDescent="0.25">
      <c r="A16" s="48">
        <v>15</v>
      </c>
      <c r="C16" s="2" t="str">
        <f t="shared" si="0"/>
        <v/>
      </c>
      <c r="E16" s="50">
        <v>15</v>
      </c>
      <c r="F16"/>
      <c r="G16"/>
    </row>
    <row r="17" spans="1:7" x14ac:dyDescent="0.25">
      <c r="A17" s="48">
        <v>16</v>
      </c>
      <c r="C17" s="2" t="str">
        <f t="shared" si="0"/>
        <v/>
      </c>
      <c r="E17" s="50">
        <v>16</v>
      </c>
      <c r="F17"/>
      <c r="G17"/>
    </row>
    <row r="18" spans="1:7" x14ac:dyDescent="0.25">
      <c r="A18" s="48">
        <v>17</v>
      </c>
      <c r="C18" s="2" t="str">
        <f t="shared" si="0"/>
        <v/>
      </c>
      <c r="E18" s="50">
        <v>17</v>
      </c>
      <c r="F18"/>
      <c r="G18"/>
    </row>
    <row r="19" spans="1:7" x14ac:dyDescent="0.25">
      <c r="A19" s="48">
        <v>18</v>
      </c>
      <c r="C19" s="2" t="str">
        <f t="shared" si="0"/>
        <v/>
      </c>
      <c r="E19" s="50">
        <v>18</v>
      </c>
      <c r="F19"/>
      <c r="G19"/>
    </row>
    <row r="20" spans="1:7" x14ac:dyDescent="0.25">
      <c r="A20" s="48">
        <v>19</v>
      </c>
      <c r="C20" s="2" t="str">
        <f t="shared" si="0"/>
        <v/>
      </c>
      <c r="E20" s="50">
        <v>19</v>
      </c>
      <c r="F20"/>
      <c r="G20"/>
    </row>
    <row r="21" spans="1:7" x14ac:dyDescent="0.25">
      <c r="A21" s="48">
        <v>20</v>
      </c>
      <c r="C21" s="2" t="str">
        <f t="shared" si="0"/>
        <v/>
      </c>
      <c r="E21" s="50">
        <v>20</v>
      </c>
      <c r="F21"/>
      <c r="G21"/>
    </row>
    <row r="22" spans="1:7" x14ac:dyDescent="0.25">
      <c r="A22" s="48">
        <v>21</v>
      </c>
      <c r="C22" s="2" t="str">
        <f t="shared" si="0"/>
        <v/>
      </c>
      <c r="E22" s="50">
        <v>21</v>
      </c>
      <c r="F22"/>
      <c r="G22"/>
    </row>
    <row r="23" spans="1:7" x14ac:dyDescent="0.25">
      <c r="A23" s="48">
        <v>22</v>
      </c>
      <c r="C23" s="2" t="str">
        <f t="shared" si="0"/>
        <v/>
      </c>
      <c r="E23" s="50">
        <v>22</v>
      </c>
      <c r="F23"/>
      <c r="G23"/>
    </row>
    <row r="24" spans="1:7" x14ac:dyDescent="0.25">
      <c r="A24" s="48">
        <v>23</v>
      </c>
      <c r="C24" s="2" t="str">
        <f t="shared" si="0"/>
        <v/>
      </c>
      <c r="E24" s="50">
        <v>23</v>
      </c>
      <c r="F24"/>
      <c r="G24"/>
    </row>
    <row r="25" spans="1:7" x14ac:dyDescent="0.25">
      <c r="A25" s="48">
        <v>24</v>
      </c>
      <c r="C25" s="2" t="str">
        <f t="shared" si="0"/>
        <v/>
      </c>
      <c r="E25" s="50">
        <v>24</v>
      </c>
      <c r="F25"/>
      <c r="G25"/>
    </row>
    <row r="26" spans="1:7" x14ac:dyDescent="0.25">
      <c r="A26" s="48">
        <v>25</v>
      </c>
      <c r="C26" s="2" t="str">
        <f t="shared" si="0"/>
        <v/>
      </c>
      <c r="E26" s="50">
        <v>25</v>
      </c>
      <c r="F26"/>
      <c r="G26"/>
    </row>
    <row r="27" spans="1:7" x14ac:dyDescent="0.25">
      <c r="A27" s="48">
        <v>26</v>
      </c>
      <c r="B27" s="4"/>
      <c r="C27" s="2" t="str">
        <f t="shared" si="0"/>
        <v/>
      </c>
      <c r="E27" s="50">
        <v>26</v>
      </c>
      <c r="F27"/>
      <c r="G27"/>
    </row>
    <row r="28" spans="1:7" x14ac:dyDescent="0.25">
      <c r="A28" s="48">
        <v>27</v>
      </c>
      <c r="B28" s="4"/>
      <c r="C28" s="2" t="str">
        <f t="shared" si="0"/>
        <v/>
      </c>
      <c r="E28" s="50">
        <v>27</v>
      </c>
      <c r="F28"/>
      <c r="G28"/>
    </row>
    <row r="29" spans="1:7" x14ac:dyDescent="0.25">
      <c r="A29" s="48">
        <v>28</v>
      </c>
      <c r="B29" s="4"/>
      <c r="C29" s="2" t="str">
        <f t="shared" si="0"/>
        <v/>
      </c>
      <c r="E29" s="50">
        <v>28</v>
      </c>
      <c r="F29"/>
      <c r="G29"/>
    </row>
    <row r="30" spans="1:7" x14ac:dyDescent="0.25">
      <c r="A30" s="48">
        <v>29</v>
      </c>
      <c r="B30" s="4"/>
      <c r="C30" s="2" t="str">
        <f t="shared" si="0"/>
        <v/>
      </c>
      <c r="E30" s="50">
        <v>29</v>
      </c>
      <c r="F30"/>
      <c r="G30"/>
    </row>
    <row r="31" spans="1:7" x14ac:dyDescent="0.25">
      <c r="A31" s="48">
        <v>30</v>
      </c>
      <c r="B31" s="4"/>
      <c r="C31" s="2" t="str">
        <f t="shared" si="0"/>
        <v/>
      </c>
      <c r="E31" s="50">
        <v>30</v>
      </c>
      <c r="F31"/>
      <c r="G31"/>
    </row>
    <row r="32" spans="1:7" x14ac:dyDescent="0.25">
      <c r="A32" s="48">
        <v>31</v>
      </c>
      <c r="B32" s="4"/>
      <c r="C32" s="2" t="str">
        <f t="shared" si="0"/>
        <v/>
      </c>
      <c r="E32" s="50">
        <v>31</v>
      </c>
      <c r="F32"/>
      <c r="G32"/>
    </row>
    <row r="33" spans="1:7" x14ac:dyDescent="0.25">
      <c r="A33" s="48">
        <v>32</v>
      </c>
      <c r="B33" s="4"/>
      <c r="C33" s="2" t="str">
        <f t="shared" si="0"/>
        <v/>
      </c>
      <c r="E33" s="50">
        <v>32</v>
      </c>
      <c r="F33"/>
      <c r="G33"/>
    </row>
    <row r="34" spans="1:7" x14ac:dyDescent="0.25">
      <c r="A34" s="48">
        <v>33</v>
      </c>
      <c r="B34" s="4"/>
      <c r="C34" s="2" t="str">
        <f t="shared" si="0"/>
        <v/>
      </c>
      <c r="E34" s="50">
        <v>33</v>
      </c>
      <c r="F34"/>
      <c r="G34"/>
    </row>
    <row r="35" spans="1:7" x14ac:dyDescent="0.25">
      <c r="A35" s="48">
        <v>34</v>
      </c>
      <c r="B35" s="4"/>
      <c r="C35" s="2" t="str">
        <f t="shared" si="0"/>
        <v/>
      </c>
      <c r="E35" s="50">
        <v>34</v>
      </c>
      <c r="F35"/>
      <c r="G35"/>
    </row>
    <row r="36" spans="1:7" x14ac:dyDescent="0.25">
      <c r="A36" s="48">
        <v>35</v>
      </c>
      <c r="B36" s="4"/>
      <c r="C36" s="2" t="str">
        <f t="shared" si="0"/>
        <v/>
      </c>
      <c r="E36" s="50">
        <v>35</v>
      </c>
      <c r="F36"/>
      <c r="G36"/>
    </row>
    <row r="37" spans="1:7" x14ac:dyDescent="0.25">
      <c r="A37" s="48">
        <v>36</v>
      </c>
      <c r="B37" s="4"/>
      <c r="C37" s="2" t="str">
        <f t="shared" si="0"/>
        <v/>
      </c>
      <c r="E37" s="50">
        <v>36</v>
      </c>
      <c r="F37"/>
      <c r="G37"/>
    </row>
    <row r="38" spans="1:7" x14ac:dyDescent="0.25">
      <c r="A38" s="48">
        <v>37</v>
      </c>
      <c r="B38" s="4"/>
      <c r="C38" s="2" t="str">
        <f t="shared" si="0"/>
        <v/>
      </c>
      <c r="E38" s="50">
        <v>37</v>
      </c>
      <c r="F38"/>
      <c r="G38"/>
    </row>
    <row r="39" spans="1:7" x14ac:dyDescent="0.25">
      <c r="A39" s="48">
        <v>38</v>
      </c>
      <c r="B39" s="4"/>
      <c r="C39" s="2" t="str">
        <f t="shared" si="0"/>
        <v/>
      </c>
      <c r="E39" s="50">
        <v>38</v>
      </c>
      <c r="F39"/>
      <c r="G39"/>
    </row>
    <row r="40" spans="1:7" x14ac:dyDescent="0.25">
      <c r="A40" s="48">
        <v>39</v>
      </c>
      <c r="B40" s="4"/>
      <c r="C40" s="2" t="str">
        <f t="shared" si="0"/>
        <v/>
      </c>
      <c r="E40" s="50">
        <v>39</v>
      </c>
      <c r="F40"/>
      <c r="G40"/>
    </row>
    <row r="41" spans="1:7" x14ac:dyDescent="0.25">
      <c r="A41" s="48">
        <v>40</v>
      </c>
      <c r="B41" s="4"/>
      <c r="C41" s="2" t="str">
        <f t="shared" si="0"/>
        <v/>
      </c>
      <c r="E41" s="50">
        <v>40</v>
      </c>
      <c r="F41"/>
      <c r="G41"/>
    </row>
    <row r="42" spans="1:7" x14ac:dyDescent="0.25">
      <c r="A42" s="48">
        <v>41</v>
      </c>
      <c r="B42" s="4"/>
      <c r="C42" s="2" t="str">
        <f t="shared" si="0"/>
        <v/>
      </c>
      <c r="E42" s="50">
        <v>41</v>
      </c>
      <c r="F42"/>
      <c r="G42"/>
    </row>
    <row r="43" spans="1:7" x14ac:dyDescent="0.25">
      <c r="A43" s="48">
        <v>42</v>
      </c>
      <c r="B43" s="4"/>
      <c r="C43" s="2" t="str">
        <f t="shared" si="0"/>
        <v/>
      </c>
      <c r="E43" s="50">
        <v>42</v>
      </c>
      <c r="F43"/>
      <c r="G43"/>
    </row>
    <row r="44" spans="1:7" x14ac:dyDescent="0.25">
      <c r="A44" s="48">
        <v>43</v>
      </c>
      <c r="B44" s="4"/>
      <c r="C44" s="2" t="str">
        <f t="shared" si="0"/>
        <v/>
      </c>
      <c r="E44" s="50">
        <v>43</v>
      </c>
      <c r="F44"/>
      <c r="G44"/>
    </row>
    <row r="45" spans="1:7" x14ac:dyDescent="0.25">
      <c r="A45" s="48">
        <v>44</v>
      </c>
      <c r="B45" s="4"/>
      <c r="C45" s="2" t="str">
        <f t="shared" si="0"/>
        <v/>
      </c>
      <c r="E45" s="50">
        <v>44</v>
      </c>
      <c r="F45"/>
      <c r="G45"/>
    </row>
    <row r="46" spans="1:7" x14ac:dyDescent="0.25">
      <c r="A46" s="48">
        <v>45</v>
      </c>
      <c r="B46" s="4"/>
      <c r="C46" s="2" t="str">
        <f t="shared" si="0"/>
        <v/>
      </c>
      <c r="E46" s="50">
        <v>45</v>
      </c>
      <c r="F46"/>
      <c r="G46"/>
    </row>
    <row r="47" spans="1:7" x14ac:dyDescent="0.25">
      <c r="A47" s="48">
        <v>46</v>
      </c>
      <c r="B47" s="4"/>
      <c r="C47" s="2" t="str">
        <f t="shared" si="0"/>
        <v/>
      </c>
      <c r="E47" s="50">
        <v>46</v>
      </c>
      <c r="F47"/>
      <c r="G47"/>
    </row>
    <row r="48" spans="1:7" x14ac:dyDescent="0.25">
      <c r="A48" s="48">
        <v>47</v>
      </c>
      <c r="B48" s="4"/>
      <c r="C48" s="2" t="str">
        <f t="shared" si="0"/>
        <v/>
      </c>
      <c r="E48" s="50">
        <v>47</v>
      </c>
      <c r="F48"/>
      <c r="G48"/>
    </row>
    <row r="49" spans="1:7" x14ac:dyDescent="0.25">
      <c r="A49" s="48">
        <v>48</v>
      </c>
      <c r="B49" s="4"/>
      <c r="C49" s="2" t="str">
        <f t="shared" si="0"/>
        <v/>
      </c>
      <c r="E49" s="50">
        <v>48</v>
      </c>
      <c r="F49"/>
      <c r="G49"/>
    </row>
    <row r="50" spans="1:7" x14ac:dyDescent="0.25">
      <c r="A50" s="48">
        <v>49</v>
      </c>
      <c r="B50" s="4"/>
      <c r="C50" s="2" t="str">
        <f t="shared" si="0"/>
        <v/>
      </c>
      <c r="E50" s="50">
        <v>49</v>
      </c>
      <c r="F50"/>
      <c r="G50"/>
    </row>
    <row r="51" spans="1:7" x14ac:dyDescent="0.25">
      <c r="A51" s="48">
        <v>50</v>
      </c>
      <c r="B51" s="4"/>
      <c r="C51" s="2" t="str">
        <f t="shared" si="0"/>
        <v/>
      </c>
      <c r="E51" s="50">
        <v>50</v>
      </c>
      <c r="F51"/>
      <c r="G51"/>
    </row>
    <row r="52" spans="1:7" x14ac:dyDescent="0.25">
      <c r="A52" s="48">
        <v>51</v>
      </c>
      <c r="B52" s="4"/>
      <c r="C52" s="2" t="str">
        <f t="shared" si="0"/>
        <v/>
      </c>
      <c r="E52" s="50">
        <v>51</v>
      </c>
      <c r="F52"/>
      <c r="G52"/>
    </row>
    <row r="53" spans="1:7" x14ac:dyDescent="0.25">
      <c r="A53" s="48">
        <v>52</v>
      </c>
      <c r="B53" s="4"/>
      <c r="C53" s="2" t="str">
        <f t="shared" si="0"/>
        <v/>
      </c>
      <c r="E53" s="50">
        <v>52</v>
      </c>
      <c r="F53"/>
      <c r="G53"/>
    </row>
    <row r="54" spans="1:7" x14ac:dyDescent="0.25">
      <c r="A54" s="48">
        <v>53</v>
      </c>
      <c r="B54" s="4"/>
      <c r="C54" s="2" t="str">
        <f t="shared" si="0"/>
        <v/>
      </c>
      <c r="E54" s="50">
        <v>53</v>
      </c>
      <c r="F54"/>
      <c r="G54"/>
    </row>
    <row r="55" spans="1:7" x14ac:dyDescent="0.25">
      <c r="A55" s="48">
        <v>54</v>
      </c>
      <c r="B55" s="4"/>
      <c r="C55" s="2" t="str">
        <f t="shared" si="0"/>
        <v/>
      </c>
      <c r="E55" s="50">
        <v>54</v>
      </c>
      <c r="F55"/>
      <c r="G55"/>
    </row>
    <row r="56" spans="1:7" x14ac:dyDescent="0.25">
      <c r="A56" s="48">
        <v>55</v>
      </c>
      <c r="B56" s="4"/>
      <c r="C56" s="2" t="str">
        <f t="shared" si="0"/>
        <v/>
      </c>
      <c r="E56" s="50">
        <v>55</v>
      </c>
      <c r="F56"/>
      <c r="G56"/>
    </row>
    <row r="57" spans="1:7" x14ac:dyDescent="0.25">
      <c r="A57" s="48">
        <v>56</v>
      </c>
      <c r="C57" s="2" t="str">
        <f t="shared" si="0"/>
        <v/>
      </c>
      <c r="E57" s="50">
        <v>56</v>
      </c>
      <c r="F57"/>
      <c r="G57"/>
    </row>
    <row r="58" spans="1:7" x14ac:dyDescent="0.25">
      <c r="A58" s="48">
        <v>57</v>
      </c>
      <c r="B58" s="4"/>
      <c r="C58" s="2" t="str">
        <f t="shared" si="0"/>
        <v/>
      </c>
      <c r="E58" s="50">
        <v>57</v>
      </c>
      <c r="F58"/>
      <c r="G58"/>
    </row>
    <row r="59" spans="1:7" x14ac:dyDescent="0.25">
      <c r="A59" s="48">
        <v>58</v>
      </c>
      <c r="C59" s="2" t="str">
        <f t="shared" si="0"/>
        <v/>
      </c>
      <c r="E59" s="50">
        <v>58</v>
      </c>
      <c r="F59"/>
      <c r="G59"/>
    </row>
    <row r="60" spans="1:7" x14ac:dyDescent="0.25">
      <c r="A60" s="48">
        <v>59</v>
      </c>
      <c r="C60" s="2" t="str">
        <f t="shared" si="0"/>
        <v/>
      </c>
      <c r="E60" s="50">
        <v>59</v>
      </c>
      <c r="F60"/>
      <c r="G60"/>
    </row>
    <row r="61" spans="1:7" x14ac:dyDescent="0.25">
      <c r="A61" s="48">
        <v>60</v>
      </c>
      <c r="C61" s="2" t="str">
        <f t="shared" si="0"/>
        <v/>
      </c>
      <c r="E61" s="50">
        <v>60</v>
      </c>
      <c r="F61"/>
      <c r="G61"/>
    </row>
    <row r="62" spans="1:7" x14ac:dyDescent="0.25">
      <c r="A62" s="48">
        <v>61</v>
      </c>
      <c r="C62" s="2" t="str">
        <f t="shared" si="0"/>
        <v/>
      </c>
      <c r="E62" s="50">
        <v>61</v>
      </c>
      <c r="F62"/>
      <c r="G62"/>
    </row>
    <row r="63" spans="1:7" x14ac:dyDescent="0.25">
      <c r="A63" s="48">
        <v>62</v>
      </c>
      <c r="C63" s="2" t="str">
        <f t="shared" si="0"/>
        <v/>
      </c>
      <c r="E63" s="50">
        <v>62</v>
      </c>
      <c r="F63"/>
      <c r="G63"/>
    </row>
    <row r="64" spans="1:7" x14ac:dyDescent="0.25">
      <c r="A64" s="48">
        <v>63</v>
      </c>
      <c r="C64" s="2" t="str">
        <f t="shared" si="0"/>
        <v/>
      </c>
      <c r="E64" s="50">
        <v>63</v>
      </c>
      <c r="F64"/>
      <c r="G64"/>
    </row>
    <row r="65" spans="1:7" x14ac:dyDescent="0.25">
      <c r="A65" s="48">
        <v>64</v>
      </c>
      <c r="C65" s="2" t="str">
        <f t="shared" si="0"/>
        <v/>
      </c>
      <c r="E65" s="50">
        <v>64</v>
      </c>
      <c r="F65"/>
      <c r="G65"/>
    </row>
    <row r="66" spans="1:7" x14ac:dyDescent="0.25">
      <c r="A66" s="48">
        <v>65</v>
      </c>
      <c r="C66" s="2" t="str">
        <f t="shared" si="0"/>
        <v/>
      </c>
      <c r="E66" s="50">
        <v>65</v>
      </c>
      <c r="F66"/>
      <c r="G66"/>
    </row>
    <row r="67" spans="1:7" x14ac:dyDescent="0.25">
      <c r="A67" s="48">
        <v>66</v>
      </c>
      <c r="C67" s="2" t="str">
        <f t="shared" ref="C67:C130" si="1">IF(B67="","",1)</f>
        <v/>
      </c>
      <c r="E67" s="50">
        <v>66</v>
      </c>
      <c r="F67"/>
      <c r="G67"/>
    </row>
    <row r="68" spans="1:7" x14ac:dyDescent="0.25">
      <c r="A68" s="48">
        <v>67</v>
      </c>
      <c r="C68" s="2" t="str">
        <f t="shared" si="1"/>
        <v/>
      </c>
      <c r="E68" s="50">
        <v>67</v>
      </c>
      <c r="F68"/>
      <c r="G68"/>
    </row>
    <row r="69" spans="1:7" x14ac:dyDescent="0.25">
      <c r="A69" s="48">
        <v>68</v>
      </c>
      <c r="C69" s="2" t="str">
        <f t="shared" si="1"/>
        <v/>
      </c>
      <c r="E69" s="50">
        <v>68</v>
      </c>
      <c r="F69"/>
      <c r="G69"/>
    </row>
    <row r="70" spans="1:7" x14ac:dyDescent="0.25">
      <c r="A70" s="48">
        <v>69</v>
      </c>
      <c r="C70" s="2" t="str">
        <f t="shared" si="1"/>
        <v/>
      </c>
      <c r="E70" s="50">
        <v>69</v>
      </c>
      <c r="F70"/>
      <c r="G70"/>
    </row>
    <row r="71" spans="1:7" x14ac:dyDescent="0.25">
      <c r="A71" s="48">
        <v>70</v>
      </c>
      <c r="C71" s="2" t="str">
        <f t="shared" si="1"/>
        <v/>
      </c>
      <c r="E71" s="50">
        <v>70</v>
      </c>
      <c r="F71"/>
      <c r="G71"/>
    </row>
    <row r="72" spans="1:7" x14ac:dyDescent="0.25">
      <c r="A72" s="48">
        <v>71</v>
      </c>
      <c r="C72" s="2" t="str">
        <f t="shared" si="1"/>
        <v/>
      </c>
      <c r="E72" s="50">
        <v>71</v>
      </c>
      <c r="F72"/>
      <c r="G72"/>
    </row>
    <row r="73" spans="1:7" x14ac:dyDescent="0.25">
      <c r="A73" s="48">
        <v>72</v>
      </c>
      <c r="C73" s="2" t="str">
        <f t="shared" si="1"/>
        <v/>
      </c>
      <c r="E73" s="50">
        <v>72</v>
      </c>
      <c r="F73"/>
      <c r="G73"/>
    </row>
    <row r="74" spans="1:7" x14ac:dyDescent="0.25">
      <c r="A74" s="48">
        <v>73</v>
      </c>
      <c r="C74" s="2" t="str">
        <f t="shared" si="1"/>
        <v/>
      </c>
      <c r="E74" s="50">
        <v>73</v>
      </c>
      <c r="F74"/>
      <c r="G74"/>
    </row>
    <row r="75" spans="1:7" x14ac:dyDescent="0.25">
      <c r="A75" s="48">
        <v>74</v>
      </c>
      <c r="C75" s="2" t="str">
        <f t="shared" si="1"/>
        <v/>
      </c>
      <c r="E75" s="50">
        <v>74</v>
      </c>
      <c r="F75"/>
      <c r="G75"/>
    </row>
    <row r="76" spans="1:7" x14ac:dyDescent="0.25">
      <c r="A76" s="48">
        <v>75</v>
      </c>
      <c r="C76" s="2" t="str">
        <f t="shared" si="1"/>
        <v/>
      </c>
      <c r="E76" s="50">
        <v>75</v>
      </c>
      <c r="F76"/>
      <c r="G76"/>
    </row>
    <row r="77" spans="1:7" x14ac:dyDescent="0.25">
      <c r="A77" s="48">
        <v>76</v>
      </c>
      <c r="C77" s="2" t="str">
        <f t="shared" si="1"/>
        <v/>
      </c>
      <c r="E77" s="50">
        <v>76</v>
      </c>
      <c r="F77"/>
      <c r="G77"/>
    </row>
    <row r="78" spans="1:7" x14ac:dyDescent="0.25">
      <c r="A78" s="48">
        <v>77</v>
      </c>
      <c r="C78" s="2" t="str">
        <f t="shared" si="1"/>
        <v/>
      </c>
      <c r="E78" s="50">
        <v>77</v>
      </c>
      <c r="F78"/>
      <c r="G78"/>
    </row>
    <row r="79" spans="1:7" x14ac:dyDescent="0.25">
      <c r="A79" s="48">
        <v>78</v>
      </c>
      <c r="C79" s="2" t="str">
        <f t="shared" si="1"/>
        <v/>
      </c>
      <c r="E79" s="50">
        <v>78</v>
      </c>
      <c r="F79"/>
      <c r="G79"/>
    </row>
    <row r="80" spans="1:7" x14ac:dyDescent="0.25">
      <c r="A80" s="48">
        <v>79</v>
      </c>
      <c r="C80" s="2" t="str">
        <f t="shared" si="1"/>
        <v/>
      </c>
      <c r="E80" s="50">
        <v>79</v>
      </c>
      <c r="F80"/>
      <c r="G80"/>
    </row>
    <row r="81" spans="1:7" x14ac:dyDescent="0.25">
      <c r="A81" s="48">
        <v>80</v>
      </c>
      <c r="C81" s="2" t="str">
        <f t="shared" si="1"/>
        <v/>
      </c>
      <c r="E81" s="50">
        <v>80</v>
      </c>
      <c r="F81"/>
      <c r="G81"/>
    </row>
    <row r="82" spans="1:7" x14ac:dyDescent="0.25">
      <c r="A82" s="48">
        <v>81</v>
      </c>
      <c r="C82" s="2" t="str">
        <f t="shared" si="1"/>
        <v/>
      </c>
      <c r="E82" s="50">
        <v>81</v>
      </c>
      <c r="F82"/>
      <c r="G82"/>
    </row>
    <row r="83" spans="1:7" x14ac:dyDescent="0.25">
      <c r="A83" s="48">
        <v>82</v>
      </c>
      <c r="C83" s="2" t="str">
        <f t="shared" si="1"/>
        <v/>
      </c>
      <c r="E83" s="50">
        <v>82</v>
      </c>
      <c r="F83"/>
      <c r="G83"/>
    </row>
    <row r="84" spans="1:7" x14ac:dyDescent="0.25">
      <c r="A84" s="48">
        <v>83</v>
      </c>
      <c r="C84" s="2" t="str">
        <f t="shared" si="1"/>
        <v/>
      </c>
      <c r="E84" s="50">
        <v>83</v>
      </c>
      <c r="F84"/>
      <c r="G84"/>
    </row>
    <row r="85" spans="1:7" x14ac:dyDescent="0.25">
      <c r="A85" s="48">
        <v>84</v>
      </c>
      <c r="C85" s="2" t="str">
        <f t="shared" si="1"/>
        <v/>
      </c>
      <c r="E85" s="50">
        <v>84</v>
      </c>
      <c r="F85"/>
      <c r="G85"/>
    </row>
    <row r="86" spans="1:7" x14ac:dyDescent="0.25">
      <c r="A86" s="48">
        <v>85</v>
      </c>
      <c r="C86" s="2" t="str">
        <f t="shared" si="1"/>
        <v/>
      </c>
      <c r="E86" s="50">
        <v>85</v>
      </c>
      <c r="F86"/>
      <c r="G86"/>
    </row>
    <row r="87" spans="1:7" x14ac:dyDescent="0.25">
      <c r="A87" s="48">
        <v>86</v>
      </c>
      <c r="C87" s="2" t="str">
        <f t="shared" si="1"/>
        <v/>
      </c>
      <c r="E87" s="50">
        <v>86</v>
      </c>
      <c r="F87"/>
      <c r="G87"/>
    </row>
    <row r="88" spans="1:7" x14ac:dyDescent="0.25">
      <c r="A88" s="48">
        <v>87</v>
      </c>
      <c r="C88" s="2" t="str">
        <f t="shared" si="1"/>
        <v/>
      </c>
      <c r="E88" s="50">
        <v>87</v>
      </c>
      <c r="F88"/>
      <c r="G88"/>
    </row>
    <row r="89" spans="1:7" x14ac:dyDescent="0.25">
      <c r="A89" s="48">
        <v>88</v>
      </c>
      <c r="C89" s="2" t="str">
        <f t="shared" si="1"/>
        <v/>
      </c>
      <c r="E89" s="50">
        <v>88</v>
      </c>
      <c r="F89"/>
      <c r="G89"/>
    </row>
    <row r="90" spans="1:7" x14ac:dyDescent="0.25">
      <c r="A90" s="48">
        <v>89</v>
      </c>
      <c r="C90" s="2" t="str">
        <f t="shared" si="1"/>
        <v/>
      </c>
      <c r="E90" s="50">
        <v>89</v>
      </c>
      <c r="F90"/>
      <c r="G90"/>
    </row>
    <row r="91" spans="1:7" x14ac:dyDescent="0.25">
      <c r="A91" s="48">
        <v>90</v>
      </c>
      <c r="C91" s="2" t="str">
        <f t="shared" si="1"/>
        <v/>
      </c>
      <c r="E91" s="50">
        <v>90</v>
      </c>
      <c r="F91"/>
      <c r="G91"/>
    </row>
    <row r="92" spans="1:7" x14ac:dyDescent="0.25">
      <c r="A92" s="48">
        <v>91</v>
      </c>
      <c r="C92" s="2" t="str">
        <f t="shared" si="1"/>
        <v/>
      </c>
      <c r="E92" s="50">
        <v>91</v>
      </c>
      <c r="F92"/>
      <c r="G92"/>
    </row>
    <row r="93" spans="1:7" x14ac:dyDescent="0.25">
      <c r="A93" s="48">
        <v>92</v>
      </c>
      <c r="C93" s="2" t="str">
        <f t="shared" si="1"/>
        <v/>
      </c>
      <c r="E93" s="50">
        <v>92</v>
      </c>
      <c r="F93"/>
      <c r="G93"/>
    </row>
    <row r="94" spans="1:7" x14ac:dyDescent="0.25">
      <c r="A94" s="48">
        <v>93</v>
      </c>
      <c r="C94" s="2" t="str">
        <f t="shared" si="1"/>
        <v/>
      </c>
      <c r="E94" s="50">
        <v>93</v>
      </c>
      <c r="F94"/>
      <c r="G94"/>
    </row>
    <row r="95" spans="1:7" x14ac:dyDescent="0.25">
      <c r="A95" s="48">
        <v>94</v>
      </c>
      <c r="C95" s="2" t="str">
        <f t="shared" si="1"/>
        <v/>
      </c>
      <c r="E95" s="50">
        <v>94</v>
      </c>
      <c r="F95"/>
      <c r="G95"/>
    </row>
    <row r="96" spans="1:7" x14ac:dyDescent="0.25">
      <c r="A96" s="48">
        <v>95</v>
      </c>
      <c r="C96" s="2" t="str">
        <f t="shared" si="1"/>
        <v/>
      </c>
      <c r="E96" s="50">
        <v>95</v>
      </c>
      <c r="F96"/>
      <c r="G96"/>
    </row>
    <row r="97" spans="1:7" x14ac:dyDescent="0.25">
      <c r="A97" s="48">
        <v>96</v>
      </c>
      <c r="B97" s="4"/>
      <c r="C97" s="2" t="str">
        <f t="shared" si="1"/>
        <v/>
      </c>
      <c r="E97" s="50">
        <v>96</v>
      </c>
      <c r="F97"/>
      <c r="G97"/>
    </row>
    <row r="98" spans="1:7" x14ac:dyDescent="0.25">
      <c r="A98" s="48">
        <v>97</v>
      </c>
      <c r="B98" s="4"/>
      <c r="C98" s="2" t="str">
        <f t="shared" si="1"/>
        <v/>
      </c>
      <c r="E98" s="50">
        <v>97</v>
      </c>
      <c r="F98"/>
      <c r="G98"/>
    </row>
    <row r="99" spans="1:7" x14ac:dyDescent="0.25">
      <c r="A99" s="48">
        <v>98</v>
      </c>
      <c r="B99" s="4"/>
      <c r="C99" s="2" t="str">
        <f t="shared" si="1"/>
        <v/>
      </c>
      <c r="E99" s="50">
        <v>98</v>
      </c>
      <c r="F99"/>
      <c r="G99"/>
    </row>
    <row r="100" spans="1:7" x14ac:dyDescent="0.25">
      <c r="A100" s="48">
        <v>99</v>
      </c>
      <c r="B100" s="4"/>
      <c r="C100" s="2" t="str">
        <f t="shared" si="1"/>
        <v/>
      </c>
      <c r="E100" s="50">
        <v>99</v>
      </c>
      <c r="F100"/>
      <c r="G100"/>
    </row>
    <row r="101" spans="1:7" x14ac:dyDescent="0.25">
      <c r="A101" s="48">
        <v>100</v>
      </c>
      <c r="B101" s="4"/>
      <c r="C101" s="2" t="str">
        <f t="shared" si="1"/>
        <v/>
      </c>
      <c r="E101" s="50">
        <v>100</v>
      </c>
      <c r="F101"/>
      <c r="G101"/>
    </row>
    <row r="102" spans="1:7" x14ac:dyDescent="0.25">
      <c r="A102" s="48">
        <v>101</v>
      </c>
      <c r="B102" s="4"/>
      <c r="C102" s="2" t="str">
        <f t="shared" si="1"/>
        <v/>
      </c>
      <c r="E102" s="50">
        <v>101</v>
      </c>
      <c r="F102"/>
      <c r="G102"/>
    </row>
    <row r="103" spans="1:7" x14ac:dyDescent="0.25">
      <c r="A103" s="48">
        <v>102</v>
      </c>
      <c r="B103" s="4"/>
      <c r="C103" s="2" t="str">
        <f t="shared" si="1"/>
        <v/>
      </c>
      <c r="E103" s="50">
        <v>102</v>
      </c>
      <c r="F103"/>
      <c r="G103"/>
    </row>
    <row r="104" spans="1:7" x14ac:dyDescent="0.25">
      <c r="A104" s="48">
        <v>103</v>
      </c>
      <c r="B104" s="4"/>
      <c r="C104" s="2" t="str">
        <f t="shared" si="1"/>
        <v/>
      </c>
      <c r="E104" s="50">
        <v>103</v>
      </c>
      <c r="F104"/>
      <c r="G104"/>
    </row>
    <row r="105" spans="1:7" x14ac:dyDescent="0.25">
      <c r="A105" s="48">
        <v>104</v>
      </c>
      <c r="B105" s="4"/>
      <c r="C105" s="2" t="str">
        <f t="shared" si="1"/>
        <v/>
      </c>
      <c r="E105" s="50">
        <v>104</v>
      </c>
      <c r="F105"/>
      <c r="G105"/>
    </row>
    <row r="106" spans="1:7" x14ac:dyDescent="0.25">
      <c r="A106" s="48">
        <v>105</v>
      </c>
      <c r="B106" s="4"/>
      <c r="C106" s="2" t="str">
        <f t="shared" si="1"/>
        <v/>
      </c>
      <c r="E106" s="50">
        <v>105</v>
      </c>
      <c r="F106"/>
      <c r="G106"/>
    </row>
    <row r="107" spans="1:7" x14ac:dyDescent="0.25">
      <c r="A107" s="48">
        <v>106</v>
      </c>
      <c r="B107" s="4"/>
      <c r="C107" s="2" t="str">
        <f t="shared" si="1"/>
        <v/>
      </c>
      <c r="E107" s="50">
        <v>106</v>
      </c>
      <c r="F107"/>
      <c r="G107"/>
    </row>
    <row r="108" spans="1:7" x14ac:dyDescent="0.25">
      <c r="A108" s="48">
        <v>107</v>
      </c>
      <c r="B108" s="4"/>
      <c r="C108" s="2" t="str">
        <f t="shared" si="1"/>
        <v/>
      </c>
      <c r="E108" s="50">
        <v>107</v>
      </c>
      <c r="F108"/>
      <c r="G108"/>
    </row>
    <row r="109" spans="1:7" x14ac:dyDescent="0.25">
      <c r="A109" s="48">
        <v>108</v>
      </c>
      <c r="B109" s="4"/>
      <c r="C109" s="2" t="str">
        <f t="shared" si="1"/>
        <v/>
      </c>
      <c r="E109" s="50">
        <v>108</v>
      </c>
      <c r="F109"/>
      <c r="G109"/>
    </row>
    <row r="110" spans="1:7" x14ac:dyDescent="0.25">
      <c r="A110" s="48">
        <v>109</v>
      </c>
      <c r="B110" s="4"/>
      <c r="C110" s="2" t="str">
        <f t="shared" si="1"/>
        <v/>
      </c>
      <c r="E110" s="50">
        <v>109</v>
      </c>
      <c r="F110"/>
      <c r="G110"/>
    </row>
    <row r="111" spans="1:7" x14ac:dyDescent="0.25">
      <c r="A111" s="48">
        <v>110</v>
      </c>
      <c r="B111" s="4"/>
      <c r="C111" s="2" t="str">
        <f t="shared" si="1"/>
        <v/>
      </c>
      <c r="E111" s="50">
        <v>110</v>
      </c>
      <c r="F111"/>
      <c r="G111"/>
    </row>
    <row r="112" spans="1:7" x14ac:dyDescent="0.25">
      <c r="A112" s="48">
        <v>111</v>
      </c>
      <c r="B112" s="4"/>
      <c r="C112" s="2" t="str">
        <f t="shared" si="1"/>
        <v/>
      </c>
      <c r="E112" s="50">
        <v>111</v>
      </c>
    </row>
    <row r="113" spans="1:5" x14ac:dyDescent="0.25">
      <c r="A113" s="48">
        <v>112</v>
      </c>
      <c r="B113" s="4"/>
      <c r="C113" s="2" t="str">
        <f t="shared" si="1"/>
        <v/>
      </c>
      <c r="E113" s="50">
        <v>112</v>
      </c>
    </row>
    <row r="114" spans="1:5" x14ac:dyDescent="0.25">
      <c r="A114" s="48">
        <v>113</v>
      </c>
      <c r="B114" s="4"/>
      <c r="C114" s="2" t="str">
        <f t="shared" si="1"/>
        <v/>
      </c>
      <c r="E114" s="50">
        <v>113</v>
      </c>
    </row>
    <row r="115" spans="1:5" x14ac:dyDescent="0.25">
      <c r="A115" s="48">
        <v>114</v>
      </c>
      <c r="B115" s="4"/>
      <c r="C115" s="2" t="str">
        <f t="shared" si="1"/>
        <v/>
      </c>
      <c r="E115" s="50">
        <v>114</v>
      </c>
    </row>
    <row r="116" spans="1:5" x14ac:dyDescent="0.25">
      <c r="A116" s="48">
        <v>115</v>
      </c>
      <c r="B116" s="4"/>
      <c r="C116" s="2" t="str">
        <f t="shared" si="1"/>
        <v/>
      </c>
      <c r="E116" s="50">
        <v>115</v>
      </c>
    </row>
    <row r="117" spans="1:5" x14ac:dyDescent="0.25">
      <c r="A117" s="48">
        <v>116</v>
      </c>
      <c r="B117" s="4"/>
      <c r="C117" s="2" t="str">
        <f t="shared" si="1"/>
        <v/>
      </c>
      <c r="E117" s="50">
        <v>116</v>
      </c>
    </row>
    <row r="118" spans="1:5" x14ac:dyDescent="0.25">
      <c r="A118" s="48">
        <v>117</v>
      </c>
      <c r="B118" s="4"/>
      <c r="C118" s="2" t="str">
        <f t="shared" si="1"/>
        <v/>
      </c>
      <c r="E118" s="50">
        <v>117</v>
      </c>
    </row>
    <row r="119" spans="1:5" x14ac:dyDescent="0.25">
      <c r="A119" s="48">
        <v>118</v>
      </c>
      <c r="B119" s="4"/>
      <c r="C119" s="2" t="str">
        <f t="shared" si="1"/>
        <v/>
      </c>
      <c r="E119" s="50">
        <v>118</v>
      </c>
    </row>
    <row r="120" spans="1:5" x14ac:dyDescent="0.25">
      <c r="A120" s="48">
        <v>119</v>
      </c>
      <c r="B120" s="4"/>
      <c r="C120" s="2" t="str">
        <f t="shared" si="1"/>
        <v/>
      </c>
      <c r="E120" s="50">
        <v>119</v>
      </c>
    </row>
    <row r="121" spans="1:5" x14ac:dyDescent="0.25">
      <c r="A121" s="48">
        <v>120</v>
      </c>
      <c r="B121" s="4"/>
      <c r="C121" s="2" t="str">
        <f t="shared" si="1"/>
        <v/>
      </c>
      <c r="E121" s="50">
        <v>120</v>
      </c>
    </row>
    <row r="122" spans="1:5" x14ac:dyDescent="0.25">
      <c r="A122" s="48">
        <v>121</v>
      </c>
      <c r="B122" s="4"/>
      <c r="C122" s="2" t="str">
        <f t="shared" si="1"/>
        <v/>
      </c>
      <c r="E122" s="50">
        <v>121</v>
      </c>
    </row>
    <row r="123" spans="1:5" x14ac:dyDescent="0.25">
      <c r="A123" s="48">
        <v>122</v>
      </c>
      <c r="B123" s="4"/>
      <c r="C123" s="2" t="str">
        <f t="shared" si="1"/>
        <v/>
      </c>
      <c r="E123" s="50">
        <v>122</v>
      </c>
    </row>
    <row r="124" spans="1:5" x14ac:dyDescent="0.25">
      <c r="A124" s="48">
        <v>123</v>
      </c>
      <c r="B124" s="4"/>
      <c r="C124" s="2" t="str">
        <f t="shared" si="1"/>
        <v/>
      </c>
      <c r="E124" s="50">
        <v>123</v>
      </c>
    </row>
    <row r="125" spans="1:5" x14ac:dyDescent="0.25">
      <c r="A125" s="48">
        <v>124</v>
      </c>
      <c r="B125" s="4"/>
      <c r="C125" s="2" t="str">
        <f t="shared" si="1"/>
        <v/>
      </c>
      <c r="E125" s="50">
        <v>124</v>
      </c>
    </row>
    <row r="126" spans="1:5" x14ac:dyDescent="0.25">
      <c r="A126" s="48">
        <v>125</v>
      </c>
      <c r="B126" s="4"/>
      <c r="C126" s="2" t="str">
        <f t="shared" si="1"/>
        <v/>
      </c>
      <c r="E126" s="50">
        <v>125</v>
      </c>
    </row>
    <row r="127" spans="1:5" x14ac:dyDescent="0.25">
      <c r="A127" s="48">
        <v>126</v>
      </c>
      <c r="B127" s="4"/>
      <c r="C127" s="2" t="str">
        <f t="shared" si="1"/>
        <v/>
      </c>
      <c r="E127" s="50">
        <v>126</v>
      </c>
    </row>
    <row r="128" spans="1:5" x14ac:dyDescent="0.25">
      <c r="A128" s="48">
        <v>127</v>
      </c>
      <c r="B128" s="4"/>
      <c r="C128" s="2" t="str">
        <f t="shared" si="1"/>
        <v/>
      </c>
      <c r="E128" s="50">
        <v>127</v>
      </c>
    </row>
    <row r="129" spans="1:5" x14ac:dyDescent="0.25">
      <c r="A129" s="48">
        <v>128</v>
      </c>
      <c r="B129" s="4"/>
      <c r="C129" s="2" t="str">
        <f t="shared" si="1"/>
        <v/>
      </c>
      <c r="E129" s="50">
        <v>128</v>
      </c>
    </row>
    <row r="130" spans="1:5" x14ac:dyDescent="0.25">
      <c r="A130" s="48">
        <v>129</v>
      </c>
      <c r="B130" s="4"/>
      <c r="C130" s="2" t="str">
        <f t="shared" si="1"/>
        <v/>
      </c>
      <c r="E130" s="50">
        <v>129</v>
      </c>
    </row>
    <row r="131" spans="1:5" x14ac:dyDescent="0.25">
      <c r="A131" s="48">
        <v>130</v>
      </c>
      <c r="B131" s="4"/>
      <c r="C131" s="2" t="str">
        <f t="shared" ref="C131:C194" si="2">IF(B131="","",1)</f>
        <v/>
      </c>
      <c r="E131" s="50">
        <v>130</v>
      </c>
    </row>
    <row r="132" spans="1:5" x14ac:dyDescent="0.25">
      <c r="A132" s="48">
        <v>131</v>
      </c>
      <c r="B132" s="4"/>
      <c r="C132" s="2" t="str">
        <f t="shared" si="2"/>
        <v/>
      </c>
      <c r="E132" s="50">
        <v>131</v>
      </c>
    </row>
    <row r="133" spans="1:5" x14ac:dyDescent="0.25">
      <c r="A133" s="48">
        <v>132</v>
      </c>
      <c r="B133" s="4"/>
      <c r="C133" s="2" t="str">
        <f t="shared" si="2"/>
        <v/>
      </c>
      <c r="E133" s="50">
        <v>132</v>
      </c>
    </row>
    <row r="134" spans="1:5" x14ac:dyDescent="0.25">
      <c r="A134" s="48">
        <v>133</v>
      </c>
      <c r="B134" s="4"/>
      <c r="C134" s="2" t="str">
        <f t="shared" si="2"/>
        <v/>
      </c>
      <c r="E134" s="50">
        <v>133</v>
      </c>
    </row>
    <row r="135" spans="1:5" x14ac:dyDescent="0.25">
      <c r="A135" s="48">
        <v>134</v>
      </c>
      <c r="B135" s="4"/>
      <c r="C135" s="2" t="str">
        <f t="shared" si="2"/>
        <v/>
      </c>
      <c r="E135" s="50">
        <v>134</v>
      </c>
    </row>
    <row r="136" spans="1:5" x14ac:dyDescent="0.25">
      <c r="A136" s="48">
        <v>135</v>
      </c>
      <c r="B136" s="4"/>
      <c r="C136" s="2" t="str">
        <f t="shared" si="2"/>
        <v/>
      </c>
      <c r="E136" s="50">
        <v>135</v>
      </c>
    </row>
    <row r="137" spans="1:5" x14ac:dyDescent="0.25">
      <c r="A137" s="48">
        <v>136</v>
      </c>
      <c r="B137" s="4"/>
      <c r="C137" s="2" t="str">
        <f t="shared" si="2"/>
        <v/>
      </c>
      <c r="E137" s="50">
        <v>136</v>
      </c>
    </row>
    <row r="138" spans="1:5" x14ac:dyDescent="0.25">
      <c r="A138" s="48">
        <v>137</v>
      </c>
      <c r="B138" s="4"/>
      <c r="C138" s="2" t="str">
        <f t="shared" si="2"/>
        <v/>
      </c>
      <c r="E138" s="50">
        <v>137</v>
      </c>
    </row>
    <row r="139" spans="1:5" x14ac:dyDescent="0.25">
      <c r="A139" s="48">
        <v>138</v>
      </c>
      <c r="B139" s="4"/>
      <c r="C139" s="2" t="str">
        <f t="shared" si="2"/>
        <v/>
      </c>
      <c r="E139" s="50">
        <v>138</v>
      </c>
    </row>
    <row r="140" spans="1:5" x14ac:dyDescent="0.25">
      <c r="A140" s="48">
        <v>139</v>
      </c>
      <c r="B140" s="4"/>
      <c r="C140" s="2" t="str">
        <f t="shared" si="2"/>
        <v/>
      </c>
      <c r="E140" s="50">
        <v>139</v>
      </c>
    </row>
    <row r="141" spans="1:5" x14ac:dyDescent="0.25">
      <c r="A141" s="48">
        <v>140</v>
      </c>
      <c r="B141" s="4"/>
      <c r="C141" s="2" t="str">
        <f t="shared" si="2"/>
        <v/>
      </c>
      <c r="E141" s="50">
        <v>140</v>
      </c>
    </row>
    <row r="142" spans="1:5" x14ac:dyDescent="0.25">
      <c r="A142" s="48">
        <v>141</v>
      </c>
      <c r="B142" s="4"/>
      <c r="C142" s="2" t="str">
        <f t="shared" si="2"/>
        <v/>
      </c>
      <c r="E142" s="50">
        <v>141</v>
      </c>
    </row>
    <row r="143" spans="1:5" x14ac:dyDescent="0.25">
      <c r="A143" s="48">
        <v>142</v>
      </c>
      <c r="B143" s="4"/>
      <c r="C143" s="2" t="str">
        <f t="shared" si="2"/>
        <v/>
      </c>
      <c r="E143" s="50">
        <v>142</v>
      </c>
    </row>
    <row r="144" spans="1:5" x14ac:dyDescent="0.25">
      <c r="A144" s="48">
        <v>143</v>
      </c>
      <c r="B144" s="4"/>
      <c r="C144" s="2" t="str">
        <f t="shared" si="2"/>
        <v/>
      </c>
      <c r="E144" s="50">
        <v>143</v>
      </c>
    </row>
    <row r="145" spans="1:5" x14ac:dyDescent="0.25">
      <c r="A145" s="48">
        <v>144</v>
      </c>
      <c r="B145" s="4"/>
      <c r="C145" s="2" t="str">
        <f t="shared" si="2"/>
        <v/>
      </c>
      <c r="E145" s="50">
        <v>144</v>
      </c>
    </row>
    <row r="146" spans="1:5" x14ac:dyDescent="0.25">
      <c r="A146" s="48">
        <v>145</v>
      </c>
      <c r="B146" s="4"/>
      <c r="C146" s="2" t="str">
        <f t="shared" si="2"/>
        <v/>
      </c>
      <c r="E146" s="50">
        <v>145</v>
      </c>
    </row>
    <row r="147" spans="1:5" x14ac:dyDescent="0.25">
      <c r="A147" s="48">
        <v>146</v>
      </c>
      <c r="B147" s="4"/>
      <c r="C147" s="2" t="str">
        <f t="shared" si="2"/>
        <v/>
      </c>
      <c r="E147" s="50">
        <v>146</v>
      </c>
    </row>
    <row r="148" spans="1:5" x14ac:dyDescent="0.25">
      <c r="A148" s="48">
        <v>147</v>
      </c>
      <c r="B148" s="4"/>
      <c r="C148" s="2" t="str">
        <f t="shared" si="2"/>
        <v/>
      </c>
      <c r="E148" s="50">
        <v>147</v>
      </c>
    </row>
    <row r="149" spans="1:5" x14ac:dyDescent="0.25">
      <c r="A149" s="48">
        <v>148</v>
      </c>
      <c r="B149" s="4"/>
      <c r="C149" s="2" t="str">
        <f t="shared" si="2"/>
        <v/>
      </c>
      <c r="E149" s="50">
        <v>148</v>
      </c>
    </row>
    <row r="150" spans="1:5" x14ac:dyDescent="0.25">
      <c r="A150" s="48">
        <v>149</v>
      </c>
      <c r="B150" s="4"/>
      <c r="C150" s="2" t="str">
        <f t="shared" si="2"/>
        <v/>
      </c>
      <c r="E150" s="50">
        <v>149</v>
      </c>
    </row>
    <row r="151" spans="1:5" x14ac:dyDescent="0.25">
      <c r="A151" s="48">
        <v>150</v>
      </c>
      <c r="B151" s="4"/>
      <c r="C151" s="2" t="str">
        <f t="shared" si="2"/>
        <v/>
      </c>
      <c r="E151" s="50">
        <v>150</v>
      </c>
    </row>
    <row r="152" spans="1:5" x14ac:dyDescent="0.25">
      <c r="A152" s="48">
        <v>151</v>
      </c>
      <c r="B152" s="4"/>
      <c r="C152" s="2" t="str">
        <f t="shared" si="2"/>
        <v/>
      </c>
      <c r="E152" s="50">
        <v>151</v>
      </c>
    </row>
    <row r="153" spans="1:5" x14ac:dyDescent="0.25">
      <c r="A153" s="48">
        <v>152</v>
      </c>
      <c r="B153" s="4"/>
      <c r="C153" s="2" t="str">
        <f t="shared" si="2"/>
        <v/>
      </c>
      <c r="E153" s="50">
        <v>152</v>
      </c>
    </row>
    <row r="154" spans="1:5" x14ac:dyDescent="0.25">
      <c r="A154" s="48">
        <v>153</v>
      </c>
      <c r="B154" s="4"/>
      <c r="C154" s="2" t="str">
        <f t="shared" si="2"/>
        <v/>
      </c>
      <c r="E154" s="50">
        <v>153</v>
      </c>
    </row>
    <row r="155" spans="1:5" x14ac:dyDescent="0.25">
      <c r="A155" s="48">
        <v>154</v>
      </c>
      <c r="B155" s="4"/>
      <c r="C155" s="2" t="str">
        <f t="shared" si="2"/>
        <v/>
      </c>
      <c r="E155" s="50">
        <v>154</v>
      </c>
    </row>
    <row r="156" spans="1:5" x14ac:dyDescent="0.25">
      <c r="A156" s="48">
        <v>155</v>
      </c>
      <c r="B156" s="4"/>
      <c r="C156" s="2" t="str">
        <f t="shared" si="2"/>
        <v/>
      </c>
      <c r="E156" s="50">
        <v>155</v>
      </c>
    </row>
    <row r="157" spans="1:5" x14ac:dyDescent="0.25">
      <c r="A157" s="48">
        <v>156</v>
      </c>
      <c r="B157" s="4"/>
      <c r="C157" s="2" t="str">
        <f t="shared" si="2"/>
        <v/>
      </c>
      <c r="E157" s="50">
        <v>156</v>
      </c>
    </row>
    <row r="158" spans="1:5" x14ac:dyDescent="0.25">
      <c r="A158" s="48">
        <v>157</v>
      </c>
      <c r="B158" s="4"/>
      <c r="C158" s="2" t="str">
        <f t="shared" si="2"/>
        <v/>
      </c>
      <c r="E158" s="50">
        <v>157</v>
      </c>
    </row>
    <row r="159" spans="1:5" x14ac:dyDescent="0.25">
      <c r="A159" s="48">
        <v>158</v>
      </c>
      <c r="B159" s="4"/>
      <c r="C159" s="2" t="str">
        <f t="shared" si="2"/>
        <v/>
      </c>
      <c r="E159" s="50">
        <v>158</v>
      </c>
    </row>
    <row r="160" spans="1:5" x14ac:dyDescent="0.25">
      <c r="A160" s="48">
        <v>159</v>
      </c>
      <c r="B160" s="4"/>
      <c r="C160" s="2" t="str">
        <f t="shared" si="2"/>
        <v/>
      </c>
      <c r="E160" s="50">
        <v>159</v>
      </c>
    </row>
    <row r="161" spans="1:5" x14ac:dyDescent="0.25">
      <c r="A161" s="48">
        <v>160</v>
      </c>
      <c r="B161" s="4"/>
      <c r="C161" s="2" t="str">
        <f t="shared" si="2"/>
        <v/>
      </c>
      <c r="E161" s="50">
        <v>160</v>
      </c>
    </row>
    <row r="162" spans="1:5" x14ac:dyDescent="0.25">
      <c r="A162" s="48">
        <v>161</v>
      </c>
      <c r="B162" s="4"/>
      <c r="C162" s="2" t="str">
        <f t="shared" si="2"/>
        <v/>
      </c>
      <c r="E162" s="50">
        <v>161</v>
      </c>
    </row>
    <row r="163" spans="1:5" x14ac:dyDescent="0.25">
      <c r="A163" s="48">
        <v>162</v>
      </c>
      <c r="B163" s="4"/>
      <c r="C163" s="2" t="str">
        <f t="shared" si="2"/>
        <v/>
      </c>
      <c r="E163" s="50">
        <v>162</v>
      </c>
    </row>
    <row r="164" spans="1:5" x14ac:dyDescent="0.25">
      <c r="A164" s="48">
        <v>163</v>
      </c>
      <c r="B164" s="4"/>
      <c r="C164" s="2" t="str">
        <f t="shared" si="2"/>
        <v/>
      </c>
      <c r="E164" s="50">
        <v>163</v>
      </c>
    </row>
    <row r="165" spans="1:5" x14ac:dyDescent="0.25">
      <c r="A165" s="48">
        <v>164</v>
      </c>
      <c r="B165" s="4"/>
      <c r="C165" s="2" t="str">
        <f t="shared" si="2"/>
        <v/>
      </c>
      <c r="E165" s="50">
        <v>164</v>
      </c>
    </row>
    <row r="166" spans="1:5" x14ac:dyDescent="0.25">
      <c r="A166" s="48">
        <v>165</v>
      </c>
      <c r="B166" s="4"/>
      <c r="C166" s="2" t="str">
        <f t="shared" si="2"/>
        <v/>
      </c>
      <c r="E166" s="50">
        <v>165</v>
      </c>
    </row>
    <row r="167" spans="1:5" x14ac:dyDescent="0.25">
      <c r="A167" s="48">
        <v>166</v>
      </c>
      <c r="B167" s="4"/>
      <c r="C167" s="2" t="str">
        <f t="shared" si="2"/>
        <v/>
      </c>
      <c r="E167" s="50">
        <v>166</v>
      </c>
    </row>
    <row r="168" spans="1:5" x14ac:dyDescent="0.25">
      <c r="A168" s="48">
        <v>167</v>
      </c>
      <c r="B168" s="4"/>
      <c r="C168" s="2" t="str">
        <f t="shared" si="2"/>
        <v/>
      </c>
      <c r="E168" s="50">
        <v>167</v>
      </c>
    </row>
    <row r="169" spans="1:5" x14ac:dyDescent="0.25">
      <c r="A169" s="48">
        <v>168</v>
      </c>
      <c r="B169" s="4"/>
      <c r="C169" s="2" t="str">
        <f t="shared" si="2"/>
        <v/>
      </c>
      <c r="E169" s="50">
        <v>168</v>
      </c>
    </row>
    <row r="170" spans="1:5" x14ac:dyDescent="0.25">
      <c r="A170" s="48">
        <v>169</v>
      </c>
      <c r="B170" s="4"/>
      <c r="C170" s="2" t="str">
        <f t="shared" si="2"/>
        <v/>
      </c>
      <c r="E170" s="50">
        <v>169</v>
      </c>
    </row>
    <row r="171" spans="1:5" x14ac:dyDescent="0.25">
      <c r="A171" s="48">
        <v>170</v>
      </c>
      <c r="B171" s="4"/>
      <c r="C171" s="2" t="str">
        <f t="shared" si="2"/>
        <v/>
      </c>
      <c r="E171" s="50">
        <v>170</v>
      </c>
    </row>
    <row r="172" spans="1:5" x14ac:dyDescent="0.25">
      <c r="A172" s="48">
        <v>171</v>
      </c>
      <c r="B172" s="4"/>
      <c r="C172" s="2" t="str">
        <f t="shared" si="2"/>
        <v/>
      </c>
      <c r="E172" s="50">
        <v>171</v>
      </c>
    </row>
    <row r="173" spans="1:5" x14ac:dyDescent="0.25">
      <c r="A173" s="48">
        <v>172</v>
      </c>
      <c r="B173" s="4"/>
      <c r="C173" s="2" t="str">
        <f t="shared" si="2"/>
        <v/>
      </c>
      <c r="E173" s="50">
        <v>172</v>
      </c>
    </row>
    <row r="174" spans="1:5" x14ac:dyDescent="0.25">
      <c r="A174" s="48">
        <v>173</v>
      </c>
      <c r="B174" s="4"/>
      <c r="C174" s="2" t="str">
        <f t="shared" si="2"/>
        <v/>
      </c>
      <c r="E174" s="50">
        <v>173</v>
      </c>
    </row>
    <row r="175" spans="1:5" x14ac:dyDescent="0.25">
      <c r="A175" s="48">
        <v>174</v>
      </c>
      <c r="B175" s="4"/>
      <c r="C175" s="2" t="str">
        <f t="shared" si="2"/>
        <v/>
      </c>
      <c r="E175" s="50">
        <v>174</v>
      </c>
    </row>
    <row r="176" spans="1:5" x14ac:dyDescent="0.25">
      <c r="A176" s="48">
        <v>175</v>
      </c>
      <c r="B176" s="4"/>
      <c r="C176" s="2" t="str">
        <f t="shared" si="2"/>
        <v/>
      </c>
      <c r="E176" s="50">
        <v>175</v>
      </c>
    </row>
    <row r="177" spans="1:5" x14ac:dyDescent="0.25">
      <c r="A177" s="48">
        <v>176</v>
      </c>
      <c r="B177" s="4"/>
      <c r="C177" s="2" t="str">
        <f t="shared" si="2"/>
        <v/>
      </c>
      <c r="E177" s="50">
        <v>176</v>
      </c>
    </row>
    <row r="178" spans="1:5" x14ac:dyDescent="0.25">
      <c r="A178" s="48">
        <v>177</v>
      </c>
      <c r="B178" s="4"/>
      <c r="C178" s="2" t="str">
        <f t="shared" si="2"/>
        <v/>
      </c>
      <c r="E178" s="50">
        <v>177</v>
      </c>
    </row>
    <row r="179" spans="1:5" x14ac:dyDescent="0.25">
      <c r="A179" s="48">
        <v>178</v>
      </c>
      <c r="B179" s="4"/>
      <c r="C179" s="2" t="str">
        <f t="shared" si="2"/>
        <v/>
      </c>
      <c r="E179" s="50">
        <v>178</v>
      </c>
    </row>
    <row r="180" spans="1:5" x14ac:dyDescent="0.25">
      <c r="A180" s="48">
        <v>179</v>
      </c>
      <c r="B180" s="4"/>
      <c r="C180" s="2" t="str">
        <f t="shared" si="2"/>
        <v/>
      </c>
      <c r="E180" s="50">
        <v>179</v>
      </c>
    </row>
    <row r="181" spans="1:5" x14ac:dyDescent="0.25">
      <c r="A181" s="48">
        <v>180</v>
      </c>
      <c r="B181" s="4"/>
      <c r="C181" s="2" t="str">
        <f t="shared" si="2"/>
        <v/>
      </c>
      <c r="E181" s="50">
        <v>180</v>
      </c>
    </row>
    <row r="182" spans="1:5" x14ac:dyDescent="0.25">
      <c r="A182" s="48">
        <v>181</v>
      </c>
      <c r="B182" s="4"/>
      <c r="C182" s="2" t="str">
        <f t="shared" si="2"/>
        <v/>
      </c>
      <c r="E182" s="50">
        <v>181</v>
      </c>
    </row>
    <row r="183" spans="1:5" x14ac:dyDescent="0.25">
      <c r="A183" s="48">
        <v>182</v>
      </c>
      <c r="B183" s="4"/>
      <c r="C183" s="2" t="str">
        <f t="shared" si="2"/>
        <v/>
      </c>
      <c r="E183" s="50">
        <v>182</v>
      </c>
    </row>
    <row r="184" spans="1:5" x14ac:dyDescent="0.25">
      <c r="A184" s="48">
        <v>183</v>
      </c>
      <c r="B184" s="4"/>
      <c r="C184" s="2" t="str">
        <f t="shared" si="2"/>
        <v/>
      </c>
      <c r="E184" s="50">
        <v>183</v>
      </c>
    </row>
    <row r="185" spans="1:5" x14ac:dyDescent="0.25">
      <c r="A185" s="48">
        <v>184</v>
      </c>
      <c r="B185" s="4"/>
      <c r="C185" s="2" t="str">
        <f t="shared" si="2"/>
        <v/>
      </c>
      <c r="E185" s="50">
        <v>184</v>
      </c>
    </row>
    <row r="186" spans="1:5" x14ac:dyDescent="0.25">
      <c r="A186" s="48">
        <v>185</v>
      </c>
      <c r="B186" s="4"/>
      <c r="C186" s="2" t="str">
        <f t="shared" si="2"/>
        <v/>
      </c>
      <c r="E186" s="50">
        <v>185</v>
      </c>
    </row>
    <row r="187" spans="1:5" x14ac:dyDescent="0.25">
      <c r="A187" s="48">
        <v>186</v>
      </c>
      <c r="B187" s="4"/>
      <c r="C187" s="2" t="str">
        <f t="shared" si="2"/>
        <v/>
      </c>
      <c r="E187" s="50">
        <v>186</v>
      </c>
    </row>
    <row r="188" spans="1:5" x14ac:dyDescent="0.25">
      <c r="A188" s="48">
        <v>187</v>
      </c>
      <c r="B188" s="4"/>
      <c r="C188" s="2" t="str">
        <f t="shared" si="2"/>
        <v/>
      </c>
      <c r="E188" s="50">
        <v>187</v>
      </c>
    </row>
    <row r="189" spans="1:5" x14ac:dyDescent="0.25">
      <c r="A189" s="48">
        <v>188</v>
      </c>
      <c r="B189" s="4"/>
      <c r="C189" s="2" t="str">
        <f t="shared" si="2"/>
        <v/>
      </c>
      <c r="E189" s="50">
        <v>188</v>
      </c>
    </row>
    <row r="190" spans="1:5" x14ac:dyDescent="0.25">
      <c r="A190" s="48">
        <v>189</v>
      </c>
      <c r="B190" s="4"/>
      <c r="C190" s="2" t="str">
        <f t="shared" si="2"/>
        <v/>
      </c>
      <c r="E190" s="50">
        <v>189</v>
      </c>
    </row>
    <row r="191" spans="1:5" x14ac:dyDescent="0.25">
      <c r="A191" s="48">
        <v>190</v>
      </c>
      <c r="B191" s="4"/>
      <c r="C191" s="2" t="str">
        <f t="shared" si="2"/>
        <v/>
      </c>
      <c r="E191" s="50">
        <v>190</v>
      </c>
    </row>
    <row r="192" spans="1:5" x14ac:dyDescent="0.25">
      <c r="A192" s="48">
        <v>191</v>
      </c>
      <c r="B192" s="4"/>
      <c r="C192" s="2" t="str">
        <f t="shared" si="2"/>
        <v/>
      </c>
      <c r="E192" s="50">
        <v>191</v>
      </c>
    </row>
    <row r="193" spans="1:5" x14ac:dyDescent="0.25">
      <c r="A193" s="48">
        <v>192</v>
      </c>
      <c r="B193" s="4"/>
      <c r="C193" s="2" t="str">
        <f t="shared" si="2"/>
        <v/>
      </c>
      <c r="E193" s="50">
        <v>192</v>
      </c>
    </row>
    <row r="194" spans="1:5" x14ac:dyDescent="0.25">
      <c r="A194" s="48">
        <v>193</v>
      </c>
      <c r="B194" s="4"/>
      <c r="C194" s="2" t="str">
        <f t="shared" si="2"/>
        <v/>
      </c>
      <c r="E194" s="50">
        <v>193</v>
      </c>
    </row>
    <row r="195" spans="1:5" x14ac:dyDescent="0.25">
      <c r="A195" s="48">
        <v>194</v>
      </c>
      <c r="B195" s="4"/>
      <c r="C195" s="2" t="str">
        <f t="shared" ref="C195:C251" si="3">IF(B195="","",1)</f>
        <v/>
      </c>
      <c r="E195" s="50">
        <v>194</v>
      </c>
    </row>
    <row r="196" spans="1:5" x14ac:dyDescent="0.25">
      <c r="A196" s="48">
        <v>195</v>
      </c>
      <c r="B196" s="4"/>
      <c r="C196" s="2" t="str">
        <f t="shared" si="3"/>
        <v/>
      </c>
      <c r="E196" s="50">
        <v>195</v>
      </c>
    </row>
    <row r="197" spans="1:5" x14ac:dyDescent="0.25">
      <c r="A197" s="48">
        <v>196</v>
      </c>
      <c r="B197" s="4"/>
      <c r="C197" s="2" t="str">
        <f t="shared" si="3"/>
        <v/>
      </c>
      <c r="E197" s="50">
        <v>196</v>
      </c>
    </row>
    <row r="198" spans="1:5" x14ac:dyDescent="0.25">
      <c r="A198" s="48">
        <v>197</v>
      </c>
      <c r="B198" s="4"/>
      <c r="C198" s="2" t="str">
        <f t="shared" si="3"/>
        <v/>
      </c>
      <c r="E198" s="50">
        <v>197</v>
      </c>
    </row>
    <row r="199" spans="1:5" x14ac:dyDescent="0.25">
      <c r="A199" s="48">
        <v>198</v>
      </c>
      <c r="B199" s="4"/>
      <c r="C199" s="2" t="str">
        <f t="shared" si="3"/>
        <v/>
      </c>
      <c r="E199" s="50">
        <v>198</v>
      </c>
    </row>
    <row r="200" spans="1:5" x14ac:dyDescent="0.25">
      <c r="A200" s="48">
        <v>199</v>
      </c>
      <c r="B200" s="4"/>
      <c r="C200" s="2" t="str">
        <f t="shared" si="3"/>
        <v/>
      </c>
      <c r="E200" s="50">
        <v>199</v>
      </c>
    </row>
    <row r="201" spans="1:5" x14ac:dyDescent="0.25">
      <c r="A201" s="48">
        <v>200</v>
      </c>
      <c r="B201" s="4"/>
      <c r="C201" s="2" t="str">
        <f t="shared" si="3"/>
        <v/>
      </c>
      <c r="E201" s="50">
        <v>200</v>
      </c>
    </row>
    <row r="202" spans="1:5" x14ac:dyDescent="0.25">
      <c r="A202" s="48">
        <v>201</v>
      </c>
      <c r="B202" s="4"/>
      <c r="C202" s="2" t="str">
        <f t="shared" si="3"/>
        <v/>
      </c>
      <c r="E202" s="50">
        <v>201</v>
      </c>
    </row>
    <row r="203" spans="1:5" x14ac:dyDescent="0.25">
      <c r="A203" s="48">
        <v>202</v>
      </c>
      <c r="B203" s="4"/>
      <c r="C203" s="2" t="str">
        <f t="shared" si="3"/>
        <v/>
      </c>
      <c r="E203" s="50">
        <v>202</v>
      </c>
    </row>
    <row r="204" spans="1:5" x14ac:dyDescent="0.25">
      <c r="A204" s="48">
        <v>203</v>
      </c>
      <c r="B204" s="4"/>
      <c r="C204" s="2" t="str">
        <f t="shared" si="3"/>
        <v/>
      </c>
      <c r="E204" s="50">
        <v>203</v>
      </c>
    </row>
    <row r="205" spans="1:5" x14ac:dyDescent="0.25">
      <c r="A205" s="48">
        <v>204</v>
      </c>
      <c r="B205" s="4"/>
      <c r="C205" s="2" t="str">
        <f t="shared" si="3"/>
        <v/>
      </c>
      <c r="E205" s="50">
        <v>204</v>
      </c>
    </row>
    <row r="206" spans="1:5" x14ac:dyDescent="0.25">
      <c r="A206" s="48">
        <v>205</v>
      </c>
      <c r="B206" s="4"/>
      <c r="C206" s="2" t="str">
        <f t="shared" si="3"/>
        <v/>
      </c>
      <c r="E206" s="50">
        <v>205</v>
      </c>
    </row>
    <row r="207" spans="1:5" x14ac:dyDescent="0.25">
      <c r="A207" s="48">
        <v>206</v>
      </c>
      <c r="B207" s="4"/>
      <c r="C207" s="2" t="str">
        <f t="shared" si="3"/>
        <v/>
      </c>
      <c r="E207" s="50">
        <v>206</v>
      </c>
    </row>
    <row r="208" spans="1:5" x14ac:dyDescent="0.25">
      <c r="A208" s="48">
        <v>207</v>
      </c>
      <c r="B208" s="4"/>
      <c r="C208" s="2" t="str">
        <f t="shared" si="3"/>
        <v/>
      </c>
      <c r="E208" s="50">
        <v>207</v>
      </c>
    </row>
    <row r="209" spans="1:5" x14ac:dyDescent="0.25">
      <c r="A209" s="48">
        <v>208</v>
      </c>
      <c r="B209" s="4"/>
      <c r="C209" s="2" t="str">
        <f t="shared" si="3"/>
        <v/>
      </c>
      <c r="E209" s="50">
        <v>208</v>
      </c>
    </row>
    <row r="210" spans="1:5" x14ac:dyDescent="0.25">
      <c r="A210" s="48">
        <v>209</v>
      </c>
      <c r="B210" s="4"/>
      <c r="C210" s="2" t="str">
        <f t="shared" si="3"/>
        <v/>
      </c>
      <c r="E210" s="50">
        <v>209</v>
      </c>
    </row>
    <row r="211" spans="1:5" x14ac:dyDescent="0.25">
      <c r="A211" s="48">
        <v>210</v>
      </c>
      <c r="B211" s="4"/>
      <c r="C211" s="2" t="str">
        <f t="shared" si="3"/>
        <v/>
      </c>
      <c r="E211" s="50">
        <v>210</v>
      </c>
    </row>
    <row r="212" spans="1:5" x14ac:dyDescent="0.25">
      <c r="A212" s="48">
        <v>211</v>
      </c>
      <c r="B212" s="4"/>
      <c r="C212" s="2" t="str">
        <f t="shared" si="3"/>
        <v/>
      </c>
      <c r="E212" s="50">
        <v>211</v>
      </c>
    </row>
    <row r="213" spans="1:5" x14ac:dyDescent="0.25">
      <c r="A213" s="48">
        <v>212</v>
      </c>
      <c r="B213" s="4"/>
      <c r="C213" s="2" t="str">
        <f t="shared" si="3"/>
        <v/>
      </c>
      <c r="E213" s="50">
        <v>212</v>
      </c>
    </row>
    <row r="214" spans="1:5" x14ac:dyDescent="0.25">
      <c r="A214" s="48">
        <v>213</v>
      </c>
      <c r="B214" s="4"/>
      <c r="C214" s="2" t="str">
        <f t="shared" si="3"/>
        <v/>
      </c>
      <c r="E214" s="50">
        <v>213</v>
      </c>
    </row>
    <row r="215" spans="1:5" x14ac:dyDescent="0.25">
      <c r="A215" s="48">
        <v>214</v>
      </c>
      <c r="B215" s="4"/>
      <c r="C215" s="2" t="str">
        <f t="shared" si="3"/>
        <v/>
      </c>
      <c r="E215" s="50">
        <v>214</v>
      </c>
    </row>
    <row r="216" spans="1:5" x14ac:dyDescent="0.25">
      <c r="A216" s="48">
        <v>215</v>
      </c>
      <c r="B216" s="4"/>
      <c r="C216" s="2" t="str">
        <f t="shared" si="3"/>
        <v/>
      </c>
      <c r="E216" s="50">
        <v>215</v>
      </c>
    </row>
    <row r="217" spans="1:5" x14ac:dyDescent="0.25">
      <c r="A217" s="48">
        <v>216</v>
      </c>
      <c r="B217" s="4"/>
      <c r="C217" s="2" t="str">
        <f t="shared" si="3"/>
        <v/>
      </c>
      <c r="E217" s="50">
        <v>216</v>
      </c>
    </row>
    <row r="218" spans="1:5" x14ac:dyDescent="0.25">
      <c r="A218" s="48">
        <v>217</v>
      </c>
      <c r="B218" s="4"/>
      <c r="C218" s="2" t="str">
        <f t="shared" si="3"/>
        <v/>
      </c>
      <c r="E218" s="50">
        <v>217</v>
      </c>
    </row>
    <row r="219" spans="1:5" x14ac:dyDescent="0.25">
      <c r="A219" s="48">
        <v>218</v>
      </c>
      <c r="B219" s="4"/>
      <c r="C219" s="2" t="str">
        <f t="shared" si="3"/>
        <v/>
      </c>
      <c r="E219" s="50">
        <v>218</v>
      </c>
    </row>
    <row r="220" spans="1:5" x14ac:dyDescent="0.25">
      <c r="A220" s="48">
        <v>219</v>
      </c>
      <c r="B220" s="4"/>
      <c r="C220" s="2" t="str">
        <f t="shared" si="3"/>
        <v/>
      </c>
      <c r="E220" s="50">
        <v>219</v>
      </c>
    </row>
    <row r="221" spans="1:5" x14ac:dyDescent="0.25">
      <c r="A221" s="48">
        <v>220</v>
      </c>
      <c r="B221" s="4"/>
      <c r="C221" s="2" t="str">
        <f t="shared" si="3"/>
        <v/>
      </c>
      <c r="E221" s="50">
        <v>220</v>
      </c>
    </row>
    <row r="222" spans="1:5" x14ac:dyDescent="0.25">
      <c r="A222" s="48">
        <v>221</v>
      </c>
      <c r="B222" s="4"/>
      <c r="C222" s="2" t="str">
        <f t="shared" si="3"/>
        <v/>
      </c>
      <c r="E222" s="50">
        <v>221</v>
      </c>
    </row>
    <row r="223" spans="1:5" x14ac:dyDescent="0.25">
      <c r="A223" s="48">
        <v>222</v>
      </c>
      <c r="B223" s="4"/>
      <c r="C223" s="2" t="str">
        <f t="shared" si="3"/>
        <v/>
      </c>
      <c r="E223" s="50">
        <v>222</v>
      </c>
    </row>
    <row r="224" spans="1:5" x14ac:dyDescent="0.25">
      <c r="A224" s="48">
        <v>223</v>
      </c>
      <c r="B224" s="4"/>
      <c r="C224" s="2" t="str">
        <f t="shared" si="3"/>
        <v/>
      </c>
      <c r="E224" s="50">
        <v>223</v>
      </c>
    </row>
    <row r="225" spans="1:5" x14ac:dyDescent="0.25">
      <c r="A225" s="48">
        <v>224</v>
      </c>
      <c r="B225" s="4"/>
      <c r="C225" s="2" t="str">
        <f t="shared" si="3"/>
        <v/>
      </c>
      <c r="E225" s="50">
        <v>224</v>
      </c>
    </row>
    <row r="226" spans="1:5" x14ac:dyDescent="0.25">
      <c r="A226" s="48">
        <v>225</v>
      </c>
      <c r="B226" s="4"/>
      <c r="C226" s="2" t="str">
        <f t="shared" si="3"/>
        <v/>
      </c>
      <c r="E226" s="50">
        <v>225</v>
      </c>
    </row>
    <row r="227" spans="1:5" x14ac:dyDescent="0.25">
      <c r="A227" s="48">
        <v>226</v>
      </c>
      <c r="B227" s="4"/>
      <c r="C227" s="2" t="str">
        <f t="shared" si="3"/>
        <v/>
      </c>
      <c r="E227" s="50">
        <v>226</v>
      </c>
    </row>
    <row r="228" spans="1:5" x14ac:dyDescent="0.25">
      <c r="A228" s="48">
        <v>227</v>
      </c>
      <c r="B228" s="4"/>
      <c r="C228" s="2" t="str">
        <f t="shared" si="3"/>
        <v/>
      </c>
      <c r="E228" s="50">
        <v>227</v>
      </c>
    </row>
    <row r="229" spans="1:5" x14ac:dyDescent="0.25">
      <c r="A229" s="48">
        <v>228</v>
      </c>
      <c r="B229" s="4"/>
      <c r="C229" s="2" t="str">
        <f t="shared" si="3"/>
        <v/>
      </c>
      <c r="E229" s="50">
        <v>228</v>
      </c>
    </row>
    <row r="230" spans="1:5" x14ac:dyDescent="0.25">
      <c r="A230" s="48">
        <v>229</v>
      </c>
      <c r="B230" s="4"/>
      <c r="C230" s="2" t="str">
        <f t="shared" si="3"/>
        <v/>
      </c>
      <c r="E230" s="50">
        <v>229</v>
      </c>
    </row>
    <row r="231" spans="1:5" x14ac:dyDescent="0.25">
      <c r="A231" s="48">
        <v>230</v>
      </c>
      <c r="B231" s="4"/>
      <c r="C231" s="2" t="str">
        <f t="shared" si="3"/>
        <v/>
      </c>
      <c r="E231" s="50">
        <v>230</v>
      </c>
    </row>
    <row r="232" spans="1:5" x14ac:dyDescent="0.25">
      <c r="A232" s="48">
        <v>231</v>
      </c>
      <c r="B232" s="4"/>
      <c r="C232" s="2" t="str">
        <f t="shared" si="3"/>
        <v/>
      </c>
      <c r="E232" s="50">
        <v>231</v>
      </c>
    </row>
    <row r="233" spans="1:5" x14ac:dyDescent="0.25">
      <c r="A233" s="48">
        <v>232</v>
      </c>
      <c r="B233" s="4"/>
      <c r="C233" s="2" t="str">
        <f t="shared" si="3"/>
        <v/>
      </c>
      <c r="E233" s="50">
        <v>232</v>
      </c>
    </row>
    <row r="234" spans="1:5" x14ac:dyDescent="0.25">
      <c r="A234" s="48">
        <v>233</v>
      </c>
      <c r="B234" s="4"/>
      <c r="C234" s="2" t="str">
        <f t="shared" si="3"/>
        <v/>
      </c>
      <c r="E234" s="50">
        <v>233</v>
      </c>
    </row>
    <row r="235" spans="1:5" x14ac:dyDescent="0.25">
      <c r="A235" s="48">
        <v>234</v>
      </c>
      <c r="B235" s="4"/>
      <c r="C235" s="2" t="str">
        <f t="shared" si="3"/>
        <v/>
      </c>
      <c r="E235" s="50">
        <v>234</v>
      </c>
    </row>
    <row r="236" spans="1:5" x14ac:dyDescent="0.25">
      <c r="A236" s="48">
        <v>235</v>
      </c>
      <c r="B236" s="4"/>
      <c r="C236" s="2" t="str">
        <f t="shared" si="3"/>
        <v/>
      </c>
      <c r="E236" s="50">
        <v>235</v>
      </c>
    </row>
    <row r="237" spans="1:5" x14ac:dyDescent="0.25">
      <c r="A237" s="48">
        <v>236</v>
      </c>
      <c r="B237" s="4"/>
      <c r="C237" s="2" t="str">
        <f t="shared" si="3"/>
        <v/>
      </c>
      <c r="E237" s="50">
        <v>236</v>
      </c>
    </row>
    <row r="238" spans="1:5" x14ac:dyDescent="0.25">
      <c r="A238" s="48">
        <v>237</v>
      </c>
      <c r="B238" s="4"/>
      <c r="C238" s="2" t="str">
        <f t="shared" si="3"/>
        <v/>
      </c>
      <c r="E238" s="50">
        <v>237</v>
      </c>
    </row>
    <row r="239" spans="1:5" x14ac:dyDescent="0.25">
      <c r="A239" s="48">
        <v>238</v>
      </c>
      <c r="B239" s="4"/>
      <c r="C239" s="2" t="str">
        <f t="shared" si="3"/>
        <v/>
      </c>
      <c r="E239" s="50">
        <v>238</v>
      </c>
    </row>
    <row r="240" spans="1:5" x14ac:dyDescent="0.25">
      <c r="A240" s="48">
        <v>239</v>
      </c>
      <c r="B240" s="4"/>
      <c r="C240" s="2" t="str">
        <f t="shared" si="3"/>
        <v/>
      </c>
      <c r="E240" s="50">
        <v>239</v>
      </c>
    </row>
    <row r="241" spans="1:5" x14ac:dyDescent="0.25">
      <c r="A241" s="48">
        <v>240</v>
      </c>
      <c r="C241" s="2" t="str">
        <f t="shared" si="3"/>
        <v/>
      </c>
      <c r="E241" s="50">
        <v>240</v>
      </c>
    </row>
    <row r="242" spans="1:5" x14ac:dyDescent="0.25">
      <c r="A242" s="48">
        <v>241</v>
      </c>
      <c r="C242" s="2" t="str">
        <f t="shared" si="3"/>
        <v/>
      </c>
      <c r="E242" s="50">
        <v>241</v>
      </c>
    </row>
    <row r="243" spans="1:5" x14ac:dyDescent="0.25">
      <c r="A243" s="48">
        <v>242</v>
      </c>
      <c r="C243" s="2" t="str">
        <f t="shared" si="3"/>
        <v/>
      </c>
      <c r="E243" s="50">
        <v>242</v>
      </c>
    </row>
    <row r="244" spans="1:5" x14ac:dyDescent="0.25">
      <c r="A244" s="48">
        <v>243</v>
      </c>
      <c r="C244" s="2" t="str">
        <f t="shared" si="3"/>
        <v/>
      </c>
      <c r="E244" s="50">
        <v>243</v>
      </c>
    </row>
    <row r="245" spans="1:5" x14ac:dyDescent="0.25">
      <c r="A245" s="48">
        <v>244</v>
      </c>
      <c r="C245" s="2" t="str">
        <f t="shared" si="3"/>
        <v/>
      </c>
      <c r="E245" s="50">
        <v>244</v>
      </c>
    </row>
    <row r="246" spans="1:5" x14ac:dyDescent="0.25">
      <c r="A246" s="48">
        <v>245</v>
      </c>
      <c r="C246" s="2" t="str">
        <f t="shared" si="3"/>
        <v/>
      </c>
      <c r="E246" s="50">
        <v>245</v>
      </c>
    </row>
    <row r="247" spans="1:5" x14ac:dyDescent="0.25">
      <c r="A247" s="48">
        <v>246</v>
      </c>
      <c r="C247" s="2" t="str">
        <f t="shared" si="3"/>
        <v/>
      </c>
      <c r="E247" s="50">
        <v>246</v>
      </c>
    </row>
    <row r="248" spans="1:5" x14ac:dyDescent="0.25">
      <c r="A248" s="48">
        <v>247</v>
      </c>
      <c r="C248" s="2" t="str">
        <f t="shared" si="3"/>
        <v/>
      </c>
      <c r="E248" s="50">
        <v>247</v>
      </c>
    </row>
    <row r="249" spans="1:5" x14ac:dyDescent="0.25">
      <c r="A249" s="48">
        <v>248</v>
      </c>
      <c r="C249" s="2" t="str">
        <f t="shared" si="3"/>
        <v/>
      </c>
      <c r="E249" s="50">
        <v>248</v>
      </c>
    </row>
    <row r="250" spans="1:5" x14ac:dyDescent="0.25">
      <c r="A250" s="48">
        <v>249</v>
      </c>
      <c r="C250" s="2" t="str">
        <f t="shared" si="3"/>
        <v/>
      </c>
      <c r="E250" s="50">
        <v>249</v>
      </c>
    </row>
    <row r="251" spans="1:5" x14ac:dyDescent="0.25">
      <c r="A251" s="48">
        <v>250</v>
      </c>
      <c r="C251" s="2" t="str">
        <f t="shared" si="3"/>
        <v/>
      </c>
      <c r="E251" s="50">
        <v>250</v>
      </c>
    </row>
  </sheetData>
  <sheetProtection algorithmName="SHA-512" hashValue="xjA3XiWKRYRFIsZUqFJsKjSBYG6WfpIhbZZyZvfVx0lQQLR/4eEy05SUN5b+Yx9sWJwgbqnP/ueWRCY/4mypWw==" saltValue="4yT8lNOXYfex8tKTEVZu7g==" spinCount="100000" sheet="1" objects="1" scenarios="1"/>
  <autoFilter ref="A1:C251" xr:uid="{9AA072CA-04DA-496E-ADD9-26107E88E7DE}"/>
  <pageMargins left="0.7" right="0.7" top="0.75" bottom="0.75" header="0.3" footer="0.3"/>
  <pageSetup paperSize="9" orientation="portrait"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DE4AB-2FB1-4802-BB59-CA71B5E89C2B}">
  <sheetPr codeName="Sheet6">
    <tabColor rgb="FF00B050"/>
  </sheetPr>
  <dimension ref="A1:U196"/>
  <sheetViews>
    <sheetView zoomScaleNormal="100" workbookViewId="0">
      <selection activeCell="R21" sqref="R21"/>
    </sheetView>
  </sheetViews>
  <sheetFormatPr defaultColWidth="9.140625" defaultRowHeight="15" x14ac:dyDescent="0.25"/>
  <cols>
    <col min="1" max="1" width="9.28515625" customWidth="1"/>
    <col min="2" max="2" width="11.85546875" customWidth="1"/>
    <col min="3" max="3" width="22" customWidth="1"/>
    <col min="4" max="5" width="10.28515625" customWidth="1"/>
    <col min="6" max="6" width="8.7109375" customWidth="1"/>
    <col min="7" max="7" width="22.5703125" customWidth="1"/>
    <col min="8" max="14" width="9.5703125" hidden="1" customWidth="1"/>
    <col min="15" max="15" width="6.5703125" customWidth="1"/>
    <col min="16" max="16" width="9.140625" customWidth="1"/>
    <col min="17" max="17" width="8.42578125" customWidth="1"/>
    <col min="18" max="18" width="20.140625" customWidth="1"/>
    <col min="19" max="19" width="40.5703125" customWidth="1"/>
    <col min="21" max="21" width="9.140625" hidden="1" customWidth="1"/>
  </cols>
  <sheetData>
    <row r="1" spans="1:21" ht="19.5" thickBot="1" x14ac:dyDescent="0.45">
      <c r="A1" s="52" t="s">
        <v>28</v>
      </c>
      <c r="B1" s="49" t="s">
        <v>27</v>
      </c>
      <c r="C1" s="49" t="s">
        <v>35</v>
      </c>
      <c r="D1" s="49" t="s">
        <v>31</v>
      </c>
      <c r="E1" s="49" t="s">
        <v>7</v>
      </c>
      <c r="F1" s="63">
        <f>SUM(D:D)</f>
        <v>5</v>
      </c>
      <c r="O1" s="53"/>
      <c r="P1" s="54"/>
      <c r="Q1" s="55"/>
      <c r="R1" s="61" t="s">
        <v>34</v>
      </c>
      <c r="S1" s="59" t="s">
        <v>36</v>
      </c>
    </row>
    <row r="2" spans="1:21" ht="15.75" thickBot="1" x14ac:dyDescent="0.3">
      <c r="A2" s="50">
        <f t="shared" ref="A2:A33" si="0">IF(U2="","",U2)</f>
        <v>1</v>
      </c>
      <c r="B2" s="4">
        <f>IFERROR(VLOOKUP(A2,'BOOK ENTRY'!E:F,2,0),"")</f>
        <v>1</v>
      </c>
      <c r="C2" t="str">
        <f>IFERROR(IF(B2=0,"EMPTY TRAY",VLOOKUP(B2,'Master Sheet'!$C:$E,3,0)),"")</f>
        <v>C1234</v>
      </c>
      <c r="D2" s="4">
        <f>IFERROR(VLOOKUP(B2,'BOOK ENTRY'!F:G,2,0),"")</f>
        <v>5</v>
      </c>
      <c r="E2" s="4">
        <f>IFERROR(IF(B2="","",VLOOKUP(B2,'Master Sheet'!C:H,6,0)),"")</f>
        <v>2100</v>
      </c>
      <c r="G2" s="4"/>
      <c r="O2" s="56"/>
      <c r="P2" s="57"/>
      <c r="Q2" s="58"/>
      <c r="R2" s="62" t="s">
        <v>33</v>
      </c>
      <c r="S2" s="60" t="s">
        <v>37</v>
      </c>
      <c r="U2">
        <f>IF(ISNUMBER('BOOK ENTRY'!F2), COUNTIFS('BOOK ENTRY'!$F$2:'BOOK ENTRY'!F2, "&gt;=0"), "")</f>
        <v>1</v>
      </c>
    </row>
    <row r="3" spans="1:21" x14ac:dyDescent="0.25">
      <c r="A3" s="50" t="str">
        <f t="shared" si="0"/>
        <v/>
      </c>
      <c r="B3" s="4" t="str">
        <f>IFERROR(VLOOKUP(A3,'BOOK ENTRY'!E:F,2,0),"")</f>
        <v/>
      </c>
      <c r="C3" t="str">
        <f>IFERROR(IF(B3=0,"EMPTY TRAY",VLOOKUP(B3,'Master Sheet'!$C:$E,3,0)),"")</f>
        <v/>
      </c>
      <c r="D3" s="4" t="str">
        <f>IFERROR(VLOOKUP(B3,'BOOK ENTRY'!F:G,2,0),"")</f>
        <v/>
      </c>
      <c r="E3" s="4" t="str">
        <f>IFERROR(IF(B3="","",VLOOKUP(B3,'Master Sheet'!C:H,6,0)),"")</f>
        <v/>
      </c>
      <c r="G3" s="4"/>
      <c r="I3" s="4" t="s">
        <v>32</v>
      </c>
      <c r="U3" t="str">
        <f>IF(ISNUMBER('BOOK ENTRY'!F3), COUNTIFS('BOOK ENTRY'!$F$2:'BOOK ENTRY'!F3, "&gt;=0"), "")</f>
        <v/>
      </c>
    </row>
    <row r="4" spans="1:21" x14ac:dyDescent="0.25">
      <c r="A4" s="50" t="str">
        <f t="shared" si="0"/>
        <v/>
      </c>
      <c r="B4" s="4" t="str">
        <f>IFERROR(VLOOKUP(A4,'BOOK ENTRY'!E:F,2,0),"")</f>
        <v/>
      </c>
      <c r="C4" t="str">
        <f>IFERROR(IF(B4=0,"EMPTY TRAY",VLOOKUP(B4,'Master Sheet'!$C:$E,3,0)),"")</f>
        <v/>
      </c>
      <c r="D4" s="4" t="str">
        <f>IFERROR(VLOOKUP(B4,'BOOK ENTRY'!F:G,2,0),"")</f>
        <v/>
      </c>
      <c r="E4" s="4" t="str">
        <f>IFERROR(IF(B4="","",VLOOKUP(B4,'Master Sheet'!C:H,6,0)),"")</f>
        <v/>
      </c>
      <c r="G4" s="4"/>
      <c r="H4" t="s">
        <v>32</v>
      </c>
      <c r="I4" s="4"/>
      <c r="U4" t="str">
        <f>IF(ISNUMBER('BOOK ENTRY'!F4), COUNTIFS('BOOK ENTRY'!$F$2:'BOOK ENTRY'!F4, "&gt;=0"), "")</f>
        <v/>
      </c>
    </row>
    <row r="5" spans="1:21" x14ac:dyDescent="0.25">
      <c r="A5" s="50" t="str">
        <f t="shared" si="0"/>
        <v/>
      </c>
      <c r="B5" s="4" t="str">
        <f>IFERROR(VLOOKUP(A5,'BOOK ENTRY'!E:F,2,0),"")</f>
        <v/>
      </c>
      <c r="C5" t="str">
        <f>IFERROR(IF(B5=0,"EMPTY TRAY",VLOOKUP(B5,'Master Sheet'!$C:$E,3,0)),"")</f>
        <v/>
      </c>
      <c r="D5" s="4" t="str">
        <f>IFERROR(VLOOKUP(B5,'BOOK ENTRY'!F:G,2,0),"")</f>
        <v/>
      </c>
      <c r="E5" s="4" t="str">
        <f>IFERROR(IF(B5="","",VLOOKUP(B5,'Master Sheet'!C:H,6,0)),"")</f>
        <v/>
      </c>
      <c r="G5" s="4"/>
      <c r="I5" s="4"/>
      <c r="U5" t="str">
        <f>IF(ISNUMBER('BOOK ENTRY'!F5), COUNTIFS('BOOK ENTRY'!$F$2:'BOOK ENTRY'!F5, "&gt;=0"), "")</f>
        <v/>
      </c>
    </row>
    <row r="6" spans="1:21" x14ac:dyDescent="0.25">
      <c r="A6" s="50" t="str">
        <f t="shared" si="0"/>
        <v/>
      </c>
      <c r="B6" s="4" t="str">
        <f>IFERROR(VLOOKUP(A6,'BOOK ENTRY'!E:F,2,0),"")</f>
        <v/>
      </c>
      <c r="C6" t="str">
        <f>IFERROR(IF(B6=0,"EMPTY TRAY",VLOOKUP(B6,'Master Sheet'!$C:$E,3,0)),"")</f>
        <v/>
      </c>
      <c r="D6" s="4" t="str">
        <f>IFERROR(VLOOKUP(B6,'BOOK ENTRY'!F:G,2,0),"")</f>
        <v/>
      </c>
      <c r="E6" s="4" t="str">
        <f>IFERROR(IF(B6="","",VLOOKUP(B6,'Master Sheet'!C:H,6,0)),"")</f>
        <v/>
      </c>
      <c r="G6" s="4"/>
      <c r="I6" s="4"/>
      <c r="K6" t="s">
        <v>32</v>
      </c>
      <c r="U6" t="str">
        <f>IF(ISNUMBER('BOOK ENTRY'!F6), COUNTIFS('BOOK ENTRY'!$F$2:'BOOK ENTRY'!F6, "&gt;=0"), "")</f>
        <v/>
      </c>
    </row>
    <row r="7" spans="1:21" x14ac:dyDescent="0.25">
      <c r="A7" s="50" t="str">
        <f t="shared" si="0"/>
        <v/>
      </c>
      <c r="B7" s="4" t="str">
        <f>IFERROR(VLOOKUP(A7,'BOOK ENTRY'!E:F,2,0),"")</f>
        <v/>
      </c>
      <c r="C7" t="str">
        <f>IFERROR(IF(B7=0,"EMPTY TRAY",VLOOKUP(B7,'Master Sheet'!$C:$E,3,0)),"")</f>
        <v/>
      </c>
      <c r="D7" s="4" t="str">
        <f>IFERROR(VLOOKUP(B7,'BOOK ENTRY'!F:G,2,0),"")</f>
        <v/>
      </c>
      <c r="E7" s="4" t="str">
        <f>IFERROR(IF(B7="","",VLOOKUP(B7,'Master Sheet'!C:H,6,0)),"")</f>
        <v/>
      </c>
      <c r="G7" s="4"/>
      <c r="I7" s="4"/>
      <c r="U7" t="str">
        <f>IF(ISNUMBER('BOOK ENTRY'!F7), COUNTIFS('BOOK ENTRY'!$F$2:'BOOK ENTRY'!F7, "&gt;=0"), "")</f>
        <v/>
      </c>
    </row>
    <row r="8" spans="1:21" x14ac:dyDescent="0.25">
      <c r="A8" s="50" t="str">
        <f t="shared" si="0"/>
        <v/>
      </c>
      <c r="B8" s="4" t="str">
        <f>IFERROR(VLOOKUP(A8,'BOOK ENTRY'!E:F,2,0),"")</f>
        <v/>
      </c>
      <c r="C8" t="str">
        <f>IFERROR(IF(B8=0,"EMPTY TRAY",VLOOKUP(B8,'Master Sheet'!$C:$E,3,0)),"")</f>
        <v/>
      </c>
      <c r="D8" s="4" t="str">
        <f>IFERROR(VLOOKUP(B8,'BOOK ENTRY'!F:G,2,0),"")</f>
        <v/>
      </c>
      <c r="E8" s="4" t="str">
        <f>IFERROR(IF(B8="","",VLOOKUP(B8,'Master Sheet'!C:H,6,0)),"")</f>
        <v/>
      </c>
      <c r="G8" s="4"/>
      <c r="I8" s="4"/>
      <c r="U8" t="str">
        <f>IF(ISNUMBER('BOOK ENTRY'!F8), COUNTIFS('BOOK ENTRY'!$F$2:'BOOK ENTRY'!F8, "&gt;=0"), "")</f>
        <v/>
      </c>
    </row>
    <row r="9" spans="1:21" x14ac:dyDescent="0.25">
      <c r="A9" s="50" t="str">
        <f t="shared" si="0"/>
        <v/>
      </c>
      <c r="B9" s="4" t="str">
        <f>IFERROR(VLOOKUP(A9,'BOOK ENTRY'!E:F,2,0),"")</f>
        <v/>
      </c>
      <c r="C9" t="str">
        <f>IFERROR(IF(B9=0,"EMPTY TRAY",VLOOKUP(B9,'Master Sheet'!$C:$E,3,0)),"")</f>
        <v/>
      </c>
      <c r="D9" s="4" t="str">
        <f>IFERROR(VLOOKUP(B9,'BOOK ENTRY'!F:G,2,0),"")</f>
        <v/>
      </c>
      <c r="E9" s="4" t="str">
        <f>IFERROR(IF(B9="","",VLOOKUP(B9,'Master Sheet'!C:H,6,0)),"")</f>
        <v/>
      </c>
      <c r="G9" s="4"/>
      <c r="I9" s="4"/>
      <c r="K9" t="s">
        <v>32</v>
      </c>
      <c r="U9" t="str">
        <f>IF(ISNUMBER('BOOK ENTRY'!F9), COUNTIFS('BOOK ENTRY'!$F$2:'BOOK ENTRY'!F9, "&gt;=0"), "")</f>
        <v/>
      </c>
    </row>
    <row r="10" spans="1:21" x14ac:dyDescent="0.25">
      <c r="A10" s="50" t="str">
        <f t="shared" si="0"/>
        <v/>
      </c>
      <c r="B10" s="4" t="str">
        <f>IFERROR(VLOOKUP(A10,'BOOK ENTRY'!E:F,2,0),"")</f>
        <v/>
      </c>
      <c r="C10" t="str">
        <f>IFERROR(IF(B10=0,"EMPTY TRAY",VLOOKUP(B10,'Master Sheet'!$C:$E,3,0)),"")</f>
        <v/>
      </c>
      <c r="D10" s="4" t="str">
        <f>IFERROR(VLOOKUP(B10,'BOOK ENTRY'!F:G,2,0),"")</f>
        <v/>
      </c>
      <c r="E10" s="4" t="str">
        <f>IFERROR(IF(B10="","",VLOOKUP(B10,'Master Sheet'!C:H,6,0)),"")</f>
        <v/>
      </c>
      <c r="G10" s="4"/>
      <c r="I10" s="4"/>
      <c r="U10" t="str">
        <f>IF(ISNUMBER('BOOK ENTRY'!F10), COUNTIFS('BOOK ENTRY'!$F$2:'BOOK ENTRY'!F10, "&gt;=0"), "")</f>
        <v/>
      </c>
    </row>
    <row r="11" spans="1:21" x14ac:dyDescent="0.25">
      <c r="A11" s="50" t="str">
        <f t="shared" si="0"/>
        <v/>
      </c>
      <c r="B11" s="4" t="str">
        <f>IFERROR(VLOOKUP(A11,'BOOK ENTRY'!E:F,2,0),"")</f>
        <v/>
      </c>
      <c r="C11" t="str">
        <f>IFERROR(IF(B11=0,"EMPTY TRAY",VLOOKUP(B11,'Master Sheet'!$C:$E,3,0)),"")</f>
        <v/>
      </c>
      <c r="D11" s="4" t="str">
        <f>IFERROR(VLOOKUP(B11,'BOOK ENTRY'!F:G,2,0),"")</f>
        <v/>
      </c>
      <c r="E11" s="4" t="str">
        <f>IFERROR(IF(B11="","",VLOOKUP(B11,'Master Sheet'!C:H,6,0)),"")</f>
        <v/>
      </c>
      <c r="G11" s="4"/>
      <c r="I11" s="4"/>
      <c r="U11" t="str">
        <f>IF(ISNUMBER('BOOK ENTRY'!F11), COUNTIFS('BOOK ENTRY'!$F$2:'BOOK ENTRY'!F11, "&gt;=0"), "")</f>
        <v/>
      </c>
    </row>
    <row r="12" spans="1:21" x14ac:dyDescent="0.25">
      <c r="A12" s="50" t="str">
        <f t="shared" si="0"/>
        <v/>
      </c>
      <c r="B12" s="4" t="str">
        <f>IFERROR(VLOOKUP(A12,'BOOK ENTRY'!E:F,2,0),"")</f>
        <v/>
      </c>
      <c r="C12" t="str">
        <f>IFERROR(IF(B12=0,"EMPTY TRAY",VLOOKUP(B12,'Master Sheet'!$C:$E,3,0)),"")</f>
        <v/>
      </c>
      <c r="D12" s="4" t="str">
        <f>IFERROR(VLOOKUP(B12,'BOOK ENTRY'!F:G,2,0),"")</f>
        <v/>
      </c>
      <c r="E12" s="4" t="str">
        <f>IFERROR(IF(B12="","",VLOOKUP(B12,'Master Sheet'!C:H,6,0)),"")</f>
        <v/>
      </c>
      <c r="G12" s="4"/>
      <c r="I12" s="4"/>
      <c r="U12" t="str">
        <f>IF(ISNUMBER('BOOK ENTRY'!F12), COUNTIFS('BOOK ENTRY'!$F$2:'BOOK ENTRY'!F12, "&gt;=0"), "")</f>
        <v/>
      </c>
    </row>
    <row r="13" spans="1:21" x14ac:dyDescent="0.25">
      <c r="A13" s="50" t="str">
        <f t="shared" si="0"/>
        <v/>
      </c>
      <c r="B13" s="4" t="str">
        <f>IFERROR(VLOOKUP(A13,'BOOK ENTRY'!E:F,2,0),"")</f>
        <v/>
      </c>
      <c r="C13" t="str">
        <f>IFERROR(IF(B13=0,"EMPTY TRAY",VLOOKUP(B13,'Master Sheet'!$C:$E,3,0)),"")</f>
        <v/>
      </c>
      <c r="D13" s="4" t="str">
        <f>IFERROR(VLOOKUP(B13,'BOOK ENTRY'!F:G,2,0),"")</f>
        <v/>
      </c>
      <c r="E13" s="4" t="str">
        <f>IFERROR(IF(B13="","",VLOOKUP(B13,'Master Sheet'!C:H,6,0)),"")</f>
        <v/>
      </c>
      <c r="G13" s="4"/>
      <c r="I13" s="4" t="s">
        <v>32</v>
      </c>
      <c r="U13" t="str">
        <f>IF(ISNUMBER('BOOK ENTRY'!F13), COUNTIFS('BOOK ENTRY'!$F$2:'BOOK ENTRY'!F13, "&gt;=0"), "")</f>
        <v/>
      </c>
    </row>
    <row r="14" spans="1:21" x14ac:dyDescent="0.25">
      <c r="A14" s="50" t="str">
        <f t="shared" si="0"/>
        <v/>
      </c>
      <c r="B14" s="4" t="str">
        <f>IFERROR(VLOOKUP(A14,'BOOK ENTRY'!E:F,2,0),"")</f>
        <v/>
      </c>
      <c r="C14" t="str">
        <f>IFERROR(IF(B14=0,"EMPTY TRAY",VLOOKUP(B14,'Master Sheet'!$C:$E,3,0)),"")</f>
        <v/>
      </c>
      <c r="D14" s="4" t="str">
        <f>IFERROR(VLOOKUP(B14,'BOOK ENTRY'!F:G,2,0),"")</f>
        <v/>
      </c>
      <c r="E14" s="4" t="str">
        <f>IFERROR(IF(B14="","",VLOOKUP(B14,'Master Sheet'!C:H,6,0)),"")</f>
        <v/>
      </c>
      <c r="G14" s="4"/>
      <c r="I14" s="4"/>
      <c r="U14" t="str">
        <f>IF(ISNUMBER('BOOK ENTRY'!F14), COUNTIFS('BOOK ENTRY'!$F$2:'BOOK ENTRY'!F14, "&gt;=0"), "")</f>
        <v/>
      </c>
    </row>
    <row r="15" spans="1:21" x14ac:dyDescent="0.25">
      <c r="A15" s="50" t="str">
        <f t="shared" si="0"/>
        <v/>
      </c>
      <c r="B15" s="4" t="str">
        <f>IFERROR(VLOOKUP(A15,'BOOK ENTRY'!E:F,2,0),"")</f>
        <v/>
      </c>
      <c r="C15" t="str">
        <f>IFERROR(IF(B15=0,"EMPTY TRAY",VLOOKUP(B15,'Master Sheet'!$C:$E,3,0)),"")</f>
        <v/>
      </c>
      <c r="D15" s="4" t="str">
        <f>IFERROR(VLOOKUP(B15,'BOOK ENTRY'!F:G,2,0),"")</f>
        <v/>
      </c>
      <c r="E15" s="4" t="str">
        <f>IFERROR(IF(B15="","",VLOOKUP(B15,'Master Sheet'!C:H,6,0)),"")</f>
        <v/>
      </c>
      <c r="G15" s="4"/>
      <c r="I15" s="4"/>
      <c r="U15" t="str">
        <f>IF(ISNUMBER('BOOK ENTRY'!F15), COUNTIFS('BOOK ENTRY'!$F$2:'BOOK ENTRY'!F15, "&gt;=0"), "")</f>
        <v/>
      </c>
    </row>
    <row r="16" spans="1:21" x14ac:dyDescent="0.25">
      <c r="A16" s="50" t="str">
        <f t="shared" si="0"/>
        <v/>
      </c>
      <c r="B16" s="4" t="str">
        <f>IFERROR(VLOOKUP(A16,'BOOK ENTRY'!E:F,2,0),"")</f>
        <v/>
      </c>
      <c r="C16" t="str">
        <f>IFERROR(IF(B16=0,"EMPTY TRAY",VLOOKUP(B16,'Master Sheet'!$C:$E,3,0)),"")</f>
        <v/>
      </c>
      <c r="D16" s="4" t="str">
        <f>IFERROR(VLOOKUP(B16,'BOOK ENTRY'!F:G,2,0),"")</f>
        <v/>
      </c>
      <c r="E16" s="4" t="str">
        <f>IFERROR(IF(B16="","",VLOOKUP(B16,'Master Sheet'!C:H,6,0)),"")</f>
        <v/>
      </c>
      <c r="G16" s="4"/>
      <c r="I16" s="4"/>
      <c r="U16" t="str">
        <f>IF(ISNUMBER('BOOK ENTRY'!F16), COUNTIFS('BOOK ENTRY'!$F$2:'BOOK ENTRY'!F16, "&gt;=0"), "")</f>
        <v/>
      </c>
    </row>
    <row r="17" spans="1:21" x14ac:dyDescent="0.25">
      <c r="A17" s="50" t="str">
        <f t="shared" si="0"/>
        <v/>
      </c>
      <c r="B17" s="4" t="str">
        <f>IFERROR(VLOOKUP(A17,'BOOK ENTRY'!E:F,2,0),"")</f>
        <v/>
      </c>
      <c r="C17" t="str">
        <f>IFERROR(IF(B17=0,"EMPTY TRAY",VLOOKUP(B17,'Master Sheet'!$C:$E,3,0)),"")</f>
        <v/>
      </c>
      <c r="D17" s="4" t="str">
        <f>IFERROR(VLOOKUP(B17,'BOOK ENTRY'!F:G,2,0),"")</f>
        <v/>
      </c>
      <c r="E17" s="4" t="str">
        <f>IFERROR(IF(B17="","",VLOOKUP(B17,'Master Sheet'!C:H,6,0)),"")</f>
        <v/>
      </c>
      <c r="G17" s="4"/>
      <c r="U17" t="str">
        <f>IF(ISNUMBER('BOOK ENTRY'!F17), COUNTIFS('BOOK ENTRY'!$F$2:'BOOK ENTRY'!F17, "&gt;=0"), "")</f>
        <v/>
      </c>
    </row>
    <row r="18" spans="1:21" x14ac:dyDescent="0.25">
      <c r="A18" s="50" t="str">
        <f t="shared" si="0"/>
        <v/>
      </c>
      <c r="B18" s="4" t="str">
        <f>IFERROR(VLOOKUP(A18,'BOOK ENTRY'!E:F,2,0),"")</f>
        <v/>
      </c>
      <c r="C18" t="str">
        <f>IFERROR(IF(B18=0,"EMPTY TRAY",VLOOKUP(B18,'Master Sheet'!$C:$E,3,0)),"")</f>
        <v/>
      </c>
      <c r="D18" s="4" t="str">
        <f>IFERROR(VLOOKUP(B18,'BOOK ENTRY'!F:G,2,0),"")</f>
        <v/>
      </c>
      <c r="E18" s="4" t="str">
        <f>IFERROR(IF(B18="","",VLOOKUP(B18,'Master Sheet'!C:H,6,0)),"")</f>
        <v/>
      </c>
      <c r="G18" s="4"/>
      <c r="U18" t="str">
        <f>IF(ISNUMBER('BOOK ENTRY'!F18), COUNTIFS('BOOK ENTRY'!$F$2:'BOOK ENTRY'!F18, "&gt;=0"), "")</f>
        <v/>
      </c>
    </row>
    <row r="19" spans="1:21" x14ac:dyDescent="0.25">
      <c r="A19" s="50" t="str">
        <f t="shared" si="0"/>
        <v/>
      </c>
      <c r="B19" s="4" t="str">
        <f>IFERROR(VLOOKUP(A19,'BOOK ENTRY'!E:F,2,0),"")</f>
        <v/>
      </c>
      <c r="C19" t="str">
        <f>IFERROR(IF(B19=0,"EMPTY TRAY",VLOOKUP(B19,'Master Sheet'!$C:$E,3,0)),"")</f>
        <v/>
      </c>
      <c r="D19" s="4" t="str">
        <f>IFERROR(VLOOKUP(B19,'BOOK ENTRY'!F:G,2,0),"")</f>
        <v/>
      </c>
      <c r="E19" s="4" t="str">
        <f>IFERROR(IF(B19="","",VLOOKUP(B19,'Master Sheet'!C:H,6,0)),"")</f>
        <v/>
      </c>
      <c r="G19" s="4"/>
      <c r="U19" t="str">
        <f>IF(ISNUMBER('BOOK ENTRY'!F19), COUNTIFS('BOOK ENTRY'!$F$2:'BOOK ENTRY'!F19, "&gt;=0"), "")</f>
        <v/>
      </c>
    </row>
    <row r="20" spans="1:21" x14ac:dyDescent="0.25">
      <c r="A20" s="50" t="str">
        <f t="shared" si="0"/>
        <v/>
      </c>
      <c r="B20" s="4" t="str">
        <f>IFERROR(VLOOKUP(A20,'BOOK ENTRY'!E:F,2,0),"")</f>
        <v/>
      </c>
      <c r="C20" t="str">
        <f>IFERROR(IF(B20=0,"EMPTY TRAY",VLOOKUP(B20,'Master Sheet'!$C:$E,3,0)),"")</f>
        <v/>
      </c>
      <c r="D20" s="4" t="str">
        <f>IFERROR(VLOOKUP(B20,'BOOK ENTRY'!F:G,2,0),"")</f>
        <v/>
      </c>
      <c r="E20" s="4" t="str">
        <f>IFERROR(IF(B20="","",VLOOKUP(B20,'Master Sheet'!C:H,6,0)),"")</f>
        <v/>
      </c>
      <c r="G20" s="4"/>
      <c r="U20" t="str">
        <f>IF(ISNUMBER('BOOK ENTRY'!F20), COUNTIFS('BOOK ENTRY'!$F$2:'BOOK ENTRY'!F20, "&gt;=0"), "")</f>
        <v/>
      </c>
    </row>
    <row r="21" spans="1:21" x14ac:dyDescent="0.25">
      <c r="A21" s="50" t="str">
        <f t="shared" si="0"/>
        <v/>
      </c>
      <c r="B21" s="4" t="str">
        <f>IFERROR(VLOOKUP(A21,'BOOK ENTRY'!E:F,2,0),"")</f>
        <v/>
      </c>
      <c r="C21" t="str">
        <f>IFERROR(IF(B21=0,"EMPTY TRAY",VLOOKUP(B21,'Master Sheet'!$C:$E,3,0)),"")</f>
        <v/>
      </c>
      <c r="D21" s="4" t="str">
        <f>IFERROR(VLOOKUP(B21,'BOOK ENTRY'!F:G,2,0),"")</f>
        <v/>
      </c>
      <c r="E21" s="4" t="str">
        <f>IFERROR(IF(B21="","",VLOOKUP(B21,'Master Sheet'!C:H,6,0)),"")</f>
        <v/>
      </c>
      <c r="G21" s="4"/>
      <c r="U21" t="str">
        <f>IF(ISNUMBER('BOOK ENTRY'!F21), COUNTIFS('BOOK ENTRY'!$F$2:'BOOK ENTRY'!F21, "&gt;=0"), "")</f>
        <v/>
      </c>
    </row>
    <row r="22" spans="1:21" x14ac:dyDescent="0.25">
      <c r="A22" s="50" t="str">
        <f t="shared" si="0"/>
        <v/>
      </c>
      <c r="B22" s="4" t="str">
        <f>IFERROR(VLOOKUP(A22,'BOOK ENTRY'!E:F,2,0),"")</f>
        <v/>
      </c>
      <c r="C22" t="str">
        <f>IFERROR(IF(B22=0,"EMPTY TRAY",VLOOKUP(B22,'Master Sheet'!$C:$E,3,0)),"")</f>
        <v/>
      </c>
      <c r="D22" s="4" t="str">
        <f>IFERROR(VLOOKUP(B22,'BOOK ENTRY'!F:G,2,0),"")</f>
        <v/>
      </c>
      <c r="E22" s="4" t="str">
        <f>IFERROR(IF(B22="","",VLOOKUP(B22,'Master Sheet'!C:H,6,0)),"")</f>
        <v/>
      </c>
      <c r="G22" s="4"/>
      <c r="U22" t="str">
        <f>IF(ISNUMBER('BOOK ENTRY'!F22), COUNTIFS('BOOK ENTRY'!$F$2:'BOOK ENTRY'!F22, "&gt;=0"), "")</f>
        <v/>
      </c>
    </row>
    <row r="23" spans="1:21" x14ac:dyDescent="0.25">
      <c r="A23" s="50" t="str">
        <f t="shared" si="0"/>
        <v/>
      </c>
      <c r="B23" s="4" t="str">
        <f>IFERROR(VLOOKUP(A23,'BOOK ENTRY'!E:F,2,0),"")</f>
        <v/>
      </c>
      <c r="C23" t="str">
        <f>IFERROR(IF(B23=0,"EMPTY TRAY",VLOOKUP(B23,'Master Sheet'!$C:$E,3,0)),"")</f>
        <v/>
      </c>
      <c r="D23" s="4" t="str">
        <f>IFERROR(VLOOKUP(B23,'BOOK ENTRY'!F:G,2,0),"")</f>
        <v/>
      </c>
      <c r="E23" s="4" t="str">
        <f>IFERROR(IF(B23="","",VLOOKUP(B23,'Master Sheet'!C:H,6,0)),"")</f>
        <v/>
      </c>
      <c r="G23" s="4"/>
      <c r="U23" t="str">
        <f>IF(ISNUMBER('BOOK ENTRY'!F23), COUNTIFS('BOOK ENTRY'!$F$2:'BOOK ENTRY'!F23, "&gt;=0"), "")</f>
        <v/>
      </c>
    </row>
    <row r="24" spans="1:21" x14ac:dyDescent="0.25">
      <c r="A24" s="50" t="str">
        <f t="shared" si="0"/>
        <v/>
      </c>
      <c r="B24" s="4" t="str">
        <f>IFERROR(VLOOKUP(A24,'BOOK ENTRY'!E:F,2,0),"")</f>
        <v/>
      </c>
      <c r="C24" t="str">
        <f>IFERROR(IF(B24=0,"EMPTY TRAY",VLOOKUP(B24,'Master Sheet'!$C:$E,3,0)),"")</f>
        <v/>
      </c>
      <c r="D24" s="4" t="str">
        <f>IFERROR(VLOOKUP(B24,'BOOK ENTRY'!F:G,2,0),"")</f>
        <v/>
      </c>
      <c r="E24" s="4" t="str">
        <f>IFERROR(IF(B24="","",VLOOKUP(B24,'Master Sheet'!C:H,6,0)),"")</f>
        <v/>
      </c>
      <c r="G24" s="4"/>
      <c r="U24" t="str">
        <f>IF(ISNUMBER('BOOK ENTRY'!F24), COUNTIFS('BOOK ENTRY'!$F$2:'BOOK ENTRY'!F24, "&gt;=0"), "")</f>
        <v/>
      </c>
    </row>
    <row r="25" spans="1:21" x14ac:dyDescent="0.25">
      <c r="A25" s="50" t="str">
        <f t="shared" si="0"/>
        <v/>
      </c>
      <c r="B25" s="4" t="str">
        <f>IFERROR(VLOOKUP(A25,'BOOK ENTRY'!E:F,2,0),"")</f>
        <v/>
      </c>
      <c r="C25" t="str">
        <f>IFERROR(IF(B25=0,"EMPTY TRAY",VLOOKUP(B25,'Master Sheet'!$C:$E,3,0)),"")</f>
        <v/>
      </c>
      <c r="D25" s="4" t="str">
        <f>IFERROR(VLOOKUP(B25,'BOOK ENTRY'!F:G,2,0),"")</f>
        <v/>
      </c>
      <c r="E25" s="4" t="str">
        <f>IFERROR(IF(B25="","",VLOOKUP(B25,'Master Sheet'!C:H,6,0)),"")</f>
        <v/>
      </c>
      <c r="G25" s="4"/>
      <c r="H25" t="s">
        <v>32</v>
      </c>
      <c r="U25" t="str">
        <f>IF(ISNUMBER('BOOK ENTRY'!F25), COUNTIFS('BOOK ENTRY'!$F$2:'BOOK ENTRY'!F25, "&gt;=0"), "")</f>
        <v/>
      </c>
    </row>
    <row r="26" spans="1:21" x14ac:dyDescent="0.25">
      <c r="A26" s="50" t="str">
        <f t="shared" si="0"/>
        <v/>
      </c>
      <c r="B26" s="4" t="str">
        <f>IFERROR(VLOOKUP(A26,'BOOK ENTRY'!E:F,2,0),"")</f>
        <v/>
      </c>
      <c r="C26" t="str">
        <f>IFERROR(IF(B26=0,"EMPTY TRAY",VLOOKUP(B26,'Master Sheet'!$C:$E,3,0)),"")</f>
        <v/>
      </c>
      <c r="D26" s="4" t="str">
        <f>IFERROR(VLOOKUP(B26,'BOOK ENTRY'!F:G,2,0),"")</f>
        <v/>
      </c>
      <c r="E26" s="4" t="str">
        <f>IFERROR(IF(B26="","",VLOOKUP(B26,'Master Sheet'!C:H,6,0)),"")</f>
        <v/>
      </c>
      <c r="G26" s="4"/>
      <c r="U26" t="str">
        <f>IF(ISNUMBER('BOOK ENTRY'!F26), COUNTIFS('BOOK ENTRY'!$F$2:'BOOK ENTRY'!F26, "&gt;=0"), "")</f>
        <v/>
      </c>
    </row>
    <row r="27" spans="1:21" x14ac:dyDescent="0.25">
      <c r="A27" s="50" t="str">
        <f t="shared" si="0"/>
        <v/>
      </c>
      <c r="B27" s="4" t="str">
        <f>IFERROR(VLOOKUP(A27,'BOOK ENTRY'!E:F,2,0),"")</f>
        <v/>
      </c>
      <c r="C27" t="str">
        <f>IFERROR(IF(B27=0,"EMPTY TRAY",VLOOKUP(B27,'Master Sheet'!$C:$E,3,0)),"")</f>
        <v/>
      </c>
      <c r="D27" s="4" t="str">
        <f>IFERROR(VLOOKUP(B27,'BOOK ENTRY'!F:G,2,0),"")</f>
        <v/>
      </c>
      <c r="E27" s="4" t="str">
        <f>IFERROR(IF(B27="","",VLOOKUP(B27,'Master Sheet'!C:H,6,0)),"")</f>
        <v/>
      </c>
      <c r="G27" s="4"/>
      <c r="U27" t="str">
        <f>IF(ISNUMBER('BOOK ENTRY'!F27), COUNTIFS('BOOK ENTRY'!$F$2:'BOOK ENTRY'!F27, "&gt;=0"), "")</f>
        <v/>
      </c>
    </row>
    <row r="28" spans="1:21" x14ac:dyDescent="0.25">
      <c r="A28" s="50" t="str">
        <f t="shared" si="0"/>
        <v/>
      </c>
      <c r="B28" s="4" t="str">
        <f>IFERROR(VLOOKUP(A28,'BOOK ENTRY'!E:F,2,0),"")</f>
        <v/>
      </c>
      <c r="C28" t="str">
        <f>IFERROR(IF(B28=0,"EMPTY TRAY",VLOOKUP(B28,'Master Sheet'!$C:$E,3,0)),"")</f>
        <v/>
      </c>
      <c r="D28" s="4" t="str">
        <f>IFERROR(VLOOKUP(B28,'BOOK ENTRY'!F:G,2,0),"")</f>
        <v/>
      </c>
      <c r="E28" s="4" t="str">
        <f>IFERROR(IF(B28="","",VLOOKUP(B28,'Master Sheet'!C:H,6,0)),"")</f>
        <v/>
      </c>
      <c r="G28" s="4"/>
      <c r="U28" t="str">
        <f>IF(ISNUMBER('BOOK ENTRY'!F28), COUNTIFS('BOOK ENTRY'!$F$2:'BOOK ENTRY'!F28, "&gt;=0"), "")</f>
        <v/>
      </c>
    </row>
    <row r="29" spans="1:21" x14ac:dyDescent="0.25">
      <c r="A29" s="50" t="str">
        <f t="shared" si="0"/>
        <v/>
      </c>
      <c r="B29" s="4" t="str">
        <f>IFERROR(VLOOKUP(A29,'BOOK ENTRY'!E:F,2,0),"")</f>
        <v/>
      </c>
      <c r="C29" t="str">
        <f>IFERROR(IF(B29=0,"EMPTY TRAY",VLOOKUP(B29,'Master Sheet'!$C:$E,3,0)),"")</f>
        <v/>
      </c>
      <c r="D29" s="4" t="str">
        <f>IFERROR(VLOOKUP(B29,'BOOK ENTRY'!F:G,2,0),"")</f>
        <v/>
      </c>
      <c r="E29" s="4" t="str">
        <f>IFERROR(IF(B29="","",VLOOKUP(B29,'Master Sheet'!C:H,6,0)),"")</f>
        <v/>
      </c>
      <c r="G29" s="4"/>
      <c r="U29" t="str">
        <f>IF(ISNUMBER('BOOK ENTRY'!F29), COUNTIFS('BOOK ENTRY'!$F$2:'BOOK ENTRY'!F29, "&gt;=0"), "")</f>
        <v/>
      </c>
    </row>
    <row r="30" spans="1:21" x14ac:dyDescent="0.25">
      <c r="A30" s="50" t="str">
        <f t="shared" si="0"/>
        <v/>
      </c>
      <c r="B30" s="4" t="str">
        <f>IFERROR(VLOOKUP(A30,'BOOK ENTRY'!E:F,2,0),"")</f>
        <v/>
      </c>
      <c r="C30" t="str">
        <f>IFERROR(IF(B30=0,"EMPTY TRAY",VLOOKUP(B30,'Master Sheet'!$C:$E,3,0)),"")</f>
        <v/>
      </c>
      <c r="D30" s="4" t="str">
        <f>IFERROR(VLOOKUP(B30,'BOOK ENTRY'!F:G,2,0),"")</f>
        <v/>
      </c>
      <c r="E30" s="4" t="str">
        <f>IFERROR(IF(B30="","",VLOOKUP(B30,'Master Sheet'!C:H,6,0)),"")</f>
        <v/>
      </c>
      <c r="G30" s="4"/>
      <c r="U30" t="str">
        <f>IF(ISNUMBER('BOOK ENTRY'!F30), COUNTIFS('BOOK ENTRY'!$F$2:'BOOK ENTRY'!F30, "&gt;=0"), "")</f>
        <v/>
      </c>
    </row>
    <row r="31" spans="1:21" x14ac:dyDescent="0.25">
      <c r="A31" s="50" t="str">
        <f t="shared" si="0"/>
        <v/>
      </c>
      <c r="B31" s="4" t="str">
        <f>IFERROR(VLOOKUP(A31,'BOOK ENTRY'!E:F,2,0),"")</f>
        <v/>
      </c>
      <c r="C31" t="str">
        <f>IFERROR(IF(B31=0,"EMPTY TRAY",VLOOKUP(B31,'Master Sheet'!$C:$E,3,0)),"")</f>
        <v/>
      </c>
      <c r="D31" s="4" t="str">
        <f>IFERROR(VLOOKUP(B31,'BOOK ENTRY'!F:G,2,0),"")</f>
        <v/>
      </c>
      <c r="E31" s="4" t="str">
        <f>IFERROR(IF(B31="","",VLOOKUP(B31,'Master Sheet'!C:H,6,0)),"")</f>
        <v/>
      </c>
      <c r="G31" s="4"/>
      <c r="U31" t="str">
        <f>IF(ISNUMBER('BOOK ENTRY'!F31), COUNTIFS('BOOK ENTRY'!$F$2:'BOOK ENTRY'!F31, "&gt;=0"), "")</f>
        <v/>
      </c>
    </row>
    <row r="32" spans="1:21" x14ac:dyDescent="0.25">
      <c r="A32" s="50" t="str">
        <f t="shared" si="0"/>
        <v/>
      </c>
      <c r="B32" s="4" t="str">
        <f>IFERROR(VLOOKUP(A32,'BOOK ENTRY'!E:F,2,0),"")</f>
        <v/>
      </c>
      <c r="C32" t="str">
        <f>IFERROR(IF(B32=0,"EMPTY TRAY",VLOOKUP(B32,'Master Sheet'!$C:$E,3,0)),"")</f>
        <v/>
      </c>
      <c r="D32" s="4" t="str">
        <f>IFERROR(VLOOKUP(B32,'BOOK ENTRY'!F:G,2,0),"")</f>
        <v/>
      </c>
      <c r="E32" s="4" t="str">
        <f>IFERROR(IF(B32="","",VLOOKUP(B32,'Master Sheet'!C:H,6,0)),"")</f>
        <v/>
      </c>
      <c r="G32" s="4"/>
      <c r="U32" t="str">
        <f>IF(ISNUMBER('BOOK ENTRY'!F32), COUNTIFS('BOOK ENTRY'!$F$2:'BOOK ENTRY'!F32, "&gt;=0"), "")</f>
        <v/>
      </c>
    </row>
    <row r="33" spans="1:21" x14ac:dyDescent="0.25">
      <c r="A33" s="50" t="str">
        <f t="shared" si="0"/>
        <v/>
      </c>
      <c r="B33" s="4" t="str">
        <f>IFERROR(VLOOKUP(A33,'BOOK ENTRY'!E:F,2,0),"")</f>
        <v/>
      </c>
      <c r="C33" t="str">
        <f>IFERROR(IF(B33=0,"EMPTY TRAY",VLOOKUP(B33,'Master Sheet'!$C:$E,3,0)),"")</f>
        <v/>
      </c>
      <c r="D33" s="4" t="str">
        <f>IFERROR(VLOOKUP(B33,'BOOK ENTRY'!F:G,2,0),"")</f>
        <v/>
      </c>
      <c r="E33" s="4" t="str">
        <f>IFERROR(IF(B33="","",VLOOKUP(B33,'Master Sheet'!C:H,6,0)),"")</f>
        <v/>
      </c>
      <c r="G33" s="4"/>
      <c r="U33" t="str">
        <f>IF(ISNUMBER('BOOK ENTRY'!F33), COUNTIFS('BOOK ENTRY'!$F$2:'BOOK ENTRY'!F33, "&gt;=0"), "")</f>
        <v/>
      </c>
    </row>
    <row r="34" spans="1:21" x14ac:dyDescent="0.25">
      <c r="A34" s="50" t="str">
        <f t="shared" ref="A34:A65" si="1">IF(U34="","",U34)</f>
        <v/>
      </c>
      <c r="B34" s="4" t="str">
        <f>IFERROR(VLOOKUP(A34,'BOOK ENTRY'!E:F,2,0),"")</f>
        <v/>
      </c>
      <c r="C34" t="str">
        <f>IFERROR(IF(B34=0,"EMPTY TRAY",VLOOKUP(B34,'Master Sheet'!$C:$E,3,0)),"")</f>
        <v/>
      </c>
      <c r="D34" s="4" t="str">
        <f>IFERROR(VLOOKUP(B34,'BOOK ENTRY'!F:G,2,0),"")</f>
        <v/>
      </c>
      <c r="E34" s="4" t="str">
        <f>IFERROR(IF(B34="","",VLOOKUP(B34,'Master Sheet'!C:H,6,0)),"")</f>
        <v/>
      </c>
      <c r="G34" s="4"/>
      <c r="H34" t="s">
        <v>32</v>
      </c>
      <c r="U34" t="str">
        <f>IF(ISNUMBER('BOOK ENTRY'!F34), COUNTIFS('BOOK ENTRY'!$F$2:'BOOK ENTRY'!F34, "&gt;=0"), "")</f>
        <v/>
      </c>
    </row>
    <row r="35" spans="1:21" x14ac:dyDescent="0.25">
      <c r="A35" s="50" t="str">
        <f t="shared" si="1"/>
        <v/>
      </c>
      <c r="B35" s="4" t="str">
        <f>IFERROR(VLOOKUP(A35,'BOOK ENTRY'!E:F,2,0),"")</f>
        <v/>
      </c>
      <c r="C35" t="str">
        <f>IFERROR(IF(B35=0,"EMPTY TRAY",VLOOKUP(B35,'Master Sheet'!$C:$E,3,0)),"")</f>
        <v/>
      </c>
      <c r="D35" s="4" t="str">
        <f>IFERROR(VLOOKUP(B35,'BOOK ENTRY'!F:G,2,0),"")</f>
        <v/>
      </c>
      <c r="E35" s="4" t="str">
        <f>IFERROR(IF(B35="","",VLOOKUP(B35,'Master Sheet'!C:H,6,0)),"")</f>
        <v/>
      </c>
      <c r="G35" s="4"/>
      <c r="U35" t="str">
        <f>IF(ISNUMBER('BOOK ENTRY'!F35), COUNTIFS('BOOK ENTRY'!$F$2:'BOOK ENTRY'!F35, "&gt;=0"), "")</f>
        <v/>
      </c>
    </row>
    <row r="36" spans="1:21" x14ac:dyDescent="0.25">
      <c r="A36" s="50" t="str">
        <f t="shared" si="1"/>
        <v/>
      </c>
      <c r="B36" s="4" t="str">
        <f>IFERROR(VLOOKUP(A36,'BOOK ENTRY'!E:F,2,0),"")</f>
        <v/>
      </c>
      <c r="C36" t="str">
        <f>IFERROR(IF(B36=0,"EMPTY TRAY",VLOOKUP(B36,'Master Sheet'!$C:$E,3,0)),"")</f>
        <v/>
      </c>
      <c r="D36" s="4" t="str">
        <f>IFERROR(VLOOKUP(B36,'BOOK ENTRY'!F:G,2,0),"")</f>
        <v/>
      </c>
      <c r="E36" s="4" t="str">
        <f>IFERROR(IF(B36="","",VLOOKUP(B36,'Master Sheet'!C:H,6,0)),"")</f>
        <v/>
      </c>
      <c r="G36" s="4"/>
      <c r="U36" t="str">
        <f>IF(ISNUMBER('BOOK ENTRY'!F36), COUNTIFS('BOOK ENTRY'!$F$2:'BOOK ENTRY'!F36, "&gt;=0"), "")</f>
        <v/>
      </c>
    </row>
    <row r="37" spans="1:21" x14ac:dyDescent="0.25">
      <c r="A37" s="50" t="str">
        <f t="shared" si="1"/>
        <v/>
      </c>
      <c r="B37" s="4" t="str">
        <f>IFERROR(VLOOKUP(A37,'BOOK ENTRY'!E:F,2,0),"")</f>
        <v/>
      </c>
      <c r="C37" t="str">
        <f>IFERROR(IF(B37=0,"EMPTY TRAY",VLOOKUP(B37,'Master Sheet'!$C:$E,3,0)),"")</f>
        <v/>
      </c>
      <c r="D37" s="4" t="str">
        <f>IFERROR(VLOOKUP(B37,'BOOK ENTRY'!F:G,2,0),"")</f>
        <v/>
      </c>
      <c r="E37" s="4" t="str">
        <f>IFERROR(IF(B37="","",VLOOKUP(B37,'Master Sheet'!C:H,6,0)),"")</f>
        <v/>
      </c>
      <c r="G37" s="4"/>
      <c r="U37" t="str">
        <f>IF(ISNUMBER('BOOK ENTRY'!F37), COUNTIFS('BOOK ENTRY'!$F$2:'BOOK ENTRY'!F37, "&gt;=0"), "")</f>
        <v/>
      </c>
    </row>
    <row r="38" spans="1:21" x14ac:dyDescent="0.25">
      <c r="A38" s="50" t="str">
        <f t="shared" si="1"/>
        <v/>
      </c>
      <c r="B38" s="4" t="str">
        <f>IFERROR(VLOOKUP(A38,'BOOK ENTRY'!E:F,2,0),"")</f>
        <v/>
      </c>
      <c r="C38" t="str">
        <f>IFERROR(IF(B38=0,"EMPTY TRAY",VLOOKUP(B38,'Master Sheet'!$C:$E,3,0)),"")</f>
        <v/>
      </c>
      <c r="D38" s="4" t="str">
        <f>IFERROR(VLOOKUP(B38,'BOOK ENTRY'!F:G,2,0),"")</f>
        <v/>
      </c>
      <c r="E38" s="4" t="str">
        <f>IFERROR(IF(B38="","",VLOOKUP(B38,'Master Sheet'!C:H,6,0)),"")</f>
        <v/>
      </c>
      <c r="G38" s="4"/>
      <c r="H38" t="s">
        <v>32</v>
      </c>
      <c r="U38" t="str">
        <f>IF(ISNUMBER('BOOK ENTRY'!F38), COUNTIFS('BOOK ENTRY'!$F$2:'BOOK ENTRY'!F38, "&gt;=0"), "")</f>
        <v/>
      </c>
    </row>
    <row r="39" spans="1:21" x14ac:dyDescent="0.25">
      <c r="A39" s="50" t="str">
        <f t="shared" si="1"/>
        <v/>
      </c>
      <c r="B39" s="4" t="str">
        <f>IFERROR(VLOOKUP(A39,'BOOK ENTRY'!E:F,2,0),"")</f>
        <v/>
      </c>
      <c r="C39" t="str">
        <f>IFERROR(IF(B39=0,"EMPTY TRAY",VLOOKUP(B39,'Master Sheet'!$C:$E,3,0)),"")</f>
        <v/>
      </c>
      <c r="D39" s="4" t="str">
        <f>IFERROR(VLOOKUP(B39,'BOOK ENTRY'!F:G,2,0),"")</f>
        <v/>
      </c>
      <c r="E39" s="4" t="str">
        <f>IFERROR(IF(B39="","",VLOOKUP(B39,'Master Sheet'!C:H,6,0)),"")</f>
        <v/>
      </c>
      <c r="G39" s="4"/>
      <c r="U39" t="str">
        <f>IF(ISNUMBER('BOOK ENTRY'!F39), COUNTIFS('BOOK ENTRY'!$F$2:'BOOK ENTRY'!F39, "&gt;=0"), "")</f>
        <v/>
      </c>
    </row>
    <row r="40" spans="1:21" x14ac:dyDescent="0.25">
      <c r="A40" s="50" t="str">
        <f t="shared" si="1"/>
        <v/>
      </c>
      <c r="B40" s="4" t="str">
        <f>IFERROR(VLOOKUP(A40,'BOOK ENTRY'!E:F,2,0),"")</f>
        <v/>
      </c>
      <c r="C40" t="str">
        <f>IFERROR(IF(B40=0,"EMPTY TRAY",VLOOKUP(B40,'Master Sheet'!$C:$E,3,0)),"")</f>
        <v/>
      </c>
      <c r="D40" s="4" t="str">
        <f>IFERROR(VLOOKUP(B40,'BOOK ENTRY'!F:G,2,0),"")</f>
        <v/>
      </c>
      <c r="E40" s="4" t="str">
        <f>IFERROR(IF(B40="","",VLOOKUP(B40,'Master Sheet'!C:H,6,0)),"")</f>
        <v/>
      </c>
      <c r="G40" s="4"/>
      <c r="U40" t="str">
        <f>IF(ISNUMBER('BOOK ENTRY'!F40), COUNTIFS('BOOK ENTRY'!$F$2:'BOOK ENTRY'!F40, "&gt;=0"), "")</f>
        <v/>
      </c>
    </row>
    <row r="41" spans="1:21" x14ac:dyDescent="0.25">
      <c r="A41" s="50" t="str">
        <f t="shared" si="1"/>
        <v/>
      </c>
      <c r="B41" s="4" t="str">
        <f>IFERROR(VLOOKUP(A41,'BOOK ENTRY'!E:F,2,0),"")</f>
        <v/>
      </c>
      <c r="C41" t="str">
        <f>IFERROR(IF(B41=0,"EMPTY TRAY",VLOOKUP(B41,'Master Sheet'!$C:$E,3,0)),"")</f>
        <v/>
      </c>
      <c r="D41" s="4" t="str">
        <f>IFERROR(VLOOKUP(B41,'BOOK ENTRY'!F:G,2,0),"")</f>
        <v/>
      </c>
      <c r="E41" s="4" t="str">
        <f>IFERROR(IF(B41="","",VLOOKUP(B41,'Master Sheet'!C:H,6,0)),"")</f>
        <v/>
      </c>
      <c r="G41" s="4"/>
      <c r="U41" t="str">
        <f>IF(ISNUMBER('BOOK ENTRY'!F41), COUNTIFS('BOOK ENTRY'!$F$2:'BOOK ENTRY'!F41, "&gt;=0"), "")</f>
        <v/>
      </c>
    </row>
    <row r="42" spans="1:21" x14ac:dyDescent="0.25">
      <c r="A42" s="50" t="str">
        <f t="shared" si="1"/>
        <v/>
      </c>
      <c r="B42" s="4" t="str">
        <f>IFERROR(VLOOKUP(A42,'BOOK ENTRY'!E:F,2,0),"")</f>
        <v/>
      </c>
      <c r="C42" t="str">
        <f>IFERROR(IF(B42=0,"EMPTY TRAY",VLOOKUP(B42,'Master Sheet'!$C:$E,3,0)),"")</f>
        <v/>
      </c>
      <c r="D42" s="4" t="str">
        <f>IFERROR(VLOOKUP(B42,'BOOK ENTRY'!F:G,2,0),"")</f>
        <v/>
      </c>
      <c r="E42" s="4" t="str">
        <f>IFERROR(IF(B42="","",VLOOKUP(B42,'Master Sheet'!C:H,6,0)),"")</f>
        <v/>
      </c>
      <c r="G42" s="4"/>
      <c r="U42" t="str">
        <f>IF(ISNUMBER('BOOK ENTRY'!F42), COUNTIFS('BOOK ENTRY'!$F$2:'BOOK ENTRY'!F42, "&gt;=0"), "")</f>
        <v/>
      </c>
    </row>
    <row r="43" spans="1:21" x14ac:dyDescent="0.25">
      <c r="A43" s="50" t="str">
        <f t="shared" si="1"/>
        <v/>
      </c>
      <c r="B43" s="4" t="str">
        <f>IFERROR(VLOOKUP(A43,'BOOK ENTRY'!E:F,2,0),"")</f>
        <v/>
      </c>
      <c r="C43" t="str">
        <f>IFERROR(IF(B43=0,"EMPTY TRAY",VLOOKUP(B43,'Master Sheet'!$C:$E,3,0)),"")</f>
        <v/>
      </c>
      <c r="D43" s="4" t="str">
        <f>IFERROR(VLOOKUP(B43,'BOOK ENTRY'!F:G,2,0),"")</f>
        <v/>
      </c>
      <c r="E43" s="4" t="str">
        <f>IFERROR(IF(B43="","",VLOOKUP(B43,'Master Sheet'!C:H,6,0)),"")</f>
        <v/>
      </c>
      <c r="G43" s="4"/>
      <c r="U43" t="str">
        <f>IF(ISNUMBER('BOOK ENTRY'!F43), COUNTIFS('BOOK ENTRY'!$F$2:'BOOK ENTRY'!F43, "&gt;=0"), "")</f>
        <v/>
      </c>
    </row>
    <row r="44" spans="1:21" x14ac:dyDescent="0.25">
      <c r="A44" s="50" t="str">
        <f t="shared" si="1"/>
        <v/>
      </c>
      <c r="B44" s="4" t="str">
        <f>IFERROR(VLOOKUP(A44,'BOOK ENTRY'!E:F,2,0),"")</f>
        <v/>
      </c>
      <c r="C44" t="str">
        <f>IFERROR(IF(B44=0,"EMPTY TRAY",VLOOKUP(B44,'Master Sheet'!$C:$E,3,0)),"")</f>
        <v/>
      </c>
      <c r="D44" s="4" t="str">
        <f>IFERROR(VLOOKUP(B44,'BOOK ENTRY'!F:G,2,0),"")</f>
        <v/>
      </c>
      <c r="E44" s="4" t="str">
        <f>IFERROR(IF(B44="","",VLOOKUP(B44,'Master Sheet'!C:H,6,0)),"")</f>
        <v/>
      </c>
      <c r="G44" s="4"/>
      <c r="U44" t="str">
        <f>IF(ISNUMBER('BOOK ENTRY'!F44), COUNTIFS('BOOK ENTRY'!$F$2:'BOOK ENTRY'!F44, "&gt;=0"), "")</f>
        <v/>
      </c>
    </row>
    <row r="45" spans="1:21" x14ac:dyDescent="0.25">
      <c r="A45" s="50" t="str">
        <f t="shared" si="1"/>
        <v/>
      </c>
      <c r="B45" s="4" t="str">
        <f>IFERROR(VLOOKUP(A45,'BOOK ENTRY'!E:F,2,0),"")</f>
        <v/>
      </c>
      <c r="C45" t="str">
        <f>IFERROR(IF(B45=0,"EMPTY TRAY",VLOOKUP(B45,'Master Sheet'!$C:$E,3,0)),"")</f>
        <v/>
      </c>
      <c r="D45" s="4" t="str">
        <f>IFERROR(VLOOKUP(B45,'BOOK ENTRY'!F:G,2,0),"")</f>
        <v/>
      </c>
      <c r="E45" s="4" t="str">
        <f>IFERROR(IF(B45="","",VLOOKUP(B45,'Master Sheet'!C:H,6,0)),"")</f>
        <v/>
      </c>
      <c r="G45" s="4"/>
      <c r="U45" t="str">
        <f>IF(ISNUMBER('BOOK ENTRY'!F45), COUNTIFS('BOOK ENTRY'!$F$2:'BOOK ENTRY'!F45, "&gt;=0"), "")</f>
        <v/>
      </c>
    </row>
    <row r="46" spans="1:21" x14ac:dyDescent="0.25">
      <c r="A46" s="50" t="str">
        <f t="shared" si="1"/>
        <v/>
      </c>
      <c r="B46" s="4" t="str">
        <f>IFERROR(VLOOKUP(A46,'BOOK ENTRY'!E:F,2,0),"")</f>
        <v/>
      </c>
      <c r="C46" t="str">
        <f>IFERROR(IF(B46=0,"EMPTY TRAY",VLOOKUP(B46,'Master Sheet'!$C:$E,3,0)),"")</f>
        <v/>
      </c>
      <c r="D46" s="4" t="str">
        <f>IFERROR(VLOOKUP(B46,'BOOK ENTRY'!F:G,2,0),"")</f>
        <v/>
      </c>
      <c r="E46" s="4" t="str">
        <f>IFERROR(IF(B46="","",VLOOKUP(B46,'Master Sheet'!C:H,6,0)),"")</f>
        <v/>
      </c>
      <c r="G46" s="4"/>
      <c r="U46" t="str">
        <f>IF(ISNUMBER('BOOK ENTRY'!F46), COUNTIFS('BOOK ENTRY'!$F$2:'BOOK ENTRY'!F46, "&gt;=0"), "")</f>
        <v/>
      </c>
    </row>
    <row r="47" spans="1:21" x14ac:dyDescent="0.25">
      <c r="A47" s="50" t="str">
        <f t="shared" si="1"/>
        <v/>
      </c>
      <c r="B47" s="4" t="str">
        <f>IFERROR(VLOOKUP(A47,'BOOK ENTRY'!E:F,2,0),"")</f>
        <v/>
      </c>
      <c r="C47" t="str">
        <f>IFERROR(IF(B47=0,"EMPTY TRAY",VLOOKUP(B47,'Master Sheet'!$C:$E,3,0)),"")</f>
        <v/>
      </c>
      <c r="D47" s="4" t="str">
        <f>IFERROR(VLOOKUP(B47,'BOOK ENTRY'!F:G,2,0),"")</f>
        <v/>
      </c>
      <c r="E47" s="4" t="str">
        <f>IFERROR(IF(B47="","",VLOOKUP(B47,'Master Sheet'!C:H,6,0)),"")</f>
        <v/>
      </c>
      <c r="G47" s="4"/>
      <c r="U47" t="str">
        <f>IF(ISNUMBER('BOOK ENTRY'!F47), COUNTIFS('BOOK ENTRY'!$F$2:'BOOK ENTRY'!F47, "&gt;=0"), "")</f>
        <v/>
      </c>
    </row>
    <row r="48" spans="1:21" x14ac:dyDescent="0.25">
      <c r="A48" s="50" t="str">
        <f t="shared" si="1"/>
        <v/>
      </c>
      <c r="B48" s="4" t="str">
        <f>IFERROR(VLOOKUP(A48,'BOOK ENTRY'!E:F,2,0),"")</f>
        <v/>
      </c>
      <c r="C48" t="str">
        <f>IFERROR(IF(B48=0,"EMPTY TRAY",VLOOKUP(B48,'Master Sheet'!$C:$E,3,0)),"")</f>
        <v/>
      </c>
      <c r="D48" s="4" t="str">
        <f>IFERROR(VLOOKUP(B48,'BOOK ENTRY'!F:G,2,0),"")</f>
        <v/>
      </c>
      <c r="E48" s="4" t="str">
        <f>IFERROR(IF(B48="","",VLOOKUP(B48,'Master Sheet'!C:H,6,0)),"")</f>
        <v/>
      </c>
      <c r="G48" s="4"/>
      <c r="U48" t="str">
        <f>IF(ISNUMBER('BOOK ENTRY'!F48), COUNTIFS('BOOK ENTRY'!$F$2:'BOOK ENTRY'!F48, "&gt;=0"), "")</f>
        <v/>
      </c>
    </row>
    <row r="49" spans="1:21" x14ac:dyDescent="0.25">
      <c r="A49" s="50" t="str">
        <f t="shared" si="1"/>
        <v/>
      </c>
      <c r="B49" s="4" t="str">
        <f>IFERROR(VLOOKUP(A49,'BOOK ENTRY'!E:F,2,0),"")</f>
        <v/>
      </c>
      <c r="C49" t="str">
        <f>IFERROR(IF(B49=0,"EMPTY TRAY",VLOOKUP(B49,'Master Sheet'!$C:$E,3,0)),"")</f>
        <v/>
      </c>
      <c r="D49" s="4" t="str">
        <f>IFERROR(VLOOKUP(B49,'BOOK ENTRY'!F:G,2,0),"")</f>
        <v/>
      </c>
      <c r="E49" s="4" t="str">
        <f>IFERROR(IF(B49="","",VLOOKUP(B49,'Master Sheet'!C:H,6,0)),"")</f>
        <v/>
      </c>
      <c r="U49" t="str">
        <f>IF(ISNUMBER('BOOK ENTRY'!F49), COUNTIFS('BOOK ENTRY'!$F$2:'BOOK ENTRY'!F49, "&gt;=0"), "")</f>
        <v/>
      </c>
    </row>
    <row r="50" spans="1:21" x14ac:dyDescent="0.25">
      <c r="A50" s="50" t="str">
        <f t="shared" si="1"/>
        <v/>
      </c>
      <c r="B50" s="4" t="str">
        <f>IFERROR(VLOOKUP(A50,'BOOK ENTRY'!E:F,2,0),"")</f>
        <v/>
      </c>
      <c r="C50" t="str">
        <f>IFERROR(IF(B50=0,"EMPTY TRAY",VLOOKUP(B50,'Master Sheet'!$C:$E,3,0)),"")</f>
        <v/>
      </c>
      <c r="D50" s="4" t="str">
        <f>IFERROR(VLOOKUP(B50,'BOOK ENTRY'!F:G,2,0),"")</f>
        <v/>
      </c>
      <c r="E50" s="4" t="str">
        <f>IFERROR(IF(B50="","",VLOOKUP(B50,'Master Sheet'!C:H,6,0)),"")</f>
        <v/>
      </c>
      <c r="U50" t="str">
        <f>IF(ISNUMBER('BOOK ENTRY'!F50), COUNTIFS('BOOK ENTRY'!$F$2:'BOOK ENTRY'!F50, "&gt;=0"), "")</f>
        <v/>
      </c>
    </row>
    <row r="51" spans="1:21" x14ac:dyDescent="0.25">
      <c r="A51" s="50" t="str">
        <f t="shared" si="1"/>
        <v/>
      </c>
      <c r="B51" s="4" t="str">
        <f>IFERROR(VLOOKUP(A51,'BOOK ENTRY'!E:F,2,0),"")</f>
        <v/>
      </c>
      <c r="C51" t="str">
        <f>IFERROR(IF(B51=0,"EMPTY TRAY",VLOOKUP(B51,'Master Sheet'!$C:$E,3,0)),"")</f>
        <v/>
      </c>
      <c r="D51" s="4" t="str">
        <f>IFERROR(VLOOKUP(B51,'BOOK ENTRY'!F:G,2,0),"")</f>
        <v/>
      </c>
      <c r="E51" s="4" t="str">
        <f>IFERROR(IF(B51="","",VLOOKUP(B51,'Master Sheet'!C:H,6,0)),"")</f>
        <v/>
      </c>
      <c r="U51" t="str">
        <f>IF(ISNUMBER('BOOK ENTRY'!F51), COUNTIFS('BOOK ENTRY'!$F$2:'BOOK ENTRY'!F51, "&gt;=0"), "")</f>
        <v/>
      </c>
    </row>
    <row r="52" spans="1:21" x14ac:dyDescent="0.25">
      <c r="A52" s="50" t="str">
        <f t="shared" si="1"/>
        <v/>
      </c>
      <c r="B52" s="4" t="str">
        <f>IFERROR(VLOOKUP(A52,'BOOK ENTRY'!E:F,2,0),"")</f>
        <v/>
      </c>
      <c r="D52" s="4" t="str">
        <f>IFERROR(VLOOKUP(B52,'BOOK ENTRY'!F:G,2,0),"")</f>
        <v/>
      </c>
      <c r="E52" s="4" t="str">
        <f>IFERROR(IF(B52="","",VLOOKUP(B52,'Master Sheet'!C:H,6,0)),"")</f>
        <v/>
      </c>
      <c r="U52" t="str">
        <f>IF(ISNUMBER('BOOK ENTRY'!F52), COUNTIFS('BOOK ENTRY'!$F$2:'BOOK ENTRY'!F52, "&gt;=0"), "")</f>
        <v/>
      </c>
    </row>
    <row r="53" spans="1:21" x14ac:dyDescent="0.25">
      <c r="A53" s="50" t="str">
        <f t="shared" si="1"/>
        <v/>
      </c>
      <c r="B53" s="4" t="str">
        <f>IFERROR(VLOOKUP(A53,'BOOK ENTRY'!E:F,2,0),"")</f>
        <v/>
      </c>
      <c r="C53" t="s">
        <v>41</v>
      </c>
      <c r="D53" s="4" t="str">
        <f>IFERROR(VLOOKUP(B53,'BOOK ENTRY'!F:G,2,0),"")</f>
        <v/>
      </c>
      <c r="E53" s="4" t="str">
        <f>IFERROR(IF(B53="","",VLOOKUP(B53,'Master Sheet'!C:H,6,0)),"")</f>
        <v/>
      </c>
      <c r="U53" t="str">
        <f>IF(ISNUMBER('BOOK ENTRY'!F53), COUNTIFS('BOOK ENTRY'!$F$2:'BOOK ENTRY'!F53, "&gt;=0"), "")</f>
        <v/>
      </c>
    </row>
    <row r="54" spans="1:21" x14ac:dyDescent="0.25">
      <c r="A54" s="50" t="str">
        <f t="shared" si="1"/>
        <v/>
      </c>
      <c r="B54" s="4" t="str">
        <f>IFERROR(VLOOKUP(A54,'BOOK ENTRY'!E:F,2,0),"")</f>
        <v/>
      </c>
      <c r="C54" t="s">
        <v>41</v>
      </c>
      <c r="D54" s="4" t="str">
        <f>IFERROR(VLOOKUP(B54,'BOOK ENTRY'!F:G,2,0),"")</f>
        <v/>
      </c>
      <c r="E54" s="4" t="str">
        <f>IFERROR(IF(B54="","",VLOOKUP(B54,'Master Sheet'!C:H,6,0)),"")</f>
        <v/>
      </c>
      <c r="U54" t="str">
        <f>IF(ISNUMBER('BOOK ENTRY'!F54), COUNTIFS('BOOK ENTRY'!$F$2:'BOOK ENTRY'!F54, "&gt;=0"), "")</f>
        <v/>
      </c>
    </row>
    <row r="55" spans="1:21" x14ac:dyDescent="0.25">
      <c r="A55" s="50" t="str">
        <f t="shared" si="1"/>
        <v/>
      </c>
      <c r="B55" s="4" t="str">
        <f>IFERROR(VLOOKUP(A55,'BOOK ENTRY'!E:F,2,0),"")</f>
        <v/>
      </c>
      <c r="C55" t="s">
        <v>41</v>
      </c>
      <c r="D55" s="4" t="str">
        <f>IFERROR(VLOOKUP(B55,'BOOK ENTRY'!F:G,2,0),"")</f>
        <v/>
      </c>
      <c r="E55" s="4" t="str">
        <f>IFERROR(IF(B55="","",VLOOKUP(B55,'Master Sheet'!C:H,6,0)),"")</f>
        <v/>
      </c>
      <c r="U55" t="str">
        <f>IF(ISNUMBER('BOOK ENTRY'!F55), COUNTIFS('BOOK ENTRY'!$F$2:'BOOK ENTRY'!F55, "&gt;=0"), "")</f>
        <v/>
      </c>
    </row>
    <row r="56" spans="1:21" x14ac:dyDescent="0.25">
      <c r="A56" s="50" t="str">
        <f t="shared" si="1"/>
        <v/>
      </c>
      <c r="B56" s="4" t="str">
        <f>IFERROR(VLOOKUP(A56,'BOOK ENTRY'!E:F,2,0),"")</f>
        <v/>
      </c>
      <c r="C56" t="s">
        <v>41</v>
      </c>
      <c r="D56" s="4" t="str">
        <f>IFERROR(VLOOKUP(B56,'BOOK ENTRY'!F:G,2,0),"")</f>
        <v/>
      </c>
      <c r="E56" s="4" t="str">
        <f>IFERROR(IF(B56="","",VLOOKUP(B56,'Master Sheet'!C:H,6,0)),"")</f>
        <v/>
      </c>
      <c r="U56" t="str">
        <f>IF(ISNUMBER('BOOK ENTRY'!F56), COUNTIFS('BOOK ENTRY'!$F$2:'BOOK ENTRY'!F56, "&gt;=0"), "")</f>
        <v/>
      </c>
    </row>
    <row r="57" spans="1:21" x14ac:dyDescent="0.25">
      <c r="A57" s="50" t="str">
        <f t="shared" si="1"/>
        <v/>
      </c>
      <c r="B57" s="4" t="str">
        <f>IFERROR(VLOOKUP(A57,'BOOK ENTRY'!E:F,2,0),"")</f>
        <v/>
      </c>
      <c r="C57" t="s">
        <v>41</v>
      </c>
      <c r="D57" s="4" t="str">
        <f>IFERROR(VLOOKUP(B57,'BOOK ENTRY'!F:G,2,0),"")</f>
        <v/>
      </c>
      <c r="E57" s="4" t="str">
        <f>IFERROR(IF(B57="","",VLOOKUP(B57,'Master Sheet'!C:H,6,0)),"")</f>
        <v/>
      </c>
      <c r="U57" t="str">
        <f>IF(ISNUMBER('BOOK ENTRY'!F57), COUNTIFS('BOOK ENTRY'!$F$2:'BOOK ENTRY'!F57, "&gt;=0"), "")</f>
        <v/>
      </c>
    </row>
    <row r="58" spans="1:21" x14ac:dyDescent="0.25">
      <c r="A58" s="50" t="str">
        <f t="shared" si="1"/>
        <v/>
      </c>
      <c r="B58" s="4" t="str">
        <f>IFERROR(VLOOKUP(A58,'BOOK ENTRY'!E:F,2,0),"")</f>
        <v/>
      </c>
      <c r="C58" t="s">
        <v>41</v>
      </c>
      <c r="D58" s="4" t="str">
        <f>IFERROR(VLOOKUP(B58,'BOOK ENTRY'!F:G,2,0),"")</f>
        <v/>
      </c>
      <c r="E58" s="4" t="str">
        <f>IFERROR(IF(B58="","",VLOOKUP(B58,'Master Sheet'!C:H,6,0)),"")</f>
        <v/>
      </c>
      <c r="U58" t="str">
        <f>IF(ISNUMBER('BOOK ENTRY'!F58), COUNTIFS('BOOK ENTRY'!$F$2:'BOOK ENTRY'!F58, "&gt;=0"), "")</f>
        <v/>
      </c>
    </row>
    <row r="59" spans="1:21" x14ac:dyDescent="0.25">
      <c r="A59" s="50" t="str">
        <f t="shared" si="1"/>
        <v/>
      </c>
      <c r="B59" s="4" t="str">
        <f>IFERROR(VLOOKUP(A59,'BOOK ENTRY'!E:F,2,0),"")</f>
        <v/>
      </c>
      <c r="C59" t="s">
        <v>41</v>
      </c>
      <c r="D59" s="4" t="str">
        <f>IFERROR(VLOOKUP(B59,'BOOK ENTRY'!F:G,2,0),"")</f>
        <v/>
      </c>
      <c r="E59" s="4" t="str">
        <f>IFERROR(IF(B59="","",VLOOKUP(B59,'Master Sheet'!C:H,6,0)),"")</f>
        <v/>
      </c>
      <c r="U59" t="str">
        <f>IF(ISNUMBER('BOOK ENTRY'!F59), COUNTIFS('BOOK ENTRY'!$F$2:'BOOK ENTRY'!F59, "&gt;=0"), "")</f>
        <v/>
      </c>
    </row>
    <row r="60" spans="1:21" x14ac:dyDescent="0.25">
      <c r="A60" s="50" t="str">
        <f t="shared" si="1"/>
        <v/>
      </c>
      <c r="B60" s="4" t="str">
        <f>IFERROR(VLOOKUP(A60,'BOOK ENTRY'!E:F,2,0),"")</f>
        <v/>
      </c>
      <c r="C60" t="s">
        <v>41</v>
      </c>
      <c r="D60" s="4" t="str">
        <f>IFERROR(VLOOKUP(B60,'BOOK ENTRY'!F:G,2,0),"")</f>
        <v/>
      </c>
      <c r="E60" s="4" t="str">
        <f>IFERROR(IF(B60="","",VLOOKUP(B60,'Master Sheet'!C:H,6,0)),"")</f>
        <v/>
      </c>
      <c r="U60" t="str">
        <f>IF(ISNUMBER('BOOK ENTRY'!F60), COUNTIFS('BOOK ENTRY'!$F$2:'BOOK ENTRY'!F60, "&gt;=0"), "")</f>
        <v/>
      </c>
    </row>
    <row r="61" spans="1:21" x14ac:dyDescent="0.25">
      <c r="A61" s="50" t="str">
        <f t="shared" si="1"/>
        <v/>
      </c>
      <c r="B61" s="4" t="str">
        <f>IFERROR(VLOOKUP(A61,'BOOK ENTRY'!E:F,2,0),"")</f>
        <v/>
      </c>
      <c r="C61" t="s">
        <v>41</v>
      </c>
      <c r="D61" s="4" t="str">
        <f>IFERROR(VLOOKUP(B61,'BOOK ENTRY'!F:G,2,0),"")</f>
        <v/>
      </c>
      <c r="E61" s="4" t="str">
        <f>IFERROR(IF(B61="","",VLOOKUP(B61,'Master Sheet'!C:H,6,0)),"")</f>
        <v/>
      </c>
      <c r="U61" t="str">
        <f>IF(ISNUMBER('BOOK ENTRY'!F61), COUNTIFS('BOOK ENTRY'!$F$2:'BOOK ENTRY'!F61, "&gt;=0"), "")</f>
        <v/>
      </c>
    </row>
    <row r="62" spans="1:21" x14ac:dyDescent="0.25">
      <c r="A62" s="50" t="str">
        <f t="shared" si="1"/>
        <v/>
      </c>
      <c r="B62" s="4" t="str">
        <f>IFERROR(VLOOKUP(A62,'BOOK ENTRY'!E:F,2,0),"")</f>
        <v/>
      </c>
      <c r="C62" t="s">
        <v>41</v>
      </c>
      <c r="D62" s="4" t="str">
        <f>IFERROR(VLOOKUP(B62,'BOOK ENTRY'!F:G,2,0),"")</f>
        <v/>
      </c>
      <c r="E62" s="4" t="str">
        <f>IFERROR(IF(B62="","",VLOOKUP(B62,'Master Sheet'!C:H,6,0)),"")</f>
        <v/>
      </c>
      <c r="U62" t="str">
        <f>IF(ISNUMBER('BOOK ENTRY'!F62), COUNTIFS('BOOK ENTRY'!$F$2:'BOOK ENTRY'!F62, "&gt;=0"), "")</f>
        <v/>
      </c>
    </row>
    <row r="63" spans="1:21" x14ac:dyDescent="0.25">
      <c r="A63" s="50" t="str">
        <f t="shared" si="1"/>
        <v/>
      </c>
      <c r="B63" s="4" t="str">
        <f>IFERROR(VLOOKUP(A63,'BOOK ENTRY'!E:F,2,0),"")</f>
        <v/>
      </c>
      <c r="C63" t="s">
        <v>41</v>
      </c>
      <c r="D63" s="4" t="str">
        <f>IFERROR(VLOOKUP(B63,'BOOK ENTRY'!F:G,2,0),"")</f>
        <v/>
      </c>
      <c r="E63" s="4" t="str">
        <f>IFERROR(IF(B63="","",VLOOKUP(B63,'Master Sheet'!C:H,6,0)),"")</f>
        <v/>
      </c>
      <c r="U63" t="str">
        <f>IF(ISNUMBER('BOOK ENTRY'!F63), COUNTIFS('BOOK ENTRY'!$F$2:'BOOK ENTRY'!F63, "&gt;=0"), "")</f>
        <v/>
      </c>
    </row>
    <row r="64" spans="1:21" x14ac:dyDescent="0.25">
      <c r="A64" s="50" t="str">
        <f t="shared" si="1"/>
        <v/>
      </c>
      <c r="B64" s="4" t="str">
        <f>IFERROR(VLOOKUP(A64,'BOOK ENTRY'!E:F,2,0),"")</f>
        <v/>
      </c>
      <c r="C64" t="s">
        <v>41</v>
      </c>
      <c r="D64" s="4" t="str">
        <f>IFERROR(VLOOKUP(B64,'BOOK ENTRY'!F:G,2,0),"")</f>
        <v/>
      </c>
      <c r="E64" s="4" t="str">
        <f>IFERROR(IF(B64="","",VLOOKUP(B64,'Master Sheet'!C:H,6,0)),"")</f>
        <v/>
      </c>
      <c r="U64" t="str">
        <f>IF(ISNUMBER('BOOK ENTRY'!F64), COUNTIFS('BOOK ENTRY'!$F$2:'BOOK ENTRY'!F64, "&gt;=0"), "")</f>
        <v/>
      </c>
    </row>
    <row r="65" spans="1:21" x14ac:dyDescent="0.25">
      <c r="A65" s="50" t="str">
        <f t="shared" si="1"/>
        <v/>
      </c>
      <c r="B65" s="4" t="str">
        <f>IFERROR(VLOOKUP(A65,'BOOK ENTRY'!E:F,2,0),"")</f>
        <v/>
      </c>
      <c r="C65" t="s">
        <v>41</v>
      </c>
      <c r="D65" s="4" t="str">
        <f>IFERROR(VLOOKUP(B65,'BOOK ENTRY'!F:G,2,0),"")</f>
        <v/>
      </c>
      <c r="E65" s="4" t="str">
        <f>IFERROR(IF(B65="","",VLOOKUP(B65,'Master Sheet'!C:H,6,0)),"")</f>
        <v/>
      </c>
      <c r="U65" t="str">
        <f>IF(ISNUMBER('BOOK ENTRY'!F65), COUNTIFS('BOOK ENTRY'!$F$2:'BOOK ENTRY'!F65, "&gt;=0"), "")</f>
        <v/>
      </c>
    </row>
    <row r="66" spans="1:21" x14ac:dyDescent="0.25">
      <c r="A66" s="50" t="str">
        <f t="shared" ref="A66:A97" si="2">IF(U66="","",U66)</f>
        <v/>
      </c>
      <c r="B66" s="4" t="str">
        <f>IFERROR(VLOOKUP(A66,'BOOK ENTRY'!E:F,2,0),"")</f>
        <v/>
      </c>
      <c r="C66" t="s">
        <v>41</v>
      </c>
      <c r="D66" s="4" t="str">
        <f>IFERROR(VLOOKUP(B66,'BOOK ENTRY'!F:G,2,0),"")</f>
        <v/>
      </c>
      <c r="E66" s="4" t="str">
        <f>IFERROR(IF(B66="","",VLOOKUP(B66,'Master Sheet'!C:H,6,0)),"")</f>
        <v/>
      </c>
      <c r="U66" t="str">
        <f>IF(ISNUMBER('BOOK ENTRY'!F66), COUNTIFS('BOOK ENTRY'!$F$2:'BOOK ENTRY'!F66, "&gt;=0"), "")</f>
        <v/>
      </c>
    </row>
    <row r="67" spans="1:21" x14ac:dyDescent="0.25">
      <c r="A67" s="50" t="str">
        <f t="shared" si="2"/>
        <v/>
      </c>
      <c r="B67" s="4" t="str">
        <f>IFERROR(VLOOKUP(A67,'BOOK ENTRY'!E:F,2,0),"")</f>
        <v/>
      </c>
      <c r="C67" t="s">
        <v>41</v>
      </c>
      <c r="D67" s="4" t="str">
        <f>IFERROR(VLOOKUP(B67,'BOOK ENTRY'!F:G,2,0),"")</f>
        <v/>
      </c>
      <c r="E67" s="4" t="str">
        <f>IFERROR(IF(B67="","",VLOOKUP(B67,'Master Sheet'!C:H,6,0)),"")</f>
        <v/>
      </c>
      <c r="U67" t="str">
        <f>IF(ISNUMBER('BOOK ENTRY'!F67), COUNTIFS('BOOK ENTRY'!$F$2:'BOOK ENTRY'!F67, "&gt;=0"), "")</f>
        <v/>
      </c>
    </row>
    <row r="68" spans="1:21" x14ac:dyDescent="0.25">
      <c r="A68" s="50" t="str">
        <f t="shared" si="2"/>
        <v/>
      </c>
      <c r="B68" s="4" t="str">
        <f>IFERROR(VLOOKUP(A68,'BOOK ENTRY'!E:F,2,0),"")</f>
        <v/>
      </c>
      <c r="C68" t="s">
        <v>41</v>
      </c>
      <c r="D68" s="4" t="str">
        <f>IFERROR(VLOOKUP(B68,'BOOK ENTRY'!F:G,2,0),"")</f>
        <v/>
      </c>
      <c r="E68" s="4" t="str">
        <f>IFERROR(IF(B68="","",VLOOKUP(B68,'Master Sheet'!C:H,6,0)),"")</f>
        <v/>
      </c>
      <c r="U68" t="str">
        <f>IF(ISNUMBER('BOOK ENTRY'!F68), COUNTIFS('BOOK ENTRY'!$F$2:'BOOK ENTRY'!F68, "&gt;=0"), "")</f>
        <v/>
      </c>
    </row>
    <row r="69" spans="1:21" x14ac:dyDescent="0.25">
      <c r="A69" s="50" t="str">
        <f t="shared" si="2"/>
        <v/>
      </c>
      <c r="B69" s="4" t="str">
        <f>IFERROR(VLOOKUP(A69,'BOOK ENTRY'!E:F,2,0),"")</f>
        <v/>
      </c>
      <c r="C69" t="s">
        <v>41</v>
      </c>
      <c r="D69" s="4" t="str">
        <f>IFERROR(VLOOKUP(B69,'BOOK ENTRY'!F:G,2,0),"")</f>
        <v/>
      </c>
      <c r="E69" s="4" t="str">
        <f>IFERROR(IF(B69="","",VLOOKUP(B69,'Master Sheet'!C:H,6,0)),"")</f>
        <v/>
      </c>
      <c r="U69" t="str">
        <f>IF(ISNUMBER('BOOK ENTRY'!F69), COUNTIFS('BOOK ENTRY'!$F$2:'BOOK ENTRY'!F69, "&gt;=0"), "")</f>
        <v/>
      </c>
    </row>
    <row r="70" spans="1:21" x14ac:dyDescent="0.25">
      <c r="A70" s="50" t="str">
        <f t="shared" si="2"/>
        <v/>
      </c>
      <c r="B70" s="4" t="str">
        <f>IFERROR(VLOOKUP(A70,'BOOK ENTRY'!E:F,2,0),"")</f>
        <v/>
      </c>
      <c r="C70" t="s">
        <v>41</v>
      </c>
      <c r="D70" s="4" t="str">
        <f>IFERROR(VLOOKUP(B70,'BOOK ENTRY'!F:G,2,0),"")</f>
        <v/>
      </c>
      <c r="E70" s="4" t="str">
        <f>IFERROR(IF(B70="","",VLOOKUP(B70,'Master Sheet'!C:H,6,0)),"")</f>
        <v/>
      </c>
      <c r="U70" t="str">
        <f>IF(ISNUMBER('BOOK ENTRY'!F70), COUNTIFS('BOOK ENTRY'!$F$2:'BOOK ENTRY'!F70, "&gt;=0"), "")</f>
        <v/>
      </c>
    </row>
    <row r="71" spans="1:21" x14ac:dyDescent="0.25">
      <c r="A71" s="50" t="str">
        <f t="shared" si="2"/>
        <v/>
      </c>
      <c r="B71" s="4" t="str">
        <f>IFERROR(VLOOKUP(A71,'BOOK ENTRY'!E:F,2,0),"")</f>
        <v/>
      </c>
      <c r="C71" t="s">
        <v>41</v>
      </c>
      <c r="D71" s="4" t="str">
        <f>IFERROR(VLOOKUP(B71,'BOOK ENTRY'!F:G,2,0),"")</f>
        <v/>
      </c>
      <c r="E71" s="4" t="str">
        <f>IFERROR(IF(B71="","",VLOOKUP(B71,'Master Sheet'!C:H,6,0)),"")</f>
        <v/>
      </c>
      <c r="U71" t="str">
        <f>IF(ISNUMBER('BOOK ENTRY'!F71), COUNTIFS('BOOK ENTRY'!$F$2:'BOOK ENTRY'!F71, "&gt;=0"), "")</f>
        <v/>
      </c>
    </row>
    <row r="72" spans="1:21" x14ac:dyDescent="0.25">
      <c r="A72" s="50" t="str">
        <f t="shared" si="2"/>
        <v/>
      </c>
      <c r="B72" s="4" t="str">
        <f>IFERROR(VLOOKUP(A72,'BOOK ENTRY'!E:F,2,0),"")</f>
        <v/>
      </c>
      <c r="C72" t="s">
        <v>41</v>
      </c>
      <c r="D72" s="4" t="str">
        <f>IFERROR(VLOOKUP(B72,'BOOK ENTRY'!F:G,2,0),"")</f>
        <v/>
      </c>
      <c r="E72" s="4" t="str">
        <f>IFERROR(IF(B72="","",VLOOKUP(B72,'Master Sheet'!C:H,6,0)),"")</f>
        <v/>
      </c>
      <c r="U72" t="str">
        <f>IF(ISNUMBER('BOOK ENTRY'!F72), COUNTIFS('BOOK ENTRY'!$F$2:'BOOK ENTRY'!F72, "&gt;=0"), "")</f>
        <v/>
      </c>
    </row>
    <row r="73" spans="1:21" x14ac:dyDescent="0.25">
      <c r="A73" s="50" t="str">
        <f t="shared" si="2"/>
        <v/>
      </c>
      <c r="B73" s="4" t="str">
        <f>IFERROR(VLOOKUP(A73,'BOOK ENTRY'!E:F,2,0),"")</f>
        <v/>
      </c>
      <c r="C73" t="s">
        <v>41</v>
      </c>
      <c r="D73" s="4" t="str">
        <f>IFERROR(VLOOKUP(B73,'BOOK ENTRY'!F:G,2,0),"")</f>
        <v/>
      </c>
      <c r="E73" s="4" t="str">
        <f>IFERROR(IF(B73="","",VLOOKUP(B73,'Master Sheet'!C:H,6,0)),"")</f>
        <v/>
      </c>
      <c r="U73" t="str">
        <f>IF(ISNUMBER('BOOK ENTRY'!F73), COUNTIFS('BOOK ENTRY'!$F$2:'BOOK ENTRY'!F73, "&gt;=0"), "")</f>
        <v/>
      </c>
    </row>
    <row r="74" spans="1:21" x14ac:dyDescent="0.25">
      <c r="A74" s="50" t="str">
        <f t="shared" si="2"/>
        <v/>
      </c>
      <c r="B74" s="4" t="str">
        <f>IFERROR(VLOOKUP(A74,'BOOK ENTRY'!E:F,2,0),"")</f>
        <v/>
      </c>
      <c r="C74" t="s">
        <v>41</v>
      </c>
      <c r="D74" s="4" t="str">
        <f>IFERROR(VLOOKUP(B74,'BOOK ENTRY'!F:G,2,0),"")</f>
        <v/>
      </c>
      <c r="E74" s="4" t="str">
        <f>IFERROR(IF(B74="","",VLOOKUP(B74,'Master Sheet'!C:H,6,0)),"")</f>
        <v/>
      </c>
      <c r="U74" t="str">
        <f>IF(ISNUMBER('BOOK ENTRY'!F74), COUNTIFS('BOOK ENTRY'!$F$2:'BOOK ENTRY'!F74, "&gt;=0"), "")</f>
        <v/>
      </c>
    </row>
    <row r="75" spans="1:21" x14ac:dyDescent="0.25">
      <c r="A75" s="50" t="str">
        <f t="shared" si="2"/>
        <v/>
      </c>
      <c r="B75" s="4" t="str">
        <f>IFERROR(VLOOKUP(A75,'BOOK ENTRY'!E:F,2,0),"")</f>
        <v/>
      </c>
      <c r="C75" t="s">
        <v>41</v>
      </c>
      <c r="D75" s="4" t="str">
        <f>IFERROR(VLOOKUP(B75,'BOOK ENTRY'!F:G,2,0),"")</f>
        <v/>
      </c>
      <c r="E75" s="4" t="str">
        <f>IFERROR(IF(B75="","",VLOOKUP(B75,'Master Sheet'!C:H,6,0)),"")</f>
        <v/>
      </c>
      <c r="U75" t="str">
        <f>IF(ISNUMBER('BOOK ENTRY'!F75), COUNTIFS('BOOK ENTRY'!$F$2:'BOOK ENTRY'!F75, "&gt;=0"), "")</f>
        <v/>
      </c>
    </row>
    <row r="76" spans="1:21" x14ac:dyDescent="0.25">
      <c r="A76" s="50" t="str">
        <f t="shared" si="2"/>
        <v/>
      </c>
      <c r="B76" s="4" t="str">
        <f>IFERROR(VLOOKUP(A76,'BOOK ENTRY'!E:F,2,0),"")</f>
        <v/>
      </c>
      <c r="C76" t="s">
        <v>41</v>
      </c>
      <c r="D76" s="4" t="str">
        <f>IFERROR(VLOOKUP(B76,'BOOK ENTRY'!F:G,2,0),"")</f>
        <v/>
      </c>
      <c r="E76" s="4" t="str">
        <f>IFERROR(IF(B76="","",VLOOKUP(B76,'Master Sheet'!C:H,6,0)),"")</f>
        <v/>
      </c>
      <c r="U76" t="str">
        <f>IF(ISNUMBER('BOOK ENTRY'!F76), COUNTIFS('BOOK ENTRY'!$F$2:'BOOK ENTRY'!F76, "&gt;=0"), "")</f>
        <v/>
      </c>
    </row>
    <row r="77" spans="1:21" x14ac:dyDescent="0.25">
      <c r="A77" s="50" t="str">
        <f t="shared" si="2"/>
        <v/>
      </c>
      <c r="B77" s="4" t="str">
        <f>IFERROR(VLOOKUP(A77,'BOOK ENTRY'!E:F,2,0),"")</f>
        <v/>
      </c>
      <c r="C77" t="s">
        <v>41</v>
      </c>
      <c r="D77" s="4" t="str">
        <f>IFERROR(VLOOKUP(B77,'BOOK ENTRY'!F:G,2,0),"")</f>
        <v/>
      </c>
      <c r="E77" s="4" t="str">
        <f>IFERROR(IF(B77="","",VLOOKUP(B77,'Master Sheet'!C:H,6,0)),"")</f>
        <v/>
      </c>
      <c r="U77" t="str">
        <f>IF(ISNUMBER('BOOK ENTRY'!F77), COUNTIFS('BOOK ENTRY'!$F$2:'BOOK ENTRY'!F77, "&gt;=0"), "")</f>
        <v/>
      </c>
    </row>
    <row r="78" spans="1:21" x14ac:dyDescent="0.25">
      <c r="A78" s="50" t="str">
        <f t="shared" si="2"/>
        <v/>
      </c>
      <c r="B78" s="4" t="str">
        <f>IFERROR(VLOOKUP(A78,'BOOK ENTRY'!E:F,2,0),"")</f>
        <v/>
      </c>
      <c r="C78" t="s">
        <v>41</v>
      </c>
      <c r="D78" s="4" t="str">
        <f>IFERROR(VLOOKUP(B78,'BOOK ENTRY'!F:G,2,0),"")</f>
        <v/>
      </c>
      <c r="E78" s="4" t="str">
        <f>IFERROR(IF(B78="","",VLOOKUP(B78,'Master Sheet'!C:H,6,0)),"")</f>
        <v/>
      </c>
      <c r="U78" t="str">
        <f>IF(ISNUMBER('BOOK ENTRY'!F78), COUNTIFS('BOOK ENTRY'!$F$2:'BOOK ENTRY'!F78, "&gt;=0"), "")</f>
        <v/>
      </c>
    </row>
    <row r="79" spans="1:21" x14ac:dyDescent="0.25">
      <c r="A79" s="50" t="str">
        <f t="shared" si="2"/>
        <v/>
      </c>
      <c r="B79" s="4" t="str">
        <f>IFERROR(VLOOKUP(A79,'BOOK ENTRY'!E:F,2,0),"")</f>
        <v/>
      </c>
      <c r="C79" t="s">
        <v>41</v>
      </c>
      <c r="D79" s="4" t="str">
        <f>IFERROR(VLOOKUP(B79,'BOOK ENTRY'!F:G,2,0),"")</f>
        <v/>
      </c>
      <c r="E79" s="4" t="str">
        <f>IFERROR(IF(B79="","",VLOOKUP(B79,'Master Sheet'!C:H,6,0)),"")</f>
        <v/>
      </c>
      <c r="U79" t="str">
        <f>IF(ISNUMBER('BOOK ENTRY'!F79), COUNTIFS('BOOK ENTRY'!$F$2:'BOOK ENTRY'!F79, "&gt;=0"), "")</f>
        <v/>
      </c>
    </row>
    <row r="80" spans="1:21" x14ac:dyDescent="0.25">
      <c r="A80" s="50" t="str">
        <f t="shared" si="2"/>
        <v/>
      </c>
      <c r="B80" s="4" t="str">
        <f>IFERROR(VLOOKUP(A80,'BOOK ENTRY'!E:F,2,0),"")</f>
        <v/>
      </c>
      <c r="C80" t="s">
        <v>41</v>
      </c>
      <c r="D80" s="4" t="str">
        <f>IFERROR(VLOOKUP(B80,'BOOK ENTRY'!F:G,2,0),"")</f>
        <v/>
      </c>
      <c r="E80" s="4" t="str">
        <f>IFERROR(IF(B80="","",VLOOKUP(B80,'Master Sheet'!C:H,6,0)),"")</f>
        <v/>
      </c>
      <c r="U80" t="str">
        <f>IF(ISNUMBER('BOOK ENTRY'!F80), COUNTIFS('BOOK ENTRY'!$F$2:'BOOK ENTRY'!F80, "&gt;=0"), "")</f>
        <v/>
      </c>
    </row>
    <row r="81" spans="1:21" x14ac:dyDescent="0.25">
      <c r="A81" s="50" t="str">
        <f t="shared" si="2"/>
        <v/>
      </c>
      <c r="B81" s="4" t="str">
        <f>IFERROR(VLOOKUP(A81,'BOOK ENTRY'!E:F,2,0),"")</f>
        <v/>
      </c>
      <c r="C81" t="s">
        <v>41</v>
      </c>
      <c r="D81" s="4" t="str">
        <f>IFERROR(VLOOKUP(B81,'BOOK ENTRY'!F:G,2,0),"")</f>
        <v/>
      </c>
      <c r="E81" s="4" t="str">
        <f>IFERROR(IF(B81="","",VLOOKUP(B81,'Master Sheet'!C:H,6,0)),"")</f>
        <v/>
      </c>
      <c r="U81" t="str">
        <f>IF(ISNUMBER('BOOK ENTRY'!F81), COUNTIFS('BOOK ENTRY'!$F$2:'BOOK ENTRY'!F81, "&gt;=0"), "")</f>
        <v/>
      </c>
    </row>
    <row r="82" spans="1:21" x14ac:dyDescent="0.25">
      <c r="A82" s="50" t="str">
        <f t="shared" si="2"/>
        <v/>
      </c>
      <c r="B82" s="4" t="str">
        <f>IFERROR(VLOOKUP(A82,'BOOK ENTRY'!E:F,2,0),"")</f>
        <v/>
      </c>
      <c r="C82" t="s">
        <v>41</v>
      </c>
      <c r="D82" s="4" t="str">
        <f>IFERROR(VLOOKUP(B82,'BOOK ENTRY'!F:G,2,0),"")</f>
        <v/>
      </c>
      <c r="E82" s="4" t="str">
        <f>IFERROR(IF(B82="","",VLOOKUP(B82,'Master Sheet'!C:H,6,0)),"")</f>
        <v/>
      </c>
      <c r="U82" t="str">
        <f>IF(ISNUMBER('BOOK ENTRY'!F82), COUNTIFS('BOOK ENTRY'!$F$2:'BOOK ENTRY'!F82, "&gt;=0"), "")</f>
        <v/>
      </c>
    </row>
    <row r="83" spans="1:21" x14ac:dyDescent="0.25">
      <c r="A83" s="50" t="str">
        <f t="shared" si="2"/>
        <v/>
      </c>
      <c r="B83" s="4" t="str">
        <f>IFERROR(VLOOKUP(A83,'BOOK ENTRY'!E:F,2,0),"")</f>
        <v/>
      </c>
      <c r="C83" t="s">
        <v>41</v>
      </c>
      <c r="D83" s="4" t="str">
        <f>IFERROR(VLOOKUP(B83,'BOOK ENTRY'!F:G,2,0),"")</f>
        <v/>
      </c>
      <c r="E83" s="4" t="str">
        <f>IFERROR(IF(B83="","",VLOOKUP(B83,'Master Sheet'!C:H,6,0)),"")</f>
        <v/>
      </c>
      <c r="U83" t="str">
        <f>IF(ISNUMBER('BOOK ENTRY'!F83), COUNTIFS('BOOK ENTRY'!$F$2:'BOOK ENTRY'!F83, "&gt;=0"), "")</f>
        <v/>
      </c>
    </row>
    <row r="84" spans="1:21" x14ac:dyDescent="0.25">
      <c r="A84" s="50" t="str">
        <f t="shared" si="2"/>
        <v/>
      </c>
      <c r="B84" s="4" t="str">
        <f>IFERROR(VLOOKUP(A84,'BOOK ENTRY'!E:F,2,0),"")</f>
        <v/>
      </c>
      <c r="C84" t="s">
        <v>41</v>
      </c>
      <c r="D84" s="4" t="str">
        <f>IFERROR(VLOOKUP(B84,'BOOK ENTRY'!F:G,2,0),"")</f>
        <v/>
      </c>
      <c r="E84" s="4" t="str">
        <f>IFERROR(IF(B84="","",VLOOKUP(B84,'Master Sheet'!C:H,6,0)),"")</f>
        <v/>
      </c>
      <c r="U84" t="str">
        <f>IF(ISNUMBER('BOOK ENTRY'!F84), COUNTIFS('BOOK ENTRY'!$F$2:'BOOK ENTRY'!F84, "&gt;=0"), "")</f>
        <v/>
      </c>
    </row>
    <row r="85" spans="1:21" x14ac:dyDescent="0.25">
      <c r="A85" s="50" t="str">
        <f t="shared" si="2"/>
        <v/>
      </c>
      <c r="B85" s="4" t="str">
        <f>IFERROR(VLOOKUP(A85,'BOOK ENTRY'!E:F,2,0),"")</f>
        <v/>
      </c>
      <c r="C85" t="s">
        <v>41</v>
      </c>
      <c r="D85" s="4" t="str">
        <f>IFERROR(VLOOKUP(B85,'BOOK ENTRY'!F:G,2,0),"")</f>
        <v/>
      </c>
      <c r="E85" s="4" t="str">
        <f>IFERROR(IF(B85="","",VLOOKUP(B85,'Master Sheet'!C:H,6,0)),"")</f>
        <v/>
      </c>
      <c r="U85" t="str">
        <f>IF(ISNUMBER('BOOK ENTRY'!F85), COUNTIFS('BOOK ENTRY'!$F$2:'BOOK ENTRY'!F85, "&gt;=0"), "")</f>
        <v/>
      </c>
    </row>
    <row r="86" spans="1:21" x14ac:dyDescent="0.25">
      <c r="A86" s="50" t="str">
        <f t="shared" si="2"/>
        <v/>
      </c>
      <c r="B86" s="4" t="str">
        <f>IFERROR(VLOOKUP(A86,'BOOK ENTRY'!E:F,2,0),"")</f>
        <v/>
      </c>
      <c r="C86" t="s">
        <v>41</v>
      </c>
      <c r="D86" s="4" t="str">
        <f>IFERROR(VLOOKUP(B86,'BOOK ENTRY'!F:G,2,0),"")</f>
        <v/>
      </c>
      <c r="E86" s="4" t="str">
        <f>IFERROR(IF(B86="","",VLOOKUP(B86,'Master Sheet'!C:H,6,0)),"")</f>
        <v/>
      </c>
      <c r="U86" t="str">
        <f>IF(ISNUMBER('BOOK ENTRY'!F86), COUNTIFS('BOOK ENTRY'!$F$2:'BOOK ENTRY'!F86, "&gt;=0"), "")</f>
        <v/>
      </c>
    </row>
    <row r="87" spans="1:21" x14ac:dyDescent="0.25">
      <c r="A87" s="50" t="str">
        <f t="shared" si="2"/>
        <v/>
      </c>
      <c r="B87" s="4" t="str">
        <f>IFERROR(VLOOKUP(A87,'BOOK ENTRY'!E:F,2,0),"")</f>
        <v/>
      </c>
      <c r="C87" t="s">
        <v>41</v>
      </c>
      <c r="D87" s="4" t="str">
        <f>IFERROR(VLOOKUP(B87,'BOOK ENTRY'!F:G,2,0),"")</f>
        <v/>
      </c>
      <c r="E87" s="4" t="str">
        <f>IFERROR(IF(B87="","",VLOOKUP(B87,'Master Sheet'!C:H,6,0)),"")</f>
        <v/>
      </c>
      <c r="U87" t="str">
        <f>IF(ISNUMBER('BOOK ENTRY'!F87), COUNTIFS('BOOK ENTRY'!$F$2:'BOOK ENTRY'!F87, "&gt;=0"), "")</f>
        <v/>
      </c>
    </row>
    <row r="88" spans="1:21" x14ac:dyDescent="0.25">
      <c r="A88" s="50" t="str">
        <f t="shared" si="2"/>
        <v/>
      </c>
      <c r="B88" s="4" t="str">
        <f>IFERROR(VLOOKUP(A88,'BOOK ENTRY'!E:F,2,0),"")</f>
        <v/>
      </c>
      <c r="C88" t="s">
        <v>41</v>
      </c>
      <c r="D88" s="4" t="str">
        <f>IFERROR(VLOOKUP(B88,'BOOK ENTRY'!F:G,2,0),"")</f>
        <v/>
      </c>
      <c r="E88" s="4" t="str">
        <f>IFERROR(IF(B88="","",VLOOKUP(B88,'Master Sheet'!C:H,6,0)),"")</f>
        <v/>
      </c>
      <c r="U88" t="str">
        <f>IF(ISNUMBER('BOOK ENTRY'!F88), COUNTIFS('BOOK ENTRY'!$F$2:'BOOK ENTRY'!F88, "&gt;=0"), "")</f>
        <v/>
      </c>
    </row>
    <row r="89" spans="1:21" x14ac:dyDescent="0.25">
      <c r="A89" s="50" t="str">
        <f t="shared" si="2"/>
        <v/>
      </c>
      <c r="B89" s="4" t="str">
        <f>IFERROR(VLOOKUP(A89,'BOOK ENTRY'!E:F,2,0),"")</f>
        <v/>
      </c>
      <c r="C89" t="s">
        <v>41</v>
      </c>
      <c r="D89" s="4" t="str">
        <f>IFERROR(VLOOKUP(B89,'BOOK ENTRY'!F:G,2,0),"")</f>
        <v/>
      </c>
      <c r="E89" s="4" t="str">
        <f>IFERROR(IF(B89="","",VLOOKUP(B89,'Master Sheet'!C:H,6,0)),"")</f>
        <v/>
      </c>
      <c r="U89" t="str">
        <f>IF(ISNUMBER('BOOK ENTRY'!F89), COUNTIFS('BOOK ENTRY'!$F$2:'BOOK ENTRY'!F89, "&gt;=0"), "")</f>
        <v/>
      </c>
    </row>
    <row r="90" spans="1:21" x14ac:dyDescent="0.25">
      <c r="A90" s="50" t="str">
        <f t="shared" si="2"/>
        <v/>
      </c>
      <c r="B90" s="4" t="str">
        <f>IFERROR(VLOOKUP(A90,'BOOK ENTRY'!E:F,2,0),"")</f>
        <v/>
      </c>
      <c r="C90" t="s">
        <v>41</v>
      </c>
      <c r="D90" s="4" t="str">
        <f>IFERROR(VLOOKUP(B90,'BOOK ENTRY'!F:G,2,0),"")</f>
        <v/>
      </c>
      <c r="E90" s="4" t="str">
        <f>IFERROR(IF(B90="","",VLOOKUP(B90,'Master Sheet'!C:H,6,0)),"")</f>
        <v/>
      </c>
      <c r="U90" t="str">
        <f>IF(ISNUMBER('BOOK ENTRY'!F90), COUNTIFS('BOOK ENTRY'!$F$2:'BOOK ENTRY'!F90, "&gt;=0"), "")</f>
        <v/>
      </c>
    </row>
    <row r="91" spans="1:21" x14ac:dyDescent="0.25">
      <c r="A91" s="50" t="str">
        <f t="shared" si="2"/>
        <v/>
      </c>
      <c r="B91" s="4" t="str">
        <f>IFERROR(VLOOKUP(A91,'BOOK ENTRY'!E:F,2,0),"")</f>
        <v/>
      </c>
      <c r="C91" t="s">
        <v>41</v>
      </c>
      <c r="D91" s="4" t="str">
        <f>IFERROR(VLOOKUP(B91,'BOOK ENTRY'!F:G,2,0),"")</f>
        <v/>
      </c>
      <c r="E91" s="4" t="str">
        <f>IFERROR(IF(B91="","",VLOOKUP(B91,'Master Sheet'!C:H,6,0)),"")</f>
        <v/>
      </c>
      <c r="U91" t="str">
        <f>IF(ISNUMBER('BOOK ENTRY'!F91), COUNTIFS('BOOK ENTRY'!$F$2:'BOOK ENTRY'!F91, "&gt;=0"), "")</f>
        <v/>
      </c>
    </row>
    <row r="92" spans="1:21" x14ac:dyDescent="0.25">
      <c r="A92" s="50" t="str">
        <f t="shared" si="2"/>
        <v/>
      </c>
      <c r="B92" s="4" t="str">
        <f>IFERROR(VLOOKUP(A92,'BOOK ENTRY'!E:F,2,0),"")</f>
        <v/>
      </c>
      <c r="C92" t="s">
        <v>41</v>
      </c>
      <c r="D92" s="4" t="str">
        <f>IFERROR(VLOOKUP(B92,'BOOK ENTRY'!F:G,2,0),"")</f>
        <v/>
      </c>
      <c r="E92" s="4" t="str">
        <f>IFERROR(IF(B92="","",VLOOKUP(B92,'Master Sheet'!C:H,6,0)),"")</f>
        <v/>
      </c>
      <c r="U92" t="str">
        <f>IF(ISNUMBER('BOOK ENTRY'!F92), COUNTIFS('BOOK ENTRY'!$F$2:'BOOK ENTRY'!F92, "&gt;=0"), "")</f>
        <v/>
      </c>
    </row>
    <row r="93" spans="1:21" x14ac:dyDescent="0.25">
      <c r="A93" s="50" t="str">
        <f t="shared" si="2"/>
        <v/>
      </c>
      <c r="B93" s="4" t="str">
        <f>IFERROR(VLOOKUP(A93,'BOOK ENTRY'!E:F,2,0),"")</f>
        <v/>
      </c>
      <c r="C93" t="s">
        <v>41</v>
      </c>
      <c r="D93" s="4" t="str">
        <f>IFERROR(VLOOKUP(B93,'BOOK ENTRY'!F:G,2,0),"")</f>
        <v/>
      </c>
      <c r="E93" s="4" t="str">
        <f>IFERROR(IF(B93="","",VLOOKUP(B93,'Master Sheet'!C:H,6,0)),"")</f>
        <v/>
      </c>
      <c r="U93" t="str">
        <f>IF(ISNUMBER('BOOK ENTRY'!F93), COUNTIFS('BOOK ENTRY'!$F$2:'BOOK ENTRY'!F93, "&gt;=0"), "")</f>
        <v/>
      </c>
    </row>
    <row r="94" spans="1:21" x14ac:dyDescent="0.25">
      <c r="A94" s="50" t="str">
        <f t="shared" si="2"/>
        <v/>
      </c>
      <c r="B94" s="4" t="str">
        <f>IFERROR(VLOOKUP(A94,'BOOK ENTRY'!E:F,2,0),"")</f>
        <v/>
      </c>
      <c r="C94" t="s">
        <v>41</v>
      </c>
      <c r="D94" s="4" t="str">
        <f>IFERROR(VLOOKUP(B94,'BOOK ENTRY'!F:G,2,0),"")</f>
        <v/>
      </c>
      <c r="E94" s="4" t="str">
        <f>IFERROR(IF(B94="","",VLOOKUP(B94,'Master Sheet'!C:H,6,0)),"")</f>
        <v/>
      </c>
      <c r="U94" t="str">
        <f>IF(ISNUMBER('BOOK ENTRY'!F94), COUNTIFS('BOOK ENTRY'!$F$2:'BOOK ENTRY'!F94, "&gt;=0"), "")</f>
        <v/>
      </c>
    </row>
    <row r="95" spans="1:21" x14ac:dyDescent="0.25">
      <c r="A95" s="50" t="str">
        <f t="shared" si="2"/>
        <v/>
      </c>
      <c r="B95" s="4" t="str">
        <f>IFERROR(VLOOKUP(A95,'BOOK ENTRY'!E:F,2,0),"")</f>
        <v/>
      </c>
      <c r="C95" t="s">
        <v>41</v>
      </c>
      <c r="D95" s="4" t="str">
        <f>IFERROR(VLOOKUP(B95,'BOOK ENTRY'!F:G,2,0),"")</f>
        <v/>
      </c>
      <c r="E95" s="4" t="str">
        <f>IFERROR(IF(B95="","",VLOOKUP(B95,'Master Sheet'!C:H,6,0)),"")</f>
        <v/>
      </c>
      <c r="U95" t="str">
        <f>IF(ISNUMBER('BOOK ENTRY'!F95), COUNTIFS('BOOK ENTRY'!$F$2:'BOOK ENTRY'!F95, "&gt;=0"), "")</f>
        <v/>
      </c>
    </row>
    <row r="96" spans="1:21" x14ac:dyDescent="0.25">
      <c r="A96" s="50" t="str">
        <f t="shared" si="2"/>
        <v/>
      </c>
      <c r="B96" s="4" t="str">
        <f>IFERROR(VLOOKUP(A96,'BOOK ENTRY'!E:F,2,0),"")</f>
        <v/>
      </c>
      <c r="C96" t="s">
        <v>41</v>
      </c>
      <c r="D96" s="4" t="str">
        <f>IFERROR(VLOOKUP(B96,'BOOK ENTRY'!F:G,2,0),"")</f>
        <v/>
      </c>
      <c r="E96" s="4" t="str">
        <f>IFERROR(IF(B96="","",VLOOKUP(B96,'Master Sheet'!C:H,6,0)),"")</f>
        <v/>
      </c>
      <c r="U96" t="str">
        <f>IF(ISNUMBER('BOOK ENTRY'!F96), COUNTIFS('BOOK ENTRY'!$F$2:'BOOK ENTRY'!F96, "&gt;=0"), "")</f>
        <v/>
      </c>
    </row>
    <row r="97" spans="1:21" x14ac:dyDescent="0.25">
      <c r="A97" s="50" t="str">
        <f t="shared" si="2"/>
        <v/>
      </c>
      <c r="B97" s="4" t="str">
        <f>IFERROR(VLOOKUP(A97,'BOOK ENTRY'!E:F,2,0),"")</f>
        <v/>
      </c>
      <c r="C97" t="s">
        <v>41</v>
      </c>
      <c r="D97" s="4" t="str">
        <f>IFERROR(VLOOKUP(B97,'BOOK ENTRY'!F:G,2,0),"")</f>
        <v/>
      </c>
      <c r="E97" s="4" t="str">
        <f>IFERROR(IF(B97="","",VLOOKUP(B97,'Master Sheet'!C:H,6,0)),"")</f>
        <v/>
      </c>
      <c r="U97" t="str">
        <f>IF(ISNUMBER('BOOK ENTRY'!F97), COUNTIFS('BOOK ENTRY'!$F$2:'BOOK ENTRY'!F97, "&gt;=0"), "")</f>
        <v/>
      </c>
    </row>
    <row r="98" spans="1:21" x14ac:dyDescent="0.25">
      <c r="A98" s="50" t="str">
        <f t="shared" ref="A98:A129" si="3">IF(U98="","",U98)</f>
        <v/>
      </c>
      <c r="B98" s="4" t="str">
        <f>IFERROR(VLOOKUP(A98,'BOOK ENTRY'!E:F,2,0),"")</f>
        <v/>
      </c>
      <c r="C98" t="s">
        <v>41</v>
      </c>
      <c r="D98" s="4" t="str">
        <f>IFERROR(VLOOKUP(B98,'BOOK ENTRY'!F:G,2,0),"")</f>
        <v/>
      </c>
      <c r="E98" s="4" t="str">
        <f>IFERROR(IF(B98="","",VLOOKUP(B98,'Master Sheet'!C:H,6,0)),"")</f>
        <v/>
      </c>
      <c r="U98" t="str">
        <f>IF(ISNUMBER('BOOK ENTRY'!F98), COUNTIFS('BOOK ENTRY'!$F$2:'BOOK ENTRY'!F98, "&gt;=0"), "")</f>
        <v/>
      </c>
    </row>
    <row r="99" spans="1:21" x14ac:dyDescent="0.25">
      <c r="A99" s="50" t="str">
        <f t="shared" si="3"/>
        <v/>
      </c>
      <c r="B99" s="4" t="str">
        <f>IFERROR(VLOOKUP(A99,'BOOK ENTRY'!E:F,2,0),"")</f>
        <v/>
      </c>
      <c r="C99" t="s">
        <v>41</v>
      </c>
      <c r="D99" s="4" t="str">
        <f>IFERROR(VLOOKUP(B99,'BOOK ENTRY'!F:G,2,0),"")</f>
        <v/>
      </c>
      <c r="E99" s="4" t="str">
        <f>IFERROR(IF(B99="","",VLOOKUP(B99,'Master Sheet'!C:H,6,0)),"")</f>
        <v/>
      </c>
      <c r="U99" t="str">
        <f>IF(ISNUMBER('BOOK ENTRY'!F99), COUNTIFS('BOOK ENTRY'!$F$2:'BOOK ENTRY'!F99, "&gt;=0"), "")</f>
        <v/>
      </c>
    </row>
    <row r="100" spans="1:21" x14ac:dyDescent="0.25">
      <c r="A100" s="50" t="str">
        <f t="shared" si="3"/>
        <v/>
      </c>
      <c r="B100" s="4" t="str">
        <f>IFERROR(VLOOKUP(A100,'BOOK ENTRY'!E:F,2,0),"")</f>
        <v/>
      </c>
      <c r="C100" t="s">
        <v>41</v>
      </c>
      <c r="D100" s="4" t="str">
        <f>IFERROR(VLOOKUP(B100,'BOOK ENTRY'!F:G,2,0),"")</f>
        <v/>
      </c>
      <c r="E100" s="4" t="str">
        <f>IFERROR(IF(B100="","",VLOOKUP(B100,'Master Sheet'!C:H,6,0)),"")</f>
        <v/>
      </c>
      <c r="U100" t="str">
        <f>IF(ISNUMBER('BOOK ENTRY'!F100), COUNTIFS('BOOK ENTRY'!$F$2:'BOOK ENTRY'!F100, "&gt;=0"), "")</f>
        <v/>
      </c>
    </row>
    <row r="101" spans="1:21" x14ac:dyDescent="0.25">
      <c r="A101" s="50" t="str">
        <f t="shared" si="3"/>
        <v/>
      </c>
      <c r="B101" s="4" t="str">
        <f>IFERROR(VLOOKUP(A101,'BOOK ENTRY'!E:F,2,0),"")</f>
        <v/>
      </c>
      <c r="C101" t="s">
        <v>41</v>
      </c>
      <c r="D101" s="4" t="str">
        <f>IFERROR(VLOOKUP(B101,'BOOK ENTRY'!F:G,2,0),"")</f>
        <v/>
      </c>
      <c r="E101" s="4" t="str">
        <f>IFERROR(IF(B101="","",VLOOKUP(B101,'Master Sheet'!C:H,6,0)),"")</f>
        <v/>
      </c>
      <c r="U101" t="str">
        <f>IF(ISNUMBER('BOOK ENTRY'!F101), COUNTIFS('BOOK ENTRY'!$F$2:'BOOK ENTRY'!F101, "&gt;=0"), "")</f>
        <v/>
      </c>
    </row>
    <row r="102" spans="1:21" x14ac:dyDescent="0.25">
      <c r="A102" s="50" t="str">
        <f t="shared" si="3"/>
        <v/>
      </c>
      <c r="B102" s="4" t="str">
        <f>IFERROR(VLOOKUP(A102,'BOOK ENTRY'!E:F,2,0),"")</f>
        <v/>
      </c>
      <c r="C102" t="s">
        <v>41</v>
      </c>
      <c r="D102" s="4" t="str">
        <f>IFERROR(VLOOKUP(B102,'BOOK ENTRY'!F:G,2,0),"")</f>
        <v/>
      </c>
      <c r="E102" s="4" t="str">
        <f>IFERROR(IF(B102="","",VLOOKUP(B102,'Master Sheet'!C:H,6,0)),"")</f>
        <v/>
      </c>
      <c r="U102" t="str">
        <f>IF(ISNUMBER('BOOK ENTRY'!F102), COUNTIFS('BOOK ENTRY'!$F$2:'BOOK ENTRY'!F102, "&gt;=0"), "")</f>
        <v/>
      </c>
    </row>
    <row r="103" spans="1:21" x14ac:dyDescent="0.25">
      <c r="A103" s="50" t="str">
        <f t="shared" si="3"/>
        <v/>
      </c>
      <c r="B103" s="4" t="str">
        <f>IFERROR(VLOOKUP(A103,'BOOK ENTRY'!E:F,2,0),"")</f>
        <v/>
      </c>
      <c r="C103" t="s">
        <v>41</v>
      </c>
      <c r="D103" s="4" t="str">
        <f>IFERROR(VLOOKUP(B103,'BOOK ENTRY'!F:G,2,0),"")</f>
        <v/>
      </c>
      <c r="E103" s="4" t="str">
        <f>IFERROR(IF(B103="","",VLOOKUP(B103,'Master Sheet'!C:H,6,0)),"")</f>
        <v/>
      </c>
      <c r="U103" t="str">
        <f>IF(ISNUMBER('BOOK ENTRY'!F103), COUNTIFS('BOOK ENTRY'!$F$2:'BOOK ENTRY'!F103, "&gt;=0"), "")</f>
        <v/>
      </c>
    </row>
    <row r="104" spans="1:21" x14ac:dyDescent="0.25">
      <c r="A104" s="50" t="str">
        <f t="shared" si="3"/>
        <v/>
      </c>
      <c r="B104" s="4" t="str">
        <f>IFERROR(VLOOKUP(A104,'BOOK ENTRY'!E:F,2,0),"")</f>
        <v/>
      </c>
      <c r="C104" t="s">
        <v>41</v>
      </c>
      <c r="D104" s="4" t="str">
        <f>IFERROR(VLOOKUP(B104,'BOOK ENTRY'!F:G,2,0),"")</f>
        <v/>
      </c>
      <c r="E104" s="4" t="str">
        <f>IFERROR(IF(B104="","",VLOOKUP(B104,'Master Sheet'!C:H,6,0)),"")</f>
        <v/>
      </c>
      <c r="U104" t="str">
        <f>IF(ISNUMBER('BOOK ENTRY'!F104), COUNTIFS('BOOK ENTRY'!$F$2:'BOOK ENTRY'!F104, "&gt;=0"), "")</f>
        <v/>
      </c>
    </row>
    <row r="105" spans="1:21" x14ac:dyDescent="0.25">
      <c r="A105" s="50" t="str">
        <f t="shared" si="3"/>
        <v/>
      </c>
      <c r="B105" s="4" t="str">
        <f>IFERROR(VLOOKUP(A105,'BOOK ENTRY'!E:F,2,0),"")</f>
        <v/>
      </c>
      <c r="C105" t="s">
        <v>41</v>
      </c>
      <c r="D105" s="4" t="str">
        <f>IFERROR(VLOOKUP(B105,'BOOK ENTRY'!F:G,2,0),"")</f>
        <v/>
      </c>
      <c r="E105" s="4" t="str">
        <f>IFERROR(IF(B105="","",VLOOKUP(B105,'Master Sheet'!C:H,6,0)),"")</f>
        <v/>
      </c>
      <c r="U105" t="str">
        <f>IF(ISNUMBER('BOOK ENTRY'!F105), COUNTIFS('BOOK ENTRY'!$F$2:'BOOK ENTRY'!F105, "&gt;=0"), "")</f>
        <v/>
      </c>
    </row>
    <row r="106" spans="1:21" x14ac:dyDescent="0.25">
      <c r="A106" s="50" t="str">
        <f t="shared" si="3"/>
        <v/>
      </c>
      <c r="B106" s="4" t="str">
        <f>IFERROR(VLOOKUP(A106,'BOOK ENTRY'!E:F,2,0),"")</f>
        <v/>
      </c>
      <c r="C106" t="s">
        <v>41</v>
      </c>
      <c r="D106" s="4" t="str">
        <f>IFERROR(VLOOKUP(B106,'BOOK ENTRY'!F:G,2,0),"")</f>
        <v/>
      </c>
      <c r="E106" s="4" t="str">
        <f>IFERROR(IF(B106="","",VLOOKUP(B106,'Master Sheet'!C:H,6,0)),"")</f>
        <v/>
      </c>
      <c r="U106" t="str">
        <f>IF(ISNUMBER('BOOK ENTRY'!F106), COUNTIFS('BOOK ENTRY'!$F$2:'BOOK ENTRY'!F106, "&gt;=0"), "")</f>
        <v/>
      </c>
    </row>
    <row r="107" spans="1:21" x14ac:dyDescent="0.25">
      <c r="A107" s="50" t="str">
        <f t="shared" si="3"/>
        <v/>
      </c>
      <c r="B107" s="4" t="str">
        <f>IFERROR(VLOOKUP(A107,'BOOK ENTRY'!E:F,2,0),"")</f>
        <v/>
      </c>
      <c r="C107" t="s">
        <v>41</v>
      </c>
      <c r="D107" s="4" t="str">
        <f>IFERROR(VLOOKUP(B107,'BOOK ENTRY'!F:G,2,0),"")</f>
        <v/>
      </c>
      <c r="E107" s="4" t="str">
        <f>IFERROR(IF(B107="","",VLOOKUP(B107,'Master Sheet'!C:H,6,0)),"")</f>
        <v/>
      </c>
      <c r="U107" t="str">
        <f>IF(ISNUMBER('BOOK ENTRY'!F107), COUNTIFS('BOOK ENTRY'!$F$2:'BOOK ENTRY'!F107, "&gt;=0"), "")</f>
        <v/>
      </c>
    </row>
    <row r="108" spans="1:21" x14ac:dyDescent="0.25">
      <c r="A108" s="50" t="str">
        <f t="shared" si="3"/>
        <v/>
      </c>
      <c r="B108" s="4" t="str">
        <f>IFERROR(VLOOKUP(A108,'BOOK ENTRY'!E:F,2,0),"")</f>
        <v/>
      </c>
      <c r="C108" t="s">
        <v>41</v>
      </c>
      <c r="D108" s="4" t="str">
        <f>IFERROR(VLOOKUP(B108,'BOOK ENTRY'!F:G,2,0),"")</f>
        <v/>
      </c>
      <c r="E108" s="4" t="str">
        <f>IFERROR(IF(B108="","",VLOOKUP(B108,'Master Sheet'!C:H,6,0)),"")</f>
        <v/>
      </c>
      <c r="U108" t="str">
        <f>IF(ISNUMBER('BOOK ENTRY'!F108), COUNTIFS('BOOK ENTRY'!$F$2:'BOOK ENTRY'!F108, "&gt;=0"), "")</f>
        <v/>
      </c>
    </row>
    <row r="109" spans="1:21" x14ac:dyDescent="0.25">
      <c r="A109" s="50" t="str">
        <f t="shared" si="3"/>
        <v/>
      </c>
      <c r="B109" s="4" t="str">
        <f>IFERROR(VLOOKUP(A109,'BOOK ENTRY'!E:F,2,0),"")</f>
        <v/>
      </c>
      <c r="C109" t="s">
        <v>41</v>
      </c>
      <c r="D109" s="4" t="str">
        <f>IFERROR(VLOOKUP(B109,'BOOK ENTRY'!F:G,2,0),"")</f>
        <v/>
      </c>
      <c r="E109" s="4" t="str">
        <f>IFERROR(IF(B109="","",VLOOKUP(B109,'Master Sheet'!C:H,6,0)),"")</f>
        <v/>
      </c>
      <c r="U109" t="str">
        <f>IF(ISNUMBER('BOOK ENTRY'!F109), COUNTIFS('BOOK ENTRY'!$F$2:'BOOK ENTRY'!F109, "&gt;=0"), "")</f>
        <v/>
      </c>
    </row>
    <row r="110" spans="1:21" x14ac:dyDescent="0.25">
      <c r="A110" s="50" t="str">
        <f t="shared" si="3"/>
        <v/>
      </c>
      <c r="B110" s="4" t="str">
        <f>IFERROR(VLOOKUP(A110,'BOOK ENTRY'!E:F,2,0),"")</f>
        <v/>
      </c>
      <c r="C110" t="s">
        <v>41</v>
      </c>
      <c r="D110" s="4" t="str">
        <f>IFERROR(VLOOKUP(B110,'BOOK ENTRY'!F:G,2,0),"")</f>
        <v/>
      </c>
      <c r="E110" s="4" t="str">
        <f>IFERROR(IF(B110="","",VLOOKUP(B110,'Master Sheet'!C:H,6,0)),"")</f>
        <v/>
      </c>
      <c r="U110" t="str">
        <f>IF(ISNUMBER('BOOK ENTRY'!F110), COUNTIFS('BOOK ENTRY'!$F$2:'BOOK ENTRY'!F110, "&gt;=0"), "")</f>
        <v/>
      </c>
    </row>
    <row r="111" spans="1:21" x14ac:dyDescent="0.25">
      <c r="A111" s="50" t="str">
        <f t="shared" si="3"/>
        <v/>
      </c>
      <c r="B111" s="4" t="str">
        <f>IFERROR(VLOOKUP(A111,'BOOK ENTRY'!E:F,2,0),"")</f>
        <v/>
      </c>
      <c r="C111" t="s">
        <v>41</v>
      </c>
      <c r="D111" s="4" t="str">
        <f>IFERROR(VLOOKUP(B111,'BOOK ENTRY'!F:G,2,0),"")</f>
        <v/>
      </c>
      <c r="E111" s="4" t="str">
        <f>IFERROR(IF(B111="","",VLOOKUP(B111,'Master Sheet'!C:H,6,0)),"")</f>
        <v/>
      </c>
      <c r="U111" t="str">
        <f>IF(ISNUMBER('BOOK ENTRY'!F111), COUNTIFS('BOOK ENTRY'!$F$2:'BOOK ENTRY'!F111, "&gt;=0"), "")</f>
        <v/>
      </c>
    </row>
    <row r="112" spans="1:21" x14ac:dyDescent="0.25">
      <c r="A112" s="50" t="str">
        <f t="shared" si="3"/>
        <v/>
      </c>
      <c r="B112" s="4" t="str">
        <f>IFERROR(VLOOKUP(A112,'BOOK ENTRY'!E:F,2,0),"")</f>
        <v/>
      </c>
      <c r="C112" t="s">
        <v>41</v>
      </c>
      <c r="D112" s="4" t="str">
        <f>IFERROR(VLOOKUP(B112,'BOOK ENTRY'!F:G,2,0),"")</f>
        <v/>
      </c>
      <c r="E112" s="4" t="str">
        <f>IFERROR(IF(B112="","",VLOOKUP(B112,'Master Sheet'!C:H,6,0)),"")</f>
        <v/>
      </c>
      <c r="U112" t="str">
        <f>IF(ISNUMBER('BOOK ENTRY'!F112), COUNTIFS('BOOK ENTRY'!$F$2:'BOOK ENTRY'!F112, "&gt;=0"), "")</f>
        <v/>
      </c>
    </row>
    <row r="113" spans="1:21" x14ac:dyDescent="0.25">
      <c r="A113" s="50" t="str">
        <f t="shared" si="3"/>
        <v/>
      </c>
      <c r="B113" s="4" t="str">
        <f>IFERROR(VLOOKUP(A113,'BOOK ENTRY'!E:F,2,0),"")</f>
        <v/>
      </c>
      <c r="C113" t="s">
        <v>41</v>
      </c>
      <c r="D113" s="4" t="str">
        <f>IFERROR(VLOOKUP(B113,'BOOK ENTRY'!F:G,2,0),"")</f>
        <v/>
      </c>
      <c r="E113" s="4" t="str">
        <f>IFERROR(IF(B113="","",VLOOKUP(B113,'Master Sheet'!C:H,6,0)),"")</f>
        <v/>
      </c>
      <c r="U113" t="str">
        <f>IF(ISNUMBER('BOOK ENTRY'!F113), COUNTIFS('BOOK ENTRY'!$F$2:'BOOK ENTRY'!F113, "&gt;=0"), "")</f>
        <v/>
      </c>
    </row>
    <row r="114" spans="1:21" x14ac:dyDescent="0.25">
      <c r="A114" s="50" t="str">
        <f t="shared" si="3"/>
        <v/>
      </c>
      <c r="B114" s="4" t="str">
        <f>IFERROR(VLOOKUP(A114,'BOOK ENTRY'!E:F,2,0),"")</f>
        <v/>
      </c>
      <c r="C114" t="s">
        <v>41</v>
      </c>
      <c r="D114" s="4" t="str">
        <f>IFERROR(VLOOKUP(B114,'BOOK ENTRY'!F:G,2,0),"")</f>
        <v/>
      </c>
      <c r="E114" s="4" t="str">
        <f>IFERROR(IF(B114="","",VLOOKUP(B114,'Master Sheet'!C:H,6,0)),"")</f>
        <v/>
      </c>
      <c r="U114" t="str">
        <f>IF(ISNUMBER('BOOK ENTRY'!F114), COUNTIFS('BOOK ENTRY'!$F$2:'BOOK ENTRY'!F114, "&gt;=0"), "")</f>
        <v/>
      </c>
    </row>
    <row r="115" spans="1:21" x14ac:dyDescent="0.25">
      <c r="A115" s="50" t="str">
        <f t="shared" si="3"/>
        <v/>
      </c>
      <c r="B115" s="4" t="str">
        <f>IFERROR(VLOOKUP(A115,'BOOK ENTRY'!E:F,2,0),"")</f>
        <v/>
      </c>
      <c r="C115" t="s">
        <v>41</v>
      </c>
      <c r="D115" s="4" t="str">
        <f>IFERROR(VLOOKUP(B115,'BOOK ENTRY'!F:G,2,0),"")</f>
        <v/>
      </c>
      <c r="E115" s="4" t="str">
        <f>IFERROR(IF(B115="","",VLOOKUP(B115,'Master Sheet'!C:H,6,0)),"")</f>
        <v/>
      </c>
      <c r="U115" t="str">
        <f>IF(ISNUMBER('BOOK ENTRY'!F115), COUNTIFS('BOOK ENTRY'!$F$2:'BOOK ENTRY'!F115, "&gt;=0"), "")</f>
        <v/>
      </c>
    </row>
    <row r="116" spans="1:21" x14ac:dyDescent="0.25">
      <c r="A116" s="50" t="str">
        <f t="shared" si="3"/>
        <v/>
      </c>
      <c r="B116" s="4" t="str">
        <f>IFERROR(VLOOKUP(A116,'BOOK ENTRY'!E:F,2,0),"")</f>
        <v/>
      </c>
      <c r="C116" t="s">
        <v>41</v>
      </c>
      <c r="D116" s="4" t="str">
        <f>IFERROR(VLOOKUP(B116,'BOOK ENTRY'!F:G,2,0),"")</f>
        <v/>
      </c>
      <c r="E116" s="4" t="str">
        <f>IFERROR(IF(B116="","",VLOOKUP(B116,'Master Sheet'!C:H,6,0)),"")</f>
        <v/>
      </c>
      <c r="U116" t="str">
        <f>IF(ISNUMBER('BOOK ENTRY'!F116), COUNTIFS('BOOK ENTRY'!$F$2:'BOOK ENTRY'!F116, "&gt;=0"), "")</f>
        <v/>
      </c>
    </row>
    <row r="117" spans="1:21" x14ac:dyDescent="0.25">
      <c r="A117" s="50" t="str">
        <f t="shared" si="3"/>
        <v/>
      </c>
      <c r="B117" s="4" t="str">
        <f>IFERROR(VLOOKUP(A117,'BOOK ENTRY'!E:F,2,0),"")</f>
        <v/>
      </c>
      <c r="C117" t="s">
        <v>41</v>
      </c>
      <c r="D117" s="4" t="str">
        <f>IFERROR(VLOOKUP(B117,'BOOK ENTRY'!F:G,2,0),"")</f>
        <v/>
      </c>
      <c r="E117" s="4" t="str">
        <f>IFERROR(IF(B117="","",VLOOKUP(B117,'Master Sheet'!C:H,6,0)),"")</f>
        <v/>
      </c>
      <c r="U117" t="str">
        <f>IF(ISNUMBER('BOOK ENTRY'!F117), COUNTIFS('BOOK ENTRY'!$F$2:'BOOK ENTRY'!F117, "&gt;=0"), "")</f>
        <v/>
      </c>
    </row>
    <row r="118" spans="1:21" x14ac:dyDescent="0.25">
      <c r="A118" s="50" t="str">
        <f t="shared" si="3"/>
        <v/>
      </c>
      <c r="B118" s="4" t="str">
        <f>IFERROR(VLOOKUP(A118,'BOOK ENTRY'!E:F,2,0),"")</f>
        <v/>
      </c>
      <c r="C118" t="s">
        <v>41</v>
      </c>
      <c r="D118" s="4" t="str">
        <f>IFERROR(VLOOKUP(B118,'BOOK ENTRY'!F:G,2,0),"")</f>
        <v/>
      </c>
      <c r="E118" s="4" t="str">
        <f>IFERROR(IF(B118="","",VLOOKUP(B118,'Master Sheet'!C:H,6,0)),"")</f>
        <v/>
      </c>
      <c r="U118" t="str">
        <f>IF(ISNUMBER('BOOK ENTRY'!F118), COUNTIFS('BOOK ENTRY'!$F$2:'BOOK ENTRY'!F118, "&gt;=0"), "")</f>
        <v/>
      </c>
    </row>
    <row r="119" spans="1:21" x14ac:dyDescent="0.25">
      <c r="A119" s="50" t="str">
        <f t="shared" si="3"/>
        <v/>
      </c>
      <c r="B119" s="4" t="str">
        <f>IFERROR(VLOOKUP(A119,'BOOK ENTRY'!E:F,2,0),"")</f>
        <v/>
      </c>
      <c r="C119" t="s">
        <v>41</v>
      </c>
      <c r="D119" s="4" t="str">
        <f>IFERROR(VLOOKUP(B119,'BOOK ENTRY'!F:G,2,0),"")</f>
        <v/>
      </c>
      <c r="E119" s="4" t="str">
        <f>IFERROR(IF(B119="","",VLOOKUP(B119,'Master Sheet'!C:H,6,0)),"")</f>
        <v/>
      </c>
      <c r="U119" t="str">
        <f>IF(ISNUMBER('BOOK ENTRY'!F119), COUNTIFS('BOOK ENTRY'!$F$2:'BOOK ENTRY'!F119, "&gt;=0"), "")</f>
        <v/>
      </c>
    </row>
    <row r="120" spans="1:21" x14ac:dyDescent="0.25">
      <c r="A120" s="50" t="str">
        <f t="shared" si="3"/>
        <v/>
      </c>
      <c r="B120" s="4" t="str">
        <f>IFERROR(VLOOKUP(A120,'BOOK ENTRY'!E:F,2,0),"")</f>
        <v/>
      </c>
      <c r="C120" t="s">
        <v>41</v>
      </c>
      <c r="D120" s="4" t="str">
        <f>IFERROR(VLOOKUP(B120,'BOOK ENTRY'!F:G,2,0),"")</f>
        <v/>
      </c>
      <c r="E120" s="4" t="str">
        <f>IFERROR(IF(B120="","",VLOOKUP(B120,'Master Sheet'!C:H,6,0)),"")</f>
        <v/>
      </c>
      <c r="U120" t="str">
        <f>IF(ISNUMBER('BOOK ENTRY'!F120), COUNTIFS('BOOK ENTRY'!$F$2:'BOOK ENTRY'!F120, "&gt;=0"), "")</f>
        <v/>
      </c>
    </row>
    <row r="121" spans="1:21" x14ac:dyDescent="0.25">
      <c r="A121" s="50" t="str">
        <f t="shared" si="3"/>
        <v/>
      </c>
      <c r="B121" s="4" t="str">
        <f>IFERROR(VLOOKUP(A121,'BOOK ENTRY'!E:F,2,0),"")</f>
        <v/>
      </c>
      <c r="C121" t="s">
        <v>41</v>
      </c>
      <c r="D121" s="4" t="str">
        <f>IFERROR(VLOOKUP(B121,'BOOK ENTRY'!F:G,2,0),"")</f>
        <v/>
      </c>
      <c r="E121" s="4" t="str">
        <f>IFERROR(IF(B121="","",VLOOKUP(B121,'Master Sheet'!C:H,6,0)),"")</f>
        <v/>
      </c>
      <c r="U121" t="str">
        <f>IF(ISNUMBER('BOOK ENTRY'!F121), COUNTIFS('BOOK ENTRY'!$F$2:'BOOK ENTRY'!F121, "&gt;=0"), "")</f>
        <v/>
      </c>
    </row>
    <row r="122" spans="1:21" x14ac:dyDescent="0.25">
      <c r="A122" s="50" t="str">
        <f t="shared" si="3"/>
        <v/>
      </c>
      <c r="B122" s="4" t="str">
        <f>IFERROR(VLOOKUP(A122,'BOOK ENTRY'!E:F,2,0),"")</f>
        <v/>
      </c>
      <c r="C122" t="s">
        <v>41</v>
      </c>
      <c r="D122" s="4" t="str">
        <f>IFERROR(VLOOKUP(B122,'BOOK ENTRY'!F:G,2,0),"")</f>
        <v/>
      </c>
      <c r="E122" s="4" t="str">
        <f>IFERROR(IF(B122="","",VLOOKUP(B122,'Master Sheet'!C:H,6,0)),"")</f>
        <v/>
      </c>
      <c r="U122" t="str">
        <f>IF(ISNUMBER('BOOK ENTRY'!F122), COUNTIFS('BOOK ENTRY'!$F$2:'BOOK ENTRY'!F122, "&gt;=0"), "")</f>
        <v/>
      </c>
    </row>
    <row r="123" spans="1:21" x14ac:dyDescent="0.25">
      <c r="A123" s="50" t="str">
        <f t="shared" si="3"/>
        <v/>
      </c>
      <c r="B123" s="4" t="str">
        <f>IFERROR(VLOOKUP(A123,'BOOK ENTRY'!E:F,2,0),"")</f>
        <v/>
      </c>
      <c r="C123" t="s">
        <v>41</v>
      </c>
      <c r="D123" s="4" t="str">
        <f>IFERROR(VLOOKUP(B123,'BOOK ENTRY'!F:G,2,0),"")</f>
        <v/>
      </c>
      <c r="E123" s="4" t="str">
        <f>IFERROR(IF(B123="","",VLOOKUP(B123,'Master Sheet'!C:H,6,0)),"")</f>
        <v/>
      </c>
      <c r="U123" t="str">
        <f>IF(ISNUMBER('BOOK ENTRY'!F123), COUNTIFS('BOOK ENTRY'!$F$2:'BOOK ENTRY'!F123, "&gt;=0"), "")</f>
        <v/>
      </c>
    </row>
    <row r="124" spans="1:21" x14ac:dyDescent="0.25">
      <c r="A124" s="50" t="str">
        <f t="shared" si="3"/>
        <v/>
      </c>
      <c r="B124" s="4" t="str">
        <f>IFERROR(VLOOKUP(A124,'BOOK ENTRY'!E:F,2,0),"")</f>
        <v/>
      </c>
      <c r="C124" t="s">
        <v>41</v>
      </c>
      <c r="D124" s="4" t="str">
        <f>IFERROR(VLOOKUP(B124,'BOOK ENTRY'!F:G,2,0),"")</f>
        <v/>
      </c>
      <c r="E124" s="4" t="str">
        <f>IFERROR(IF(B124="","",VLOOKUP(B124,'Master Sheet'!C:H,6,0)),"")</f>
        <v/>
      </c>
      <c r="U124" t="str">
        <f>IF(ISNUMBER('BOOK ENTRY'!F124), COUNTIFS('BOOK ENTRY'!$F$2:'BOOK ENTRY'!F124, "&gt;=0"), "")</f>
        <v/>
      </c>
    </row>
    <row r="125" spans="1:21" x14ac:dyDescent="0.25">
      <c r="A125" s="50" t="str">
        <f t="shared" si="3"/>
        <v/>
      </c>
      <c r="B125" s="4" t="str">
        <f>IFERROR(VLOOKUP(A125,'BOOK ENTRY'!E:F,2,0),"")</f>
        <v/>
      </c>
      <c r="C125" t="s">
        <v>41</v>
      </c>
      <c r="D125" s="4" t="str">
        <f>IFERROR(VLOOKUP(B125,'BOOK ENTRY'!F:G,2,0),"")</f>
        <v/>
      </c>
      <c r="E125" s="4" t="str">
        <f>IFERROR(IF(B125="","",VLOOKUP(B125,'Master Sheet'!C:H,6,0)),"")</f>
        <v/>
      </c>
      <c r="U125" t="str">
        <f>IF(ISNUMBER('BOOK ENTRY'!F125), COUNTIFS('BOOK ENTRY'!$F$2:'BOOK ENTRY'!F125, "&gt;=0"), "")</f>
        <v/>
      </c>
    </row>
    <row r="126" spans="1:21" x14ac:dyDescent="0.25">
      <c r="A126" s="50" t="str">
        <f t="shared" si="3"/>
        <v/>
      </c>
      <c r="B126" s="4" t="str">
        <f>IFERROR(VLOOKUP(A126,'BOOK ENTRY'!E:F,2,0),"")</f>
        <v/>
      </c>
      <c r="C126" t="s">
        <v>41</v>
      </c>
      <c r="D126" s="4" t="str">
        <f>IFERROR(VLOOKUP(B126,'BOOK ENTRY'!F:G,2,0),"")</f>
        <v/>
      </c>
      <c r="E126" s="4" t="str">
        <f>IFERROR(IF(B126="","",VLOOKUP(B126,'Master Sheet'!C:H,6,0)),"")</f>
        <v/>
      </c>
      <c r="U126" t="str">
        <f>IF(ISNUMBER('BOOK ENTRY'!F126), COUNTIFS('BOOK ENTRY'!$F$2:'BOOK ENTRY'!F126, "&gt;=0"), "")</f>
        <v/>
      </c>
    </row>
    <row r="127" spans="1:21" x14ac:dyDescent="0.25">
      <c r="A127" s="50" t="str">
        <f t="shared" si="3"/>
        <v/>
      </c>
      <c r="B127" s="4" t="str">
        <f>IFERROR(VLOOKUP(A127,'BOOK ENTRY'!E:F,2,0),"")</f>
        <v/>
      </c>
      <c r="C127" t="s">
        <v>41</v>
      </c>
      <c r="D127" s="4" t="str">
        <f>IFERROR(VLOOKUP(B127,'BOOK ENTRY'!F:G,2,0),"")</f>
        <v/>
      </c>
      <c r="E127" s="4" t="str">
        <f>IFERROR(IF(B127="","",VLOOKUP(B127,'Master Sheet'!C:H,6,0)),"")</f>
        <v/>
      </c>
      <c r="U127" t="str">
        <f>IF(ISNUMBER('BOOK ENTRY'!F127), COUNTIFS('BOOK ENTRY'!$F$2:'BOOK ENTRY'!F127, "&gt;=0"), "")</f>
        <v/>
      </c>
    </row>
    <row r="128" spans="1:21" x14ac:dyDescent="0.25">
      <c r="A128" s="50" t="str">
        <f t="shared" si="3"/>
        <v/>
      </c>
      <c r="B128" s="4" t="str">
        <f>IFERROR(VLOOKUP(A128,'BOOK ENTRY'!E:F,2,0),"")</f>
        <v/>
      </c>
      <c r="C128" t="s">
        <v>41</v>
      </c>
      <c r="D128" s="4" t="str">
        <f>IFERROR(VLOOKUP(B128,'BOOK ENTRY'!F:G,2,0),"")</f>
        <v/>
      </c>
      <c r="E128" s="4" t="str">
        <f>IFERROR(IF(B128="","",VLOOKUP(B128,'Master Sheet'!C:H,6,0)),"")</f>
        <v/>
      </c>
      <c r="U128" t="str">
        <f>IF(ISNUMBER('BOOK ENTRY'!F128), COUNTIFS('BOOK ENTRY'!$F$2:'BOOK ENTRY'!F128, "&gt;=0"), "")</f>
        <v/>
      </c>
    </row>
    <row r="129" spans="1:21" x14ac:dyDescent="0.25">
      <c r="A129" s="50" t="str">
        <f t="shared" si="3"/>
        <v/>
      </c>
      <c r="B129" s="4" t="str">
        <f>IFERROR(VLOOKUP(A129,'BOOK ENTRY'!E:F,2,0),"")</f>
        <v/>
      </c>
      <c r="C129" t="s">
        <v>41</v>
      </c>
      <c r="D129" s="4" t="str">
        <f>IFERROR(VLOOKUP(B129,'BOOK ENTRY'!F:G,2,0),"")</f>
        <v/>
      </c>
      <c r="E129" s="4" t="str">
        <f>IFERROR(IF(B129="","",VLOOKUP(B129,'Master Sheet'!C:H,6,0)),"")</f>
        <v/>
      </c>
      <c r="U129" t="str">
        <f>IF(ISNUMBER('BOOK ENTRY'!F129), COUNTIFS('BOOK ENTRY'!$F$2:'BOOK ENTRY'!F129, "&gt;=0"), "")</f>
        <v/>
      </c>
    </row>
    <row r="130" spans="1:21" x14ac:dyDescent="0.25">
      <c r="A130" s="50" t="str">
        <f t="shared" ref="A130:A161" si="4">IF(U130="","",U130)</f>
        <v/>
      </c>
      <c r="B130" s="4" t="str">
        <f>IFERROR(VLOOKUP(A130,'BOOK ENTRY'!E:F,2,0),"")</f>
        <v/>
      </c>
      <c r="C130" t="s">
        <v>41</v>
      </c>
      <c r="D130" s="4" t="str">
        <f>IFERROR(VLOOKUP(B130,'BOOK ENTRY'!F:G,2,0),"")</f>
        <v/>
      </c>
      <c r="E130" s="4" t="str">
        <f>IFERROR(IF(B130="","",VLOOKUP(B130,'Master Sheet'!C:H,6,0)),"")</f>
        <v/>
      </c>
      <c r="U130" t="str">
        <f>IF(ISNUMBER('BOOK ENTRY'!F130), COUNTIFS('BOOK ENTRY'!$F$2:'BOOK ENTRY'!F130, "&gt;=0"), "")</f>
        <v/>
      </c>
    </row>
    <row r="131" spans="1:21" x14ac:dyDescent="0.25">
      <c r="A131" s="50" t="str">
        <f t="shared" si="4"/>
        <v/>
      </c>
      <c r="B131" s="4" t="str">
        <f>IFERROR(VLOOKUP(A131,'BOOK ENTRY'!E:F,2,0),"")</f>
        <v/>
      </c>
      <c r="C131" t="s">
        <v>41</v>
      </c>
      <c r="D131" s="4" t="str">
        <f>IFERROR(VLOOKUP(B131,'BOOK ENTRY'!F:G,2,0),"")</f>
        <v/>
      </c>
      <c r="E131" s="4" t="str">
        <f>IFERROR(IF(B131="","",VLOOKUP(B131,'Master Sheet'!C:H,6,0)),"")</f>
        <v/>
      </c>
      <c r="U131" t="str">
        <f>IF(ISNUMBER('BOOK ENTRY'!F131), COUNTIFS('BOOK ENTRY'!$F$2:'BOOK ENTRY'!F131, "&gt;=0"), "")</f>
        <v/>
      </c>
    </row>
    <row r="132" spans="1:21" x14ac:dyDescent="0.25">
      <c r="A132" s="50" t="str">
        <f t="shared" si="4"/>
        <v/>
      </c>
      <c r="B132" s="4" t="str">
        <f>IFERROR(VLOOKUP(A132,'BOOK ENTRY'!E:F,2,0),"")</f>
        <v/>
      </c>
      <c r="C132" t="s">
        <v>41</v>
      </c>
      <c r="D132" s="4" t="str">
        <f>IFERROR(VLOOKUP(B132,'BOOK ENTRY'!F:G,2,0),"")</f>
        <v/>
      </c>
      <c r="E132" s="4" t="str">
        <f>IFERROR(IF(B132="","",VLOOKUP(B132,'Master Sheet'!C:H,6,0)),"")</f>
        <v/>
      </c>
      <c r="U132" t="str">
        <f>IF(ISNUMBER('BOOK ENTRY'!F132), COUNTIFS('BOOK ENTRY'!$F$2:'BOOK ENTRY'!F132, "&gt;=0"), "")</f>
        <v/>
      </c>
    </row>
    <row r="133" spans="1:21" x14ac:dyDescent="0.25">
      <c r="A133" s="50" t="str">
        <f t="shared" si="4"/>
        <v/>
      </c>
      <c r="B133" s="4" t="str">
        <f>IFERROR(VLOOKUP(A133,'BOOK ENTRY'!E:F,2,0),"")</f>
        <v/>
      </c>
      <c r="C133" t="s">
        <v>41</v>
      </c>
      <c r="D133" s="4" t="str">
        <f>IFERROR(VLOOKUP(B133,'BOOK ENTRY'!F:G,2,0),"")</f>
        <v/>
      </c>
      <c r="E133" s="4" t="str">
        <f>IFERROR(IF(B133="","",VLOOKUP(B133,'Master Sheet'!C:H,6,0)),"")</f>
        <v/>
      </c>
      <c r="U133" t="str">
        <f>IF(ISNUMBER('BOOK ENTRY'!F133), COUNTIFS('BOOK ENTRY'!$F$2:'BOOK ENTRY'!F133, "&gt;=0"), "")</f>
        <v/>
      </c>
    </row>
    <row r="134" spans="1:21" x14ac:dyDescent="0.25">
      <c r="A134" s="50" t="str">
        <f t="shared" si="4"/>
        <v/>
      </c>
      <c r="B134" s="4" t="str">
        <f>IFERROR(VLOOKUP(A134,'BOOK ENTRY'!E:F,2,0),"")</f>
        <v/>
      </c>
      <c r="C134" t="s">
        <v>41</v>
      </c>
      <c r="D134" s="4" t="str">
        <f>IFERROR(VLOOKUP(B134,'BOOK ENTRY'!F:G,2,0),"")</f>
        <v/>
      </c>
      <c r="E134" s="4" t="str">
        <f>IFERROR(IF(B134="","",VLOOKUP(B134,'Master Sheet'!C:H,6,0)),"")</f>
        <v/>
      </c>
      <c r="U134" t="str">
        <f>IF(ISNUMBER('BOOK ENTRY'!F134), COUNTIFS('BOOK ENTRY'!$F$2:'BOOK ENTRY'!F134, "&gt;=0"), "")</f>
        <v/>
      </c>
    </row>
    <row r="135" spans="1:21" x14ac:dyDescent="0.25">
      <c r="A135" s="50" t="str">
        <f t="shared" si="4"/>
        <v/>
      </c>
      <c r="B135" s="4" t="str">
        <f>IFERROR(VLOOKUP(A135,'BOOK ENTRY'!E:F,2,0),"")</f>
        <v/>
      </c>
      <c r="C135" t="s">
        <v>41</v>
      </c>
      <c r="D135" s="4" t="str">
        <f>IFERROR(VLOOKUP(B135,'BOOK ENTRY'!F:G,2,0),"")</f>
        <v/>
      </c>
      <c r="E135" s="4" t="str">
        <f>IFERROR(IF(B135="","",VLOOKUP(B135,'Master Sheet'!C:H,6,0)),"")</f>
        <v/>
      </c>
      <c r="U135" t="str">
        <f>IF(ISNUMBER('BOOK ENTRY'!F135), COUNTIFS('BOOK ENTRY'!$F$2:'BOOK ENTRY'!F135, "&gt;=0"), "")</f>
        <v/>
      </c>
    </row>
    <row r="136" spans="1:21" x14ac:dyDescent="0.25">
      <c r="A136" s="50" t="str">
        <f t="shared" si="4"/>
        <v/>
      </c>
      <c r="B136" s="4" t="str">
        <f>IFERROR(VLOOKUP(A136,'BOOK ENTRY'!E:F,2,0),"")</f>
        <v/>
      </c>
      <c r="C136" t="s">
        <v>41</v>
      </c>
      <c r="D136" s="4" t="str">
        <f>IFERROR(VLOOKUP(B136,'BOOK ENTRY'!F:G,2,0),"")</f>
        <v/>
      </c>
      <c r="E136" s="4" t="str">
        <f>IFERROR(IF(B136="","",VLOOKUP(B136,'Master Sheet'!C:H,6,0)),"")</f>
        <v/>
      </c>
      <c r="U136" t="str">
        <f>IF(ISNUMBER('BOOK ENTRY'!F136), COUNTIFS('BOOK ENTRY'!$F$2:'BOOK ENTRY'!F136, "&gt;=0"), "")</f>
        <v/>
      </c>
    </row>
    <row r="137" spans="1:21" x14ac:dyDescent="0.25">
      <c r="A137" s="50" t="str">
        <f t="shared" si="4"/>
        <v/>
      </c>
      <c r="B137" s="4" t="str">
        <f>IFERROR(VLOOKUP(A137,'BOOK ENTRY'!E:F,2,0),"")</f>
        <v/>
      </c>
      <c r="C137" t="s">
        <v>41</v>
      </c>
      <c r="D137" s="4" t="str">
        <f>IFERROR(VLOOKUP(B137,'BOOK ENTRY'!F:G,2,0),"")</f>
        <v/>
      </c>
      <c r="E137" s="4" t="str">
        <f>IFERROR(IF(B137="","",VLOOKUP(B137,'Master Sheet'!C:H,6,0)),"")</f>
        <v/>
      </c>
      <c r="U137" t="str">
        <f>IF(ISNUMBER('BOOK ENTRY'!F137), COUNTIFS('BOOK ENTRY'!$F$2:'BOOK ENTRY'!F137, "&gt;=0"), "")</f>
        <v/>
      </c>
    </row>
    <row r="138" spans="1:21" x14ac:dyDescent="0.25">
      <c r="A138" s="50" t="str">
        <f t="shared" si="4"/>
        <v/>
      </c>
      <c r="B138" s="4" t="str">
        <f>IFERROR(VLOOKUP(A138,'BOOK ENTRY'!E:F,2,0),"")</f>
        <v/>
      </c>
      <c r="C138" t="s">
        <v>41</v>
      </c>
      <c r="D138" s="4" t="str">
        <f>IFERROR(VLOOKUP(B138,'BOOK ENTRY'!F:G,2,0),"")</f>
        <v/>
      </c>
      <c r="E138" s="4" t="str">
        <f>IFERROR(IF(B138="","",VLOOKUP(B138,'Master Sheet'!C:H,6,0)),"")</f>
        <v/>
      </c>
      <c r="U138" t="str">
        <f>IF(ISNUMBER('BOOK ENTRY'!F138), COUNTIFS('BOOK ENTRY'!$F$2:'BOOK ENTRY'!F138, "&gt;=0"), "")</f>
        <v/>
      </c>
    </row>
    <row r="139" spans="1:21" x14ac:dyDescent="0.25">
      <c r="A139" s="50" t="str">
        <f t="shared" si="4"/>
        <v/>
      </c>
      <c r="B139" s="4" t="str">
        <f>IFERROR(VLOOKUP(A139,'BOOK ENTRY'!E:F,2,0),"")</f>
        <v/>
      </c>
      <c r="C139" t="s">
        <v>41</v>
      </c>
      <c r="D139" s="4" t="str">
        <f>IFERROR(VLOOKUP(B139,'BOOK ENTRY'!F:G,2,0),"")</f>
        <v/>
      </c>
      <c r="E139" s="4" t="str">
        <f>IFERROR(IF(B139="","",VLOOKUP(B139,'Master Sheet'!C:H,6,0)),"")</f>
        <v/>
      </c>
      <c r="U139" t="str">
        <f>IF(ISNUMBER('BOOK ENTRY'!F139), COUNTIFS('BOOK ENTRY'!$F$2:'BOOK ENTRY'!F139, "&gt;=0"), "")</f>
        <v/>
      </c>
    </row>
    <row r="140" spans="1:21" x14ac:dyDescent="0.25">
      <c r="A140" s="50" t="str">
        <f t="shared" si="4"/>
        <v/>
      </c>
      <c r="B140" s="4" t="str">
        <f>IFERROR(VLOOKUP(A140,'BOOK ENTRY'!E:F,2,0),"")</f>
        <v/>
      </c>
      <c r="C140" t="s">
        <v>41</v>
      </c>
      <c r="D140" s="4" t="str">
        <f>IFERROR(VLOOKUP(B140,'BOOK ENTRY'!F:G,2,0),"")</f>
        <v/>
      </c>
      <c r="E140" s="4" t="str">
        <f>IFERROR(IF(B140="","",VLOOKUP(B140,'Master Sheet'!C:H,6,0)),"")</f>
        <v/>
      </c>
      <c r="U140" t="str">
        <f>IF(ISNUMBER('BOOK ENTRY'!F140), COUNTIFS('BOOK ENTRY'!$F$2:'BOOK ENTRY'!F140, "&gt;=0"), "")</f>
        <v/>
      </c>
    </row>
    <row r="141" spans="1:21" x14ac:dyDescent="0.25">
      <c r="A141" s="50" t="str">
        <f t="shared" si="4"/>
        <v/>
      </c>
      <c r="B141" s="4" t="str">
        <f>IFERROR(VLOOKUP(A141,'BOOK ENTRY'!E:F,2,0),"")</f>
        <v/>
      </c>
      <c r="C141" t="s">
        <v>41</v>
      </c>
      <c r="D141" s="4" t="str">
        <f>IFERROR(VLOOKUP(B141,'BOOK ENTRY'!F:G,2,0),"")</f>
        <v/>
      </c>
      <c r="E141" s="4" t="str">
        <f>IFERROR(IF(B141="","",VLOOKUP(B141,'Master Sheet'!C:H,6,0)),"")</f>
        <v/>
      </c>
      <c r="U141" t="str">
        <f>IF(ISNUMBER('BOOK ENTRY'!F141), COUNTIFS('BOOK ENTRY'!$F$2:'BOOK ENTRY'!F141, "&gt;=0"), "")</f>
        <v/>
      </c>
    </row>
    <row r="142" spans="1:21" x14ac:dyDescent="0.25">
      <c r="A142" s="50" t="str">
        <f t="shared" si="4"/>
        <v/>
      </c>
      <c r="B142" s="4" t="str">
        <f>IFERROR(VLOOKUP(A142,'BOOK ENTRY'!E:F,2,0),"")</f>
        <v/>
      </c>
      <c r="C142" t="s">
        <v>41</v>
      </c>
      <c r="D142" s="4" t="str">
        <f>IFERROR(VLOOKUP(B142,'BOOK ENTRY'!F:G,2,0),"")</f>
        <v/>
      </c>
      <c r="E142" s="4" t="str">
        <f>IFERROR(IF(B142="","",VLOOKUP(B142,'Master Sheet'!C:H,6,0)),"")</f>
        <v/>
      </c>
      <c r="U142" t="str">
        <f>IF(ISNUMBER('BOOK ENTRY'!F142), COUNTIFS('BOOK ENTRY'!$F$2:'BOOK ENTRY'!F142, "&gt;=0"), "")</f>
        <v/>
      </c>
    </row>
    <row r="143" spans="1:21" x14ac:dyDescent="0.25">
      <c r="A143" s="50" t="str">
        <f t="shared" si="4"/>
        <v/>
      </c>
      <c r="B143" s="4" t="str">
        <f>IFERROR(VLOOKUP(A143,'BOOK ENTRY'!E:F,2,0),"")</f>
        <v/>
      </c>
      <c r="C143" t="s">
        <v>41</v>
      </c>
      <c r="D143" s="4" t="str">
        <f>IFERROR(VLOOKUP(B143,'BOOK ENTRY'!F:G,2,0),"")</f>
        <v/>
      </c>
      <c r="E143" s="4" t="str">
        <f>IFERROR(IF(B143="","",VLOOKUP(B143,'Master Sheet'!C:H,6,0)),"")</f>
        <v/>
      </c>
      <c r="U143" t="str">
        <f>IF(ISNUMBER('BOOK ENTRY'!F143), COUNTIFS('BOOK ENTRY'!$F$2:'BOOK ENTRY'!F143, "&gt;=0"), "")</f>
        <v/>
      </c>
    </row>
    <row r="144" spans="1:21" x14ac:dyDescent="0.25">
      <c r="A144" s="50" t="str">
        <f t="shared" si="4"/>
        <v/>
      </c>
      <c r="B144" s="4" t="str">
        <f>IFERROR(VLOOKUP(A144,'BOOK ENTRY'!E:F,2,0),"")</f>
        <v/>
      </c>
      <c r="C144" t="s">
        <v>41</v>
      </c>
      <c r="D144" s="4" t="str">
        <f>IFERROR(VLOOKUP(B144,'BOOK ENTRY'!F:G,2,0),"")</f>
        <v/>
      </c>
      <c r="E144" s="4" t="str">
        <f>IFERROR(IF(B144="","",VLOOKUP(B144,'Master Sheet'!C:H,6,0)),"")</f>
        <v/>
      </c>
      <c r="U144" t="str">
        <f>IF(ISNUMBER('BOOK ENTRY'!F144), COUNTIFS('BOOK ENTRY'!$F$2:'BOOK ENTRY'!F144, "&gt;=0"), "")</f>
        <v/>
      </c>
    </row>
    <row r="145" spans="1:21" x14ac:dyDescent="0.25">
      <c r="A145" s="50" t="str">
        <f t="shared" si="4"/>
        <v/>
      </c>
      <c r="B145" s="4" t="str">
        <f>IFERROR(VLOOKUP(A145,'BOOK ENTRY'!E:F,2,0),"")</f>
        <v/>
      </c>
      <c r="C145" t="s">
        <v>41</v>
      </c>
      <c r="D145" s="4" t="str">
        <f>IFERROR(VLOOKUP(B145,'BOOK ENTRY'!F:G,2,0),"")</f>
        <v/>
      </c>
      <c r="E145" s="4" t="str">
        <f>IFERROR(IF(B145="","",VLOOKUP(B145,'Master Sheet'!C:H,6,0)),"")</f>
        <v/>
      </c>
      <c r="U145" t="str">
        <f>IF(ISNUMBER('BOOK ENTRY'!F145), COUNTIFS('BOOK ENTRY'!$F$2:'BOOK ENTRY'!F145, "&gt;=0"), "")</f>
        <v/>
      </c>
    </row>
    <row r="146" spans="1:21" x14ac:dyDescent="0.25">
      <c r="A146" s="50" t="str">
        <f t="shared" si="4"/>
        <v/>
      </c>
      <c r="B146" s="4" t="str">
        <f>IFERROR(VLOOKUP(A146,'BOOK ENTRY'!E:F,2,0),"")</f>
        <v/>
      </c>
      <c r="C146" t="s">
        <v>41</v>
      </c>
      <c r="D146" s="4" t="str">
        <f>IFERROR(VLOOKUP(B146,'BOOK ENTRY'!F:G,2,0),"")</f>
        <v/>
      </c>
      <c r="E146" s="4" t="str">
        <f>IFERROR(IF(B146="","",VLOOKUP(B146,'Master Sheet'!C:H,6,0)),"")</f>
        <v/>
      </c>
      <c r="U146" t="str">
        <f>IF(ISNUMBER('BOOK ENTRY'!F146), COUNTIFS('BOOK ENTRY'!$F$2:'BOOK ENTRY'!F146, "&gt;=0"), "")</f>
        <v/>
      </c>
    </row>
    <row r="147" spans="1:21" x14ac:dyDescent="0.25">
      <c r="A147" s="50" t="str">
        <f t="shared" si="4"/>
        <v/>
      </c>
      <c r="B147" s="4" t="str">
        <f>IFERROR(VLOOKUP(A147,'BOOK ENTRY'!E:F,2,0),"")</f>
        <v/>
      </c>
      <c r="C147" t="s">
        <v>41</v>
      </c>
      <c r="D147" s="4" t="str">
        <f>IFERROR(VLOOKUP(B147,'BOOK ENTRY'!F:G,2,0),"")</f>
        <v/>
      </c>
      <c r="E147" s="4" t="str">
        <f>IFERROR(IF(B147="","",VLOOKUP(B147,'Master Sheet'!C:H,6,0)),"")</f>
        <v/>
      </c>
      <c r="U147" t="str">
        <f>IF(ISNUMBER('BOOK ENTRY'!F147), COUNTIFS('BOOK ENTRY'!$F$2:'BOOK ENTRY'!F147, "&gt;=0"), "")</f>
        <v/>
      </c>
    </row>
    <row r="148" spans="1:21" x14ac:dyDescent="0.25">
      <c r="A148" s="50" t="str">
        <f t="shared" si="4"/>
        <v/>
      </c>
      <c r="B148" s="4" t="str">
        <f>IFERROR(VLOOKUP(A148,'BOOK ENTRY'!E:F,2,0),"")</f>
        <v/>
      </c>
      <c r="C148" t="s">
        <v>41</v>
      </c>
      <c r="D148" s="4" t="str">
        <f>IFERROR(VLOOKUP(B148,'BOOK ENTRY'!F:G,2,0),"")</f>
        <v/>
      </c>
      <c r="E148" s="4" t="str">
        <f>IFERROR(IF(B148="","",VLOOKUP(B148,'Master Sheet'!C:H,6,0)),"")</f>
        <v/>
      </c>
      <c r="U148" t="str">
        <f>IF(ISNUMBER('BOOK ENTRY'!F148), COUNTIFS('BOOK ENTRY'!$F$2:'BOOK ENTRY'!F148, "&gt;=0"), "")</f>
        <v/>
      </c>
    </row>
    <row r="149" spans="1:21" x14ac:dyDescent="0.25">
      <c r="A149" s="50" t="str">
        <f t="shared" si="4"/>
        <v/>
      </c>
      <c r="U149" t="str">
        <f>IF(ISNUMBER('BOOK ENTRY'!F149), COUNTIFS('BOOK ENTRY'!$F$2:'BOOK ENTRY'!F149, "&gt;=0"), "")</f>
        <v/>
      </c>
    </row>
    <row r="150" spans="1:21" x14ac:dyDescent="0.25">
      <c r="A150" s="50" t="str">
        <f t="shared" si="4"/>
        <v/>
      </c>
      <c r="U150" t="str">
        <f>IF(ISNUMBER('BOOK ENTRY'!F150), COUNTIFS('BOOK ENTRY'!$F$2:'BOOK ENTRY'!F150, "&gt;=0"), "")</f>
        <v/>
      </c>
    </row>
    <row r="151" spans="1:21" x14ac:dyDescent="0.25">
      <c r="A151" s="50" t="str">
        <f t="shared" si="4"/>
        <v/>
      </c>
      <c r="U151" t="str">
        <f>IF(ISNUMBER('BOOK ENTRY'!F151), COUNTIFS('BOOK ENTRY'!$F$2:'BOOK ENTRY'!F151, "&gt;=0"), "")</f>
        <v/>
      </c>
    </row>
    <row r="152" spans="1:21" x14ac:dyDescent="0.25">
      <c r="A152" s="50" t="str">
        <f t="shared" si="4"/>
        <v/>
      </c>
      <c r="U152" t="str">
        <f>IF(ISNUMBER('BOOK ENTRY'!F152), COUNTIFS('BOOK ENTRY'!$F$2:'BOOK ENTRY'!F152, "&gt;=0"), "")</f>
        <v/>
      </c>
    </row>
    <row r="153" spans="1:21" x14ac:dyDescent="0.25">
      <c r="A153" s="50" t="str">
        <f t="shared" si="4"/>
        <v/>
      </c>
      <c r="U153" t="str">
        <f>IF(ISNUMBER('BOOK ENTRY'!F153), COUNTIFS('BOOK ENTRY'!$F$2:'BOOK ENTRY'!F153, "&gt;=0"), "")</f>
        <v/>
      </c>
    </row>
    <row r="154" spans="1:21" x14ac:dyDescent="0.25">
      <c r="A154" s="50" t="str">
        <f t="shared" si="4"/>
        <v/>
      </c>
      <c r="U154" t="str">
        <f>IF(ISNUMBER('BOOK ENTRY'!F154), COUNTIFS('BOOK ENTRY'!$F$2:'BOOK ENTRY'!F154, "&gt;=0"), "")</f>
        <v/>
      </c>
    </row>
    <row r="155" spans="1:21" x14ac:dyDescent="0.25">
      <c r="A155" s="50" t="str">
        <f t="shared" si="4"/>
        <v/>
      </c>
      <c r="U155" t="str">
        <f>IF(ISNUMBER('BOOK ENTRY'!F155), COUNTIFS('BOOK ENTRY'!$F$2:'BOOK ENTRY'!F155, "&gt;=0"), "")</f>
        <v/>
      </c>
    </row>
    <row r="156" spans="1:21" x14ac:dyDescent="0.25">
      <c r="A156" s="50" t="str">
        <f t="shared" si="4"/>
        <v/>
      </c>
      <c r="U156" t="str">
        <f>IF(ISNUMBER('BOOK ENTRY'!F156), COUNTIFS('BOOK ENTRY'!$F$2:'BOOK ENTRY'!F156, "&gt;=0"), "")</f>
        <v/>
      </c>
    </row>
    <row r="157" spans="1:21" x14ac:dyDescent="0.25">
      <c r="A157" s="50" t="str">
        <f t="shared" si="4"/>
        <v/>
      </c>
      <c r="U157" t="str">
        <f>IF(ISNUMBER('BOOK ENTRY'!F157), COUNTIFS('BOOK ENTRY'!$F$2:'BOOK ENTRY'!F157, "&gt;=0"), "")</f>
        <v/>
      </c>
    </row>
    <row r="158" spans="1:21" x14ac:dyDescent="0.25">
      <c r="A158" s="50" t="str">
        <f t="shared" si="4"/>
        <v/>
      </c>
      <c r="U158" t="str">
        <f>IF(ISNUMBER('BOOK ENTRY'!F158), COUNTIFS('BOOK ENTRY'!$F$2:'BOOK ENTRY'!F158, "&gt;=0"), "")</f>
        <v/>
      </c>
    </row>
    <row r="159" spans="1:21" x14ac:dyDescent="0.25">
      <c r="A159" s="50" t="str">
        <f t="shared" si="4"/>
        <v/>
      </c>
      <c r="U159" t="str">
        <f>IF(ISNUMBER('BOOK ENTRY'!F159), COUNTIFS('BOOK ENTRY'!$F$2:'BOOK ENTRY'!F159, "&gt;=0"), "")</f>
        <v/>
      </c>
    </row>
    <row r="160" spans="1:21" x14ac:dyDescent="0.25">
      <c r="A160" s="50" t="str">
        <f t="shared" si="4"/>
        <v/>
      </c>
      <c r="U160" t="str">
        <f>IF(ISNUMBER('BOOK ENTRY'!F160), COUNTIFS('BOOK ENTRY'!$F$2:'BOOK ENTRY'!F160, "&gt;=0"), "")</f>
        <v/>
      </c>
    </row>
    <row r="161" spans="1:21" x14ac:dyDescent="0.25">
      <c r="A161" s="50" t="str">
        <f t="shared" si="4"/>
        <v/>
      </c>
      <c r="U161" t="str">
        <f>IF(ISNUMBER('BOOK ENTRY'!F161), COUNTIFS('BOOK ENTRY'!$F$2:'BOOK ENTRY'!F161, "&gt;=0"), "")</f>
        <v/>
      </c>
    </row>
    <row r="162" spans="1:21" x14ac:dyDescent="0.25">
      <c r="A162" s="50" t="str">
        <f t="shared" ref="A162:A196" si="5">IF(U162="","",U162)</f>
        <v/>
      </c>
      <c r="U162" t="str">
        <f>IF(ISNUMBER('BOOK ENTRY'!F162), COUNTIFS('BOOK ENTRY'!$F$2:'BOOK ENTRY'!F162, "&gt;=0"), "")</f>
        <v/>
      </c>
    </row>
    <row r="163" spans="1:21" x14ac:dyDescent="0.25">
      <c r="A163" s="50" t="str">
        <f t="shared" si="5"/>
        <v/>
      </c>
      <c r="U163" t="str">
        <f>IF(ISNUMBER('BOOK ENTRY'!F163), COUNTIFS('BOOK ENTRY'!$F$2:'BOOK ENTRY'!F163, "&gt;=0"), "")</f>
        <v/>
      </c>
    </row>
    <row r="164" spans="1:21" x14ac:dyDescent="0.25">
      <c r="A164" s="50" t="str">
        <f t="shared" si="5"/>
        <v/>
      </c>
      <c r="U164" t="str">
        <f>IF(ISNUMBER('BOOK ENTRY'!F164), COUNTIFS('BOOK ENTRY'!$F$2:'BOOK ENTRY'!F164, "&gt;=0"), "")</f>
        <v/>
      </c>
    </row>
    <row r="165" spans="1:21" x14ac:dyDescent="0.25">
      <c r="A165" s="50" t="str">
        <f t="shared" si="5"/>
        <v/>
      </c>
      <c r="U165" t="str">
        <f>IF(ISNUMBER('BOOK ENTRY'!F165), COUNTIFS('BOOK ENTRY'!$F$2:'BOOK ENTRY'!F165, "&gt;=0"), "")</f>
        <v/>
      </c>
    </row>
    <row r="166" spans="1:21" x14ac:dyDescent="0.25">
      <c r="A166" s="50" t="str">
        <f t="shared" si="5"/>
        <v/>
      </c>
      <c r="U166" t="str">
        <f>IF(ISNUMBER('BOOK ENTRY'!F166), COUNTIFS('BOOK ENTRY'!$F$2:'BOOK ENTRY'!F166, "&gt;=0"), "")</f>
        <v/>
      </c>
    </row>
    <row r="167" spans="1:21" x14ac:dyDescent="0.25">
      <c r="A167" s="50" t="str">
        <f t="shared" si="5"/>
        <v/>
      </c>
      <c r="U167" t="str">
        <f>IF(ISNUMBER('BOOK ENTRY'!F167), COUNTIFS('BOOK ENTRY'!$F$2:'BOOK ENTRY'!F167, "&gt;=0"), "")</f>
        <v/>
      </c>
    </row>
    <row r="168" spans="1:21" x14ac:dyDescent="0.25">
      <c r="A168" s="50" t="str">
        <f t="shared" si="5"/>
        <v/>
      </c>
      <c r="U168" t="str">
        <f>IF(ISNUMBER('BOOK ENTRY'!F168), COUNTIFS('BOOK ENTRY'!$F$2:'BOOK ENTRY'!F168, "&gt;=0"), "")</f>
        <v/>
      </c>
    </row>
    <row r="169" spans="1:21" x14ac:dyDescent="0.25">
      <c r="A169" s="50" t="str">
        <f t="shared" si="5"/>
        <v/>
      </c>
      <c r="U169" t="str">
        <f>IF(ISNUMBER('BOOK ENTRY'!F169), COUNTIFS('BOOK ENTRY'!$F$2:'BOOK ENTRY'!F169, "&gt;=0"), "")</f>
        <v/>
      </c>
    </row>
    <row r="170" spans="1:21" x14ac:dyDescent="0.25">
      <c r="A170" s="50" t="str">
        <f t="shared" si="5"/>
        <v/>
      </c>
      <c r="U170" t="str">
        <f>IF(ISNUMBER('BOOK ENTRY'!F170), COUNTIFS('BOOK ENTRY'!$F$2:'BOOK ENTRY'!F170, "&gt;=0"), "")</f>
        <v/>
      </c>
    </row>
    <row r="171" spans="1:21" x14ac:dyDescent="0.25">
      <c r="A171" s="50" t="str">
        <f t="shared" si="5"/>
        <v/>
      </c>
      <c r="U171" t="str">
        <f>IF(ISNUMBER('BOOK ENTRY'!F171), COUNTIFS('BOOK ENTRY'!$F$2:'BOOK ENTRY'!F171, "&gt;=0"), "")</f>
        <v/>
      </c>
    </row>
    <row r="172" spans="1:21" x14ac:dyDescent="0.25">
      <c r="A172" s="50" t="str">
        <f t="shared" si="5"/>
        <v/>
      </c>
      <c r="U172" t="str">
        <f>IF(ISNUMBER('BOOK ENTRY'!F172), COUNTIFS('BOOK ENTRY'!$F$2:'BOOK ENTRY'!F172, "&gt;=0"), "")</f>
        <v/>
      </c>
    </row>
    <row r="173" spans="1:21" x14ac:dyDescent="0.25">
      <c r="A173" s="50" t="str">
        <f t="shared" si="5"/>
        <v/>
      </c>
      <c r="U173" t="str">
        <f>IF(ISNUMBER('BOOK ENTRY'!F173), COUNTIFS('BOOK ENTRY'!$F$2:'BOOK ENTRY'!F173, "&gt;=0"), "")</f>
        <v/>
      </c>
    </row>
    <row r="174" spans="1:21" x14ac:dyDescent="0.25">
      <c r="A174" s="50" t="str">
        <f t="shared" si="5"/>
        <v/>
      </c>
      <c r="U174" t="str">
        <f>IF(ISNUMBER('BOOK ENTRY'!F174), COUNTIFS('BOOK ENTRY'!$F$2:'BOOK ENTRY'!F174, "&gt;=0"), "")</f>
        <v/>
      </c>
    </row>
    <row r="175" spans="1:21" x14ac:dyDescent="0.25">
      <c r="A175" s="50" t="str">
        <f t="shared" si="5"/>
        <v/>
      </c>
      <c r="U175" t="str">
        <f>IF(ISNUMBER('BOOK ENTRY'!F175), COUNTIFS('BOOK ENTRY'!$F$2:'BOOK ENTRY'!F175, "&gt;=0"), "")</f>
        <v/>
      </c>
    </row>
    <row r="176" spans="1:21" x14ac:dyDescent="0.25">
      <c r="A176" s="50" t="str">
        <f t="shared" si="5"/>
        <v/>
      </c>
      <c r="U176" t="str">
        <f>IF(ISNUMBER('BOOK ENTRY'!F176), COUNTIFS('BOOK ENTRY'!$F$2:'BOOK ENTRY'!F176, "&gt;=0"), "")</f>
        <v/>
      </c>
    </row>
    <row r="177" spans="1:21" x14ac:dyDescent="0.25">
      <c r="A177" s="50" t="str">
        <f t="shared" si="5"/>
        <v/>
      </c>
      <c r="U177" t="str">
        <f>IF(ISNUMBER('BOOK ENTRY'!F177), COUNTIFS('BOOK ENTRY'!$F$2:'BOOK ENTRY'!F177, "&gt;=0"), "")</f>
        <v/>
      </c>
    </row>
    <row r="178" spans="1:21" x14ac:dyDescent="0.25">
      <c r="A178" s="50" t="str">
        <f t="shared" si="5"/>
        <v/>
      </c>
      <c r="U178" t="str">
        <f>IF(ISNUMBER('BOOK ENTRY'!F178), COUNTIFS('BOOK ENTRY'!$F$2:'BOOK ENTRY'!F178, "&gt;=0"), "")</f>
        <v/>
      </c>
    </row>
    <row r="179" spans="1:21" x14ac:dyDescent="0.25">
      <c r="A179" s="50" t="str">
        <f t="shared" si="5"/>
        <v/>
      </c>
      <c r="U179" t="str">
        <f>IF(ISNUMBER('BOOK ENTRY'!F179), COUNTIFS('BOOK ENTRY'!$F$2:'BOOK ENTRY'!F179, "&gt;=0"), "")</f>
        <v/>
      </c>
    </row>
    <row r="180" spans="1:21" x14ac:dyDescent="0.25">
      <c r="A180" s="50" t="str">
        <f t="shared" si="5"/>
        <v/>
      </c>
      <c r="U180" t="str">
        <f>IF(ISNUMBER('BOOK ENTRY'!F180), COUNTIFS('BOOK ENTRY'!$F$2:'BOOK ENTRY'!F180, "&gt;=0"), "")</f>
        <v/>
      </c>
    </row>
    <row r="181" spans="1:21" x14ac:dyDescent="0.25">
      <c r="A181" s="50" t="str">
        <f t="shared" si="5"/>
        <v/>
      </c>
      <c r="U181" t="str">
        <f>IF(ISNUMBER('BOOK ENTRY'!F181), COUNTIFS('BOOK ENTRY'!$F$2:'BOOK ENTRY'!F181, "&gt;=0"), "")</f>
        <v/>
      </c>
    </row>
    <row r="182" spans="1:21" x14ac:dyDescent="0.25">
      <c r="A182" s="50" t="str">
        <f t="shared" si="5"/>
        <v/>
      </c>
      <c r="U182" t="str">
        <f>IF(ISNUMBER('BOOK ENTRY'!F182), COUNTIFS('BOOK ENTRY'!$F$2:'BOOK ENTRY'!F182, "&gt;=0"), "")</f>
        <v/>
      </c>
    </row>
    <row r="183" spans="1:21" x14ac:dyDescent="0.25">
      <c r="A183" s="50" t="str">
        <f t="shared" si="5"/>
        <v/>
      </c>
      <c r="U183" t="str">
        <f>IF(ISNUMBER('BOOK ENTRY'!F183), COUNTIFS('BOOK ENTRY'!$F$2:'BOOK ENTRY'!F183, "&gt;=0"), "")</f>
        <v/>
      </c>
    </row>
    <row r="184" spans="1:21" x14ac:dyDescent="0.25">
      <c r="A184" s="50" t="str">
        <f t="shared" si="5"/>
        <v/>
      </c>
      <c r="U184" t="str">
        <f>IF(ISNUMBER('BOOK ENTRY'!F184), COUNTIFS('BOOK ENTRY'!$F$2:'BOOK ENTRY'!F184, "&gt;=0"), "")</f>
        <v/>
      </c>
    </row>
    <row r="185" spans="1:21" x14ac:dyDescent="0.25">
      <c r="A185" s="50" t="str">
        <f t="shared" si="5"/>
        <v/>
      </c>
      <c r="U185" t="str">
        <f>IF(ISNUMBER('BOOK ENTRY'!F185), COUNTIFS('BOOK ENTRY'!$F$2:'BOOK ENTRY'!F185, "&gt;=0"), "")</f>
        <v/>
      </c>
    </row>
    <row r="186" spans="1:21" x14ac:dyDescent="0.25">
      <c r="A186" s="50" t="str">
        <f t="shared" si="5"/>
        <v/>
      </c>
      <c r="U186" t="str">
        <f>IF(ISNUMBER('BOOK ENTRY'!F186), COUNTIFS('BOOK ENTRY'!$F$2:'BOOK ENTRY'!F186, "&gt;=0"), "")</f>
        <v/>
      </c>
    </row>
    <row r="187" spans="1:21" x14ac:dyDescent="0.25">
      <c r="A187" s="50" t="str">
        <f t="shared" si="5"/>
        <v/>
      </c>
      <c r="U187" t="str">
        <f>IF(ISNUMBER('BOOK ENTRY'!F187), COUNTIFS('BOOK ENTRY'!$F$2:'BOOK ENTRY'!F187, "&gt;=0"), "")</f>
        <v/>
      </c>
    </row>
    <row r="188" spans="1:21" x14ac:dyDescent="0.25">
      <c r="A188" s="50" t="str">
        <f t="shared" si="5"/>
        <v/>
      </c>
      <c r="U188" t="str">
        <f>IF(ISNUMBER('BOOK ENTRY'!F188), COUNTIFS('BOOK ENTRY'!$F$2:'BOOK ENTRY'!F188, "&gt;=0"), "")</f>
        <v/>
      </c>
    </row>
    <row r="189" spans="1:21" x14ac:dyDescent="0.25">
      <c r="A189" s="50" t="str">
        <f t="shared" si="5"/>
        <v/>
      </c>
      <c r="U189" t="str">
        <f>IF(ISNUMBER('BOOK ENTRY'!F189), COUNTIFS('BOOK ENTRY'!$F$2:'BOOK ENTRY'!F189, "&gt;=0"), "")</f>
        <v/>
      </c>
    </row>
    <row r="190" spans="1:21" x14ac:dyDescent="0.25">
      <c r="A190" s="50" t="str">
        <f t="shared" si="5"/>
        <v/>
      </c>
      <c r="U190" t="str">
        <f>IF(ISNUMBER('BOOK ENTRY'!F190), COUNTIFS('BOOK ENTRY'!$F$2:'BOOK ENTRY'!F190, "&gt;=0"), "")</f>
        <v/>
      </c>
    </row>
    <row r="191" spans="1:21" x14ac:dyDescent="0.25">
      <c r="A191" s="50" t="str">
        <f t="shared" si="5"/>
        <v/>
      </c>
      <c r="U191" t="str">
        <f>IF(ISNUMBER('BOOK ENTRY'!F191), COUNTIFS('BOOK ENTRY'!$F$2:'BOOK ENTRY'!F191, "&gt;=0"), "")</f>
        <v/>
      </c>
    </row>
    <row r="192" spans="1:21" x14ac:dyDescent="0.25">
      <c r="A192" s="50" t="str">
        <f t="shared" si="5"/>
        <v/>
      </c>
      <c r="U192" t="str">
        <f>IF(ISNUMBER('BOOK ENTRY'!F192), COUNTIFS('BOOK ENTRY'!$F$2:'BOOK ENTRY'!F192, "&gt;=0"), "")</f>
        <v/>
      </c>
    </row>
    <row r="193" spans="1:21" x14ac:dyDescent="0.25">
      <c r="A193" s="50" t="str">
        <f t="shared" si="5"/>
        <v/>
      </c>
      <c r="U193" t="str">
        <f>IF(ISNUMBER('BOOK ENTRY'!F193), COUNTIFS('BOOK ENTRY'!$F$2:'BOOK ENTRY'!F193, "&gt;=0"), "")</f>
        <v/>
      </c>
    </row>
    <row r="194" spans="1:21" x14ac:dyDescent="0.25">
      <c r="A194" s="50" t="str">
        <f t="shared" si="5"/>
        <v/>
      </c>
      <c r="U194" t="str">
        <f>IF(ISNUMBER('BOOK ENTRY'!F194), COUNTIFS('BOOK ENTRY'!$F$2:'BOOK ENTRY'!F194, "&gt;=0"), "")</f>
        <v/>
      </c>
    </row>
    <row r="195" spans="1:21" x14ac:dyDescent="0.25">
      <c r="A195" s="50" t="str">
        <f t="shared" si="5"/>
        <v/>
      </c>
      <c r="U195" t="str">
        <f>IF(ISNUMBER('BOOK ENTRY'!F195), COUNTIFS('BOOK ENTRY'!$F$2:'BOOK ENTRY'!F195, "&gt;=0"), "")</f>
        <v/>
      </c>
    </row>
    <row r="196" spans="1:21" x14ac:dyDescent="0.25">
      <c r="A196" s="50" t="str">
        <f t="shared" si="5"/>
        <v/>
      </c>
      <c r="U196" t="str">
        <f>IF(ISNUMBER('BOOK ENTRY'!F196), COUNTIFS('BOOK ENTRY'!$F$2:'BOOK ENTRY'!F196, "&gt;=0"), "")</f>
        <v/>
      </c>
    </row>
  </sheetData>
  <sheetProtection algorithmName="SHA-512" hashValue="zy5eoAp/X0FfOhd3BiNV7GjFp7i4dtfPyWaNiGl5pOpsAOMn1kBYc1Nek6DC31tLwOVP6hBqb+zNEAlNCD2azg==" saltValue="u5lizjFsOzlDPxm29P6yZQ==" spinCount="100000" sheet="1" objects="1" scenarios="1"/>
  <hyperlinks>
    <hyperlink ref="S1" r:id="rId1" xr:uid="{A7CAE134-14E5-4A05-AAD3-73A05D0A7A9D}"/>
    <hyperlink ref="S2" r:id="rId2" xr:uid="{D0523286-B609-4194-BD25-B41F2B08B748}"/>
  </hyperlinks>
  <pageMargins left="0.7" right="0.7" top="0.75" bottom="0.75" header="0.3" footer="0.3"/>
  <pageSetup paperSize="9" orientation="portrait" verticalDpi="0"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Master Sheet</vt:lpstr>
      <vt:lpstr>BOOK ENTRY</vt:lpstr>
      <vt:lpstr>KCS</vt:lpstr>
      <vt:lpstr>pass_tr</vt:lpstr>
      <vt:lpstr>'Master Sheet'!Print_Area</vt:lpstr>
      <vt:lpstr>'Master 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Naskar, Shuvadip</dc:creator>
  <cp:lastModifiedBy>Naskar, Shuvadip</cp:lastModifiedBy>
  <dcterms:created xsi:type="dcterms:W3CDTF">2025-07-24T12:15:14Z</dcterms:created>
  <dcterms:modified xsi:type="dcterms:W3CDTF">2025-08-07T17:28:54Z</dcterms:modified>
</cp:coreProperties>
</file>